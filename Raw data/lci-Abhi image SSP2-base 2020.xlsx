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Prospective LCA\Raw data\"/>
    </mc:Choice>
  </mc:AlternateContent>
  <xr:revisionPtr revIDLastSave="0" documentId="13_ncr:1_{14DB5D08-45F8-4466-9839-E8FB0569626A}" xr6:coauthVersionLast="36" xr6:coauthVersionMax="47" xr10:uidLastSave="{00000000-0000-0000-0000-000000000000}"/>
  <bookViews>
    <workbookView xWindow="0" yWindow="504" windowWidth="28800" windowHeight="17496" activeTab="6" xr2:uid="{7DE7EA68-86D0-4521-A76B-55DD81DB225F}"/>
  </bookViews>
  <sheets>
    <sheet name="Utilities" sheetId="13" r:id="rId1"/>
    <sheet name="Electricity" sheetId="11" r:id="rId2"/>
    <sheet name="Carbon dioxide" sheetId="2" r:id="rId3"/>
    <sheet name="Hydrogen" sheetId="4" r:id="rId4"/>
    <sheet name="Ammonia" sheetId="12" r:id="rId5"/>
    <sheet name="Methanol" sheetId="9" r:id="rId6"/>
    <sheet name="Ethylene" sheetId="1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0" i="13" l="1"/>
  <c r="B50" i="12" l="1"/>
  <c r="B58" i="12"/>
  <c r="B59" i="12"/>
</calcChain>
</file>

<file path=xl/sharedStrings.xml><?xml version="1.0" encoding="utf-8"?>
<sst xmlns="http://schemas.openxmlformats.org/spreadsheetml/2006/main" count="4895" uniqueCount="616">
  <si>
    <t>Database</t>
  </si>
  <si>
    <t>Activity</t>
  </si>
  <si>
    <t>comment</t>
  </si>
  <si>
    <t>location</t>
  </si>
  <si>
    <t>reference product</t>
  </si>
  <si>
    <t>production amount</t>
  </si>
  <si>
    <t>unit</t>
  </si>
  <si>
    <t>cubic meter</t>
  </si>
  <si>
    <t>Exchanges</t>
  </si>
  <si>
    <t>name</t>
  </si>
  <si>
    <t>amount</t>
  </si>
  <si>
    <t>database</t>
  </si>
  <si>
    <t>categories</t>
  </si>
  <si>
    <t>type</t>
  </si>
  <si>
    <t>production</t>
  </si>
  <si>
    <t>kilogram</t>
  </si>
  <si>
    <t>biosphere3</t>
  </si>
  <si>
    <t>soil</t>
  </si>
  <si>
    <t>biosphere</t>
  </si>
  <si>
    <t>PEM water electrolysis operation, w/o electricity or oxygen</t>
  </si>
  <si>
    <t>This is the activity for the PEM electrolysis operation</t>
  </si>
  <si>
    <t>GLO</t>
  </si>
  <si>
    <t>heat production, natural gas, at boiler condensing modulating &gt;100kW</t>
  </si>
  <si>
    <t>RoW</t>
  </si>
  <si>
    <t>megajoule</t>
  </si>
  <si>
    <t>technosphere</t>
  </si>
  <si>
    <t>heat, district or industrial, natural gas</t>
  </si>
  <si>
    <t>water production, deionised</t>
  </si>
  <si>
    <t>water, deionised</t>
  </si>
  <si>
    <t>carbon dioxide injection - only infrastructure - 6 wells (3 km)</t>
  </si>
  <si>
    <t>This is the activity for the infrastructure for the injection of carbon dioxide</t>
  </si>
  <si>
    <t>carbon dioxide injection</t>
  </si>
  <si>
    <t>Sand, unspecified, in ground</t>
  </si>
  <si>
    <t>natural resource::in ground</t>
  </si>
  <si>
    <t>concrete, all types to generic market for concrete, medium strength</t>
  </si>
  <si>
    <t>concrete, medium strength</t>
  </si>
  <si>
    <t>copper production, cathode, solvent extraction and electrowinning process</t>
  </si>
  <si>
    <t>copper, cathode</t>
  </si>
  <si>
    <t>onshore well production, oil/gas</t>
  </si>
  <si>
    <t>meter</t>
  </si>
  <si>
    <t>onshore well, oil/gas</t>
  </si>
  <si>
    <t>steel production, converter, unalloyed</t>
  </si>
  <si>
    <t>steel, unalloyed</t>
  </si>
  <si>
    <t>steel production, electric, low-alloyed</t>
  </si>
  <si>
    <t>steel, low-alloyed</t>
  </si>
  <si>
    <t>transport, freight, lorry &gt;32 metric ton, EURO6</t>
  </si>
  <si>
    <t>ton kilometer</t>
  </si>
  <si>
    <t>carbon dioxide sequestered - atmospheric</t>
  </si>
  <si>
    <t>This is the activity for the sequestration of carbon dioxide from the atmosphere</t>
  </si>
  <si>
    <t>carbon dioxide sequestration</t>
  </si>
  <si>
    <t>Carbon dioxide, fossil</t>
  </si>
  <si>
    <t>air</t>
  </si>
  <si>
    <t>carbon dioxide transport and injection in a geological resorvoir - only infrastrucutre, 400 km, 6 wells (3 km)</t>
  </si>
  <si>
    <t>This is the activity for carbon dioxide injection and transport</t>
  </si>
  <si>
    <t>carbon dioxide transport and injection, geological resorvoir, infrastructure</t>
  </si>
  <si>
    <t>Occupation, construction site</t>
  </si>
  <si>
    <t>square meter-year</t>
  </si>
  <si>
    <t>natural resource::land</t>
  </si>
  <si>
    <t>Transformation, from forest, unspecified</t>
  </si>
  <si>
    <t>square meter</t>
  </si>
  <si>
    <t>Transformation, to heterogeneous, agricultural</t>
  </si>
  <si>
    <t>bitumen seal production</t>
  </si>
  <si>
    <t>bitumen seal</t>
  </si>
  <si>
    <t>diesel, burned in building machine</t>
  </si>
  <si>
    <t>drawing of pipe, steel</t>
  </si>
  <si>
    <t>market for transport, freight, lorry &gt;32 metric ton, EURO6</t>
  </si>
  <si>
    <t>polyethylene production, high density, granulate</t>
  </si>
  <si>
    <t>polyethylene, high density, granulate</t>
  </si>
  <si>
    <t>reinforcing steel production</t>
  </si>
  <si>
    <t>reinforcing steel</t>
  </si>
  <si>
    <t>treatment of inert waste, inert material landfill</t>
  </si>
  <si>
    <t>inert waste, for final disposal</t>
  </si>
  <si>
    <t>carbon dioxide transport and injection in a geological resorvoir, announced pledges scenario</t>
  </si>
  <si>
    <t>This is the activity for carbon dioxide injection (from biogasification)</t>
  </si>
  <si>
    <t>carbon dioxide transport and injection, geological resorvoir</t>
  </si>
  <si>
    <t>Carbon dioxide, non-fossil</t>
  </si>
  <si>
    <t>kilowatt hour</t>
  </si>
  <si>
    <t>electricity, high voltage</t>
  </si>
  <si>
    <t>carbon dixoide, SOC stocks</t>
  </si>
  <si>
    <t>Carbon dioxide, in air</t>
  </si>
  <si>
    <t>natural resource::in air</t>
  </si>
  <si>
    <t>Water, cooling, unspecified natural origin</t>
  </si>
  <si>
    <t>natural resource::in water</t>
  </si>
  <si>
    <t>htsr catalyst, announced pledges scenario</t>
  </si>
  <si>
    <t>hydrogen, PEM electrolysis (PV + wind, 50/50%)</t>
  </si>
  <si>
    <t>ltsr catalyst, announced pledges scenario</t>
  </si>
  <si>
    <t>magnesium oxide production</t>
  </si>
  <si>
    <t>magnesium oxide</t>
  </si>
  <si>
    <t>polyactive membrane (assumed comp.)</t>
  </si>
  <si>
    <t>transport, freight, lorry 16-32 metric ton, EURO6</t>
  </si>
  <si>
    <t>Carbon dioxide, from soil or biomass stock</t>
  </si>
  <si>
    <t>Nitrogen oxides</t>
  </si>
  <si>
    <t>Water</t>
  </si>
  <si>
    <t>water</t>
  </si>
  <si>
    <t>poplar chips, 50% wt. moisture + LUC - carbon dioxide</t>
  </si>
  <si>
    <t>treatment of wood ash mixture, pure, sanitary landfill</t>
  </si>
  <si>
    <t>wood ash mixture, pure</t>
  </si>
  <si>
    <t>carbon dioxide, DACCS, carbon engineering, configuration A</t>
  </si>
  <si>
    <t>This is the activity for the capture of 1 kg of carbon dioxide using DAC technology from Carbon Engineering</t>
  </si>
  <si>
    <t>Arsenic</t>
  </si>
  <si>
    <t>Benzo(a)pyrene</t>
  </si>
  <si>
    <t>Benzo(b)fluoranthene</t>
  </si>
  <si>
    <t>Benzo(k)fluoranthene</t>
  </si>
  <si>
    <t>Cadmium</t>
  </si>
  <si>
    <t>Carbon monoxide, fossil</t>
  </si>
  <si>
    <t>Chromium</t>
  </si>
  <si>
    <t>Copper</t>
  </si>
  <si>
    <t>Dinitrogen monoxide</t>
  </si>
  <si>
    <t>Indeno(1,2,3-cd)pyrene</t>
  </si>
  <si>
    <t>Lead</t>
  </si>
  <si>
    <t>Mercury</t>
  </si>
  <si>
    <t>Methane, fossil</t>
  </si>
  <si>
    <t>NMVOC, non-methane volatile organic compounds, unspecified origin</t>
  </si>
  <si>
    <t>Nickel</t>
  </si>
  <si>
    <t>PAH, polycyclic aromatic hydrocarbons</t>
  </si>
  <si>
    <t>Particulates, &lt; 2.5 um</t>
  </si>
  <si>
    <t>Particulates, &gt; 2.5 um, and &lt; 10um</t>
  </si>
  <si>
    <t>Selenium</t>
  </si>
  <si>
    <t>Sulfur oxides</t>
  </si>
  <si>
    <t>Zinc</t>
  </si>
  <si>
    <t>limestone production, crushed, washed</t>
  </si>
  <si>
    <t>limestone, crushed, washed</t>
  </si>
  <si>
    <t>natural gas production</t>
  </si>
  <si>
    <t>natural gas, high pressure</t>
  </si>
  <si>
    <t>tap water production, conventional treatment</t>
  </si>
  <si>
    <t>tap water</t>
  </si>
  <si>
    <t>carbon dioxide, DACCS, carbon engineering, configuration C, wind</t>
  </si>
  <si>
    <t>This is the activity for the capture of 1 kg of carbon dioxide using DAC technology from Carbon Engineering, Wind</t>
  </si>
  <si>
    <t>electricity production, wind, 1-3MW turbine, onshore</t>
  </si>
  <si>
    <t>carbon dioxide, DACCS, climeworks, geothermal</t>
  </si>
  <si>
    <t>This is the activity for the capture of 1 kg of carbon dioxide using DAC technology from Climeworks using geothermal energy</t>
  </si>
  <si>
    <t>climeworks adsorbent - announced pledges scenarios</t>
  </si>
  <si>
    <t>climeworks adsorbent</t>
  </si>
  <si>
    <t>electricity production, deep geothermal</t>
  </si>
  <si>
    <t>carbon dioxide, DACCS, climeworks, heat pump, wind</t>
  </si>
  <si>
    <t>This is the activity for the capture of 1 kg of carbon dioxide using DAC technology from Climeworks using wind electricity</t>
  </si>
  <si>
    <t>heat, heat pump, R1234ZE</t>
  </si>
  <si>
    <t>cell stack construcution, PEM water electrolysis</t>
  </si>
  <si>
    <t>This is the activity for the construction of the PEM water electrolysis cell stack</t>
  </si>
  <si>
    <t>Iridium, in ground</t>
  </si>
  <si>
    <t>Platinum, in ground</t>
  </si>
  <si>
    <t>activated carbon production, granular from hard coal</t>
  </si>
  <si>
    <t>activated carbon, granular</t>
  </si>
  <si>
    <t>aluminium production, primary, ingot</t>
  </si>
  <si>
    <t>aluminium, primary, ingot</t>
  </si>
  <si>
    <t>calendering, rigid sheets</t>
  </si>
  <si>
    <t>industrial machine production, heavy, unspecified</t>
  </si>
  <si>
    <t>industrial machine, heavy, unspecified</t>
  </si>
  <si>
    <t>materials for construction of gasket, cell stack</t>
  </si>
  <si>
    <t>plaster mixing</t>
  </si>
  <si>
    <t>steam production, as energy carrier, in chemical industry</t>
  </si>
  <si>
    <t>heat, from steam, in chemical industry</t>
  </si>
  <si>
    <t>tetrafluoroethylene production</t>
  </si>
  <si>
    <t>tetrafluoroethylene</t>
  </si>
  <si>
    <t>titanium production</t>
  </si>
  <si>
    <t>titanium</t>
  </si>
  <si>
    <t>treatment of metal part of electronics scrap, in copper, anode, by electrolytic refining</t>
  </si>
  <si>
    <t>precious metal from electronics scrap, in anode slime</t>
  </si>
  <si>
    <t>water production, decarbonised</t>
  </si>
  <si>
    <t>water, decarbonised</t>
  </si>
  <si>
    <t>This is the activity for the climeworks adsorbent</t>
  </si>
  <si>
    <t>cellulose fibre production</t>
  </si>
  <si>
    <t>cellulose fibre</t>
  </si>
  <si>
    <t>epoxy resin production, liquid</t>
  </si>
  <si>
    <t>epoxy resin, liquid</t>
  </si>
  <si>
    <t>polyethylenimine - announced pledges scenarios</t>
  </si>
  <si>
    <t>polyethylenimine</t>
  </si>
  <si>
    <t>energy consumption to produce 1 kg of chemical</t>
  </si>
  <si>
    <t>This is the activity for the energy consumed for the production of 1 kg of chemicals</t>
  </si>
  <si>
    <t>energy consumption chemical production</t>
  </si>
  <si>
    <t>This is the activity for the heat from the heat pump using R1234ZE</t>
  </si>
  <si>
    <t>Ethane, 1,1,1,2-tetrafluoro-, HFC-134a</t>
  </si>
  <si>
    <t>market for heat pump, brine-water, 10kW</t>
  </si>
  <si>
    <t>heat pump, brine-water, 10kW</t>
  </si>
  <si>
    <t>market for refrigerant R134a</t>
  </si>
  <si>
    <t>refrigerant R134a</t>
  </si>
  <si>
    <t>refrigerant R1234ZE</t>
  </si>
  <si>
    <t>This is the activity for htsr catalyst</t>
  </si>
  <si>
    <t>chromium oxide production, flakes</t>
  </si>
  <si>
    <t>chromium oxide, flakes</t>
  </si>
  <si>
    <t>magnetite production</t>
  </si>
  <si>
    <t>magnetite</t>
  </si>
  <si>
    <t>This is the activity for hydrogen from PEM electrolysis</t>
  </si>
  <si>
    <t>electricity production, photovoltaic, 570kWp open ground installation, multi-Si</t>
  </si>
  <si>
    <t>electricity, low voltage</t>
  </si>
  <si>
    <t>This is the activity for ltsr catalyst</t>
  </si>
  <si>
    <t>copper oxide production</t>
  </si>
  <si>
    <t>copper oxide</t>
  </si>
  <si>
    <t>zeolite production, powder</t>
  </si>
  <si>
    <t>zeolite, powder</t>
  </si>
  <si>
    <t>zinc oxide production</t>
  </si>
  <si>
    <t>zinc oxide</t>
  </si>
  <si>
    <t>This is the activity for marterials for construction of gasket of the cell stack</t>
  </si>
  <si>
    <t>acetic anhydride production, ketene route</t>
  </si>
  <si>
    <t>acetic anhydride</t>
  </si>
  <si>
    <t>acrylonitrile-butadiene-styrene copolymer production</t>
  </si>
  <si>
    <t>acrylonitrile-butadiene-styrene copolymer</t>
  </si>
  <si>
    <t>aniline production</t>
  </si>
  <si>
    <t>aniline</t>
  </si>
  <si>
    <t>graphite production</t>
  </si>
  <si>
    <t>graphite</t>
  </si>
  <si>
    <t>hydrochloric acid production, from the reaction of hydrogen with chlorine</t>
  </si>
  <si>
    <t>hydrochloric acid, without water, in 30% solution state</t>
  </si>
  <si>
    <t>lubricating oil production</t>
  </si>
  <si>
    <t>lubricating oil</t>
  </si>
  <si>
    <t>nitric acid production, product in 50% solution state</t>
  </si>
  <si>
    <t>nitric acid, without water, in 50% solution state</t>
  </si>
  <si>
    <t>purified terephthalic acid production</t>
  </si>
  <si>
    <t>purified terephthalic acid</t>
  </si>
  <si>
    <t>miscanthus, chopped</t>
  </si>
  <si>
    <t>This is the activity for poplar chips</t>
  </si>
  <si>
    <t>Ammonia</t>
  </si>
  <si>
    <t>soil::agricultural</t>
  </si>
  <si>
    <t>Cadmium, ion</t>
  </si>
  <si>
    <t>water::surface water</t>
  </si>
  <si>
    <t>water::ground-</t>
  </si>
  <si>
    <t>Chromium, ion</t>
  </si>
  <si>
    <t>Copper, ion</t>
  </si>
  <si>
    <t>Energy, gross calorific value, in biomass</t>
  </si>
  <si>
    <t>natural resource::biotic</t>
  </si>
  <si>
    <t>Glyphosate</t>
  </si>
  <si>
    <t>Nickel, ion</t>
  </si>
  <si>
    <t>Nitrate</t>
  </si>
  <si>
    <t>Occupation, permanent crop, non-irrigated, intensive</t>
  </si>
  <si>
    <t>Phosphate</t>
  </si>
  <si>
    <t>Phosphorus</t>
  </si>
  <si>
    <t>Transformation, from arable land, unspecified use</t>
  </si>
  <si>
    <t>Transformation, to permanent crop, non-irrigated, intensive</t>
  </si>
  <si>
    <t>Zinc, ion</t>
  </si>
  <si>
    <t>inorganic nitrogen fertiliser, as N to generic market for organic nitrogen fertiliser, as N</t>
  </si>
  <si>
    <t>organic nitrogen fertiliser, as N</t>
  </si>
  <si>
    <t>market for application of plant protection product, by field sprayer</t>
  </si>
  <si>
    <t>hectare</t>
  </si>
  <si>
    <t>application of plant protection product, by field sprayer</t>
  </si>
  <si>
    <t>market for beet seed, Swiss integrated production, for sowing</t>
  </si>
  <si>
    <t>beet seed, Swiss integrated production, for sowing</t>
  </si>
  <si>
    <t>market for combine harvesting</t>
  </si>
  <si>
    <t>combine harvesting</t>
  </si>
  <si>
    <t>market for fertilising, by broadcaster</t>
  </si>
  <si>
    <t>fertilising, by broadcaster</t>
  </si>
  <si>
    <t>market for fodder loading, by self-loading trailer</t>
  </si>
  <si>
    <t>fodder loading, by self-loading trailer</t>
  </si>
  <si>
    <t>market for glyphosate</t>
  </si>
  <si>
    <t>glyphosate</t>
  </si>
  <si>
    <t>market for hoeing</t>
  </si>
  <si>
    <t>hoeing</t>
  </si>
  <si>
    <t>market for magnesium oxide</t>
  </si>
  <si>
    <t>market for miscanthus rhizome, for planting</t>
  </si>
  <si>
    <t>miscanthus rhizome, for planting</t>
  </si>
  <si>
    <t>market for mulching</t>
  </si>
  <si>
    <t>mulching</t>
  </si>
  <si>
    <t>market for organic phosphorus fertiliser, as P2O5</t>
  </si>
  <si>
    <t>organic phosphorus fertiliser, as P2O5</t>
  </si>
  <si>
    <t>market for potassium sulfate</t>
  </si>
  <si>
    <t>potassium sulfate</t>
  </si>
  <si>
    <t>market for potato planting</t>
  </si>
  <si>
    <t>potato planting</t>
  </si>
  <si>
    <t>market for sowing</t>
  </si>
  <si>
    <t>sowing</t>
  </si>
  <si>
    <t>market for tillage, cultivating, chiselling</t>
  </si>
  <si>
    <t>tillage, cultivating, chiselling</t>
  </si>
  <si>
    <t>market for tillage, currying, by weeder</t>
  </si>
  <si>
    <t>tillage, currying, by weeder</t>
  </si>
  <si>
    <t>market for tillage, harrowing, by rotary harrow</t>
  </si>
  <si>
    <t>tillage, harrowing, by rotary harrow</t>
  </si>
  <si>
    <t>market for tillage, harrowing, by spring tine harrow</t>
  </si>
  <si>
    <t>tillage, harrowing, by spring tine harrow</t>
  </si>
  <si>
    <t>market for tillage, ploughing</t>
  </si>
  <si>
    <t>tillage, ploughing</t>
  </si>
  <si>
    <t>market for tillage, rolling</t>
  </si>
  <si>
    <t>tillage, rolling</t>
  </si>
  <si>
    <t>market for tillage, rotary cultivator</t>
  </si>
  <si>
    <t>tillage, rotary cultivator</t>
  </si>
  <si>
    <t>market for transport, tractor and trailer, agricultural</t>
  </si>
  <si>
    <t>transport, tractor and trailer, agricultural</t>
  </si>
  <si>
    <t>This is the activity for polyactive membrane</t>
  </si>
  <si>
    <t>Sohio process</t>
  </si>
  <si>
    <t>acrylonitrile</t>
  </si>
  <si>
    <t>ethylene glycol production</t>
  </si>
  <si>
    <t>ethylene glycol</t>
  </si>
  <si>
    <t>polydimethylsiloxane production</t>
  </si>
  <si>
    <t>polydimethylsiloxane</t>
  </si>
  <si>
    <t>polyester resin production, unsaturated</t>
  </si>
  <si>
    <t>polyester resin, unsaturated</t>
  </si>
  <si>
    <t>polyethylene terephthalate production, granulate, amorphous</t>
  </si>
  <si>
    <t>polyethylene terephthalate, granulate, amorphous</t>
  </si>
  <si>
    <t>This is the activity for the production of 1 kg of polyethylenimine</t>
  </si>
  <si>
    <t>chlor-alkali electrolysis, diaphragm cell</t>
  </si>
  <si>
    <t>sodium hydroxide, without water, in 50% solution state</t>
  </si>
  <si>
    <t>ethanolamine production</t>
  </si>
  <si>
    <t>monoethanolamine</t>
  </si>
  <si>
    <t>process-specific burdens, hazardous waste incineration plant</t>
  </si>
  <si>
    <t>process-specific burdens, residual material landfill</t>
  </si>
  <si>
    <t>sulfuric acid production</t>
  </si>
  <si>
    <t>sulfuric acid</t>
  </si>
  <si>
    <t>Occupation, arable land, unspecified use</t>
  </si>
  <si>
    <t>Transformation, to arable land, unspecified use</t>
  </si>
  <si>
    <t>ammonium nitrate production</t>
  </si>
  <si>
    <t>ammonium nitrate</t>
  </si>
  <si>
    <t>dithiocarbamate-compound production</t>
  </si>
  <si>
    <t>dithiocarbamate-compound</t>
  </si>
  <si>
    <t>glyphosate production</t>
  </si>
  <si>
    <t>harvesting, by complete harvester, beets</t>
  </si>
  <si>
    <t>irrigation</t>
  </si>
  <si>
    <t>mowing, by rotary mower</t>
  </si>
  <si>
    <t>nutrient supply from triple superphosphate</t>
  </si>
  <si>
    <t>inorganic phosphorus fertiliser, as P2O5</t>
  </si>
  <si>
    <t>planting</t>
  </si>
  <si>
    <t>potassium chloride production</t>
  </si>
  <si>
    <t>potassium chloride</t>
  </si>
  <si>
    <t>pyridine-compound production</t>
  </si>
  <si>
    <t>pyridine-compound</t>
  </si>
  <si>
    <t>tree seedling production, in unheated greenhouse</t>
  </si>
  <si>
    <t>tree seedling, for planting</t>
  </si>
  <si>
    <t>This is the activity for the refrigerant R1234ZE</t>
  </si>
  <si>
    <t>allyl chloride production, reaction of propylene and chlorine</t>
  </si>
  <si>
    <t>dichloropropene</t>
  </si>
  <si>
    <t>market for chlorine, liquid</t>
  </si>
  <si>
    <t>chlorine, liquid</t>
  </si>
  <si>
    <t>market for fluorine, liquid</t>
  </si>
  <si>
    <t>fluorine, liquid</t>
  </si>
  <si>
    <t>heat and power co-generation, wood chips, 6667 kW, state-of-the-art 2014</t>
  </si>
  <si>
    <t>electricity production, nuclear, pressure water reactor</t>
  </si>
  <si>
    <t>irrigation, drip</t>
  </si>
  <si>
    <t>petroleum, market for, w/o transport</t>
  </si>
  <si>
    <t>This is the activity for the  market of petroleum</t>
  </si>
  <si>
    <t>petroleum, w/o transport</t>
  </si>
  <si>
    <t>petroleum and gas production, on-shore</t>
  </si>
  <si>
    <t>petroleum</t>
  </si>
  <si>
    <t>CA-AB</t>
  </si>
  <si>
    <t>petroleum and gas production, off-shore</t>
  </si>
  <si>
    <t>GB</t>
  </si>
  <si>
    <t>NG</t>
  </si>
  <si>
    <t>NL</t>
  </si>
  <si>
    <t>NO</t>
  </si>
  <si>
    <t>petroleum production, onshore</t>
  </si>
  <si>
    <t>RAF</t>
  </si>
  <si>
    <t>RME</t>
  </si>
  <si>
    <t>RU</t>
  </si>
  <si>
    <t>US</t>
  </si>
  <si>
    <t>methanol production</t>
  </si>
  <si>
    <t>methanol</t>
  </si>
  <si>
    <t>carbon dioxide captured with MEA, w/o energy or FG emissions</t>
  </si>
  <si>
    <t>carbon dioxide, MEA</t>
  </si>
  <si>
    <t>treatment of hazardous waste, hazardous waste incineration</t>
  </si>
  <si>
    <t>hazardous waste, for incineration</t>
  </si>
  <si>
    <t>Monoethanolamine</t>
  </si>
  <si>
    <t>treatment of wastewater, average, capacity 1E9l/year</t>
  </si>
  <si>
    <t>wastewater, average</t>
  </si>
  <si>
    <t>polyactive</t>
  </si>
  <si>
    <t>treatment of limestone residue, inert material landfill</t>
  </si>
  <si>
    <t>limestone residue</t>
  </si>
  <si>
    <t>wood fly ash stabilization and landfill</t>
  </si>
  <si>
    <t>This is the activity for the  market of wood fly ash</t>
  </si>
  <si>
    <t>wood fly ash</t>
  </si>
  <si>
    <t>cement production, Portland</t>
  </si>
  <si>
    <t>cement, Portland</t>
  </si>
  <si>
    <t>treatment of waste cement, hydrated, residual material landfill</t>
  </si>
  <si>
    <t>waste cement, hydrated</t>
  </si>
  <si>
    <t>air::urban air close to ground</t>
  </si>
  <si>
    <t>carbon dixoide stored, in aquifier at 200 km distance from emission source and transported by pipeline</t>
  </si>
  <si>
    <t>This is the activity for the  market of carbon dioxide stored in aquifier</t>
  </si>
  <si>
    <t>carbon dioxide stored, in acquifier</t>
  </si>
  <si>
    <t>market for deep well, drilled, for geothermal power</t>
  </si>
  <si>
    <t>market for gravel, crushed</t>
  </si>
  <si>
    <t>market for steel, low-alloyed</t>
  </si>
  <si>
    <t>market for stone wool, packed</t>
  </si>
  <si>
    <t>market for transport, freight, lorry 16-32 metric ton, EURO6</t>
  </si>
  <si>
    <t>market for transport, helicopter</t>
  </si>
  <si>
    <t>market for transport, helicopter, LTO cycle</t>
  </si>
  <si>
    <t>market group for cement, unspecified</t>
  </si>
  <si>
    <t>market group for transport, freight train</t>
  </si>
  <si>
    <t>treatment of scrap steel, inert material landfill</t>
  </si>
  <si>
    <t>treatment of waste mineral wool, inert material landfill</t>
  </si>
  <si>
    <t>zinc mine operation</t>
  </si>
  <si>
    <t>hour</t>
  </si>
  <si>
    <t>deep well, drilled, for geothermal power</t>
  </si>
  <si>
    <t>gravel, crushed</t>
  </si>
  <si>
    <t>stone wool, packed</t>
  </si>
  <si>
    <t>transport, helicopter</t>
  </si>
  <si>
    <t>transport, helicopter, LTO cycle</t>
  </si>
  <si>
    <t>cement, unspecified</t>
  </si>
  <si>
    <t>transport, freight train</t>
  </si>
  <si>
    <t>scrap steel</t>
  </si>
  <si>
    <t>waste mineral wool, for final disposal</t>
  </si>
  <si>
    <t>sand</t>
  </si>
  <si>
    <t>Occupation, industrial area</t>
  </si>
  <si>
    <t>Transformation, from grassland, natural, for livestock grazing</t>
  </si>
  <si>
    <t>Transformation, to industrial area</t>
  </si>
  <si>
    <t>Water, unspecified natural origin</t>
  </si>
  <si>
    <t>nafion cast membrane construction</t>
  </si>
  <si>
    <t>This is the activity for the  market of nafion cast membrane construction</t>
  </si>
  <si>
    <t>PTFE for nafion membrane construction</t>
  </si>
  <si>
    <t>isopropanol production</t>
  </si>
  <si>
    <t>market for heat, from steam, in chemical industry</t>
  </si>
  <si>
    <t>market for sulfuric acid</t>
  </si>
  <si>
    <t>market for water, deionised</t>
  </si>
  <si>
    <t>market group for electricity, low voltage</t>
  </si>
  <si>
    <t>polypropylene production, granulate</t>
  </si>
  <si>
    <t>isopropanol</t>
  </si>
  <si>
    <t>polypropylene, granulate</t>
  </si>
  <si>
    <t>This is the activity for the  market of PTFE for nafion membrane construction</t>
  </si>
  <si>
    <t>ammonium sulfate production</t>
  </si>
  <si>
    <t>market for boric oxide</t>
  </si>
  <si>
    <t>ammonium sulfate</t>
  </si>
  <si>
    <t>boric oxide</t>
  </si>
  <si>
    <t>alkaline water electrolyser, cell construction</t>
  </si>
  <si>
    <t>This is the activity for the  market of alkaline water electrolyser, cell construction</t>
  </si>
  <si>
    <t>market for N-methyl-2-pyrrolidone</t>
  </si>
  <si>
    <t>market for aluminium, primary, ingot</t>
  </si>
  <si>
    <t>market for calendering, rigid sheets</t>
  </si>
  <si>
    <t>market for carbon monoxide</t>
  </si>
  <si>
    <t>market for copper, anode</t>
  </si>
  <si>
    <t>market for industrial machine, heavy, unspecified</t>
  </si>
  <si>
    <t>market for nickel, class 1</t>
  </si>
  <si>
    <t>market for plaster mixing</t>
  </si>
  <si>
    <t>market for polyphenylene sulfide</t>
  </si>
  <si>
    <t>market for polysulfone</t>
  </si>
  <si>
    <t>market for steel, unalloyed</t>
  </si>
  <si>
    <t>market for water, decarbonised</t>
  </si>
  <si>
    <t>market for zirconium oxide</t>
  </si>
  <si>
    <t>market group for electricity, high voltage</t>
  </si>
  <si>
    <t>market group for heat, district or industrial, natural gas</t>
  </si>
  <si>
    <t>materials for gasket construction, alkaline electrolyser cell stack</t>
  </si>
  <si>
    <t>N-methyl-2-pyrrolidone</t>
  </si>
  <si>
    <t>carbon monoxide</t>
  </si>
  <si>
    <t>copper, anode</t>
  </si>
  <si>
    <t>nickel, class 1</t>
  </si>
  <si>
    <t>polyphenylene sulfide</t>
  </si>
  <si>
    <t>polysulfone</t>
  </si>
  <si>
    <t>zirconium oxide</t>
  </si>
  <si>
    <t>This is the activity for the  market of materials for gasket construction of an alkaline electrolyser</t>
  </si>
  <si>
    <t>market for acrylonitrile-butadiene-styrene copolymer</t>
  </si>
  <si>
    <t>market for graphite</t>
  </si>
  <si>
    <t>market for hydrochloric acid, without water, in 30% solution state</t>
  </si>
  <si>
    <t>market for lubricating oil</t>
  </si>
  <si>
    <t>market for nitric acid, without water, in 50% solution state</t>
  </si>
  <si>
    <t>market for purified terephthalic acid</t>
  </si>
  <si>
    <t>market for tetrafluoroethylene</t>
  </si>
  <si>
    <t>electricity, high voltage, BECCS, CHP plant, woodchips biomass</t>
  </si>
  <si>
    <t>This is the activity for the electricity, high voltage, BECCS, from woodchips biomass</t>
  </si>
  <si>
    <t>market for concrete, normal</t>
  </si>
  <si>
    <t>market for copper oxide</t>
  </si>
  <si>
    <t>market for metal working, average for steel product manufacturing</t>
  </si>
  <si>
    <t>market for monoethanolamine</t>
  </si>
  <si>
    <t>market for polyethylene, low density, granulate</t>
  </si>
  <si>
    <t>treatment of spent solvent mixture, hazardous waste incineration</t>
  </si>
  <si>
    <t>concrete, normal</t>
  </si>
  <si>
    <t>metal working, average for steel product manufacturing</t>
  </si>
  <si>
    <t>polyethylene, low density, granulate</t>
  </si>
  <si>
    <t>spent solvent mixture</t>
  </si>
  <si>
    <t>Acetaldehyde</t>
  </si>
  <si>
    <t>Acetic acid</t>
  </si>
  <si>
    <t>Acetone</t>
  </si>
  <si>
    <t>Diethylamine</t>
  </si>
  <si>
    <t>Dimethylamine</t>
  </si>
  <si>
    <t>Ethylamine</t>
  </si>
  <si>
    <t>Formaldehyde</t>
  </si>
  <si>
    <t>Formamide</t>
  </si>
  <si>
    <t>Hydrogen chloride</t>
  </si>
  <si>
    <t>Hydrogen sulfide</t>
  </si>
  <si>
    <t>Methyl amine</t>
  </si>
  <si>
    <t>gasket construction for 1 kg of PEMWE cell stack</t>
  </si>
  <si>
    <t>This is the activity for the gasket construction for 1 kg of PEMWE</t>
  </si>
  <si>
    <t>market for aniline</t>
  </si>
  <si>
    <t>wet poplar biomass</t>
  </si>
  <si>
    <t>This is the activity for the wet poplar biomass feed</t>
  </si>
  <si>
    <t>market for [thio]carbamate-compound</t>
  </si>
  <si>
    <t>market for ammonium nitrate</t>
  </si>
  <si>
    <t>market group for diesel, low-sulfur</t>
  </si>
  <si>
    <t>nutrient supply from compost</t>
  </si>
  <si>
    <t>[thio]carbamate-compound</t>
  </si>
  <si>
    <t>diesel, low-sulfur</t>
  </si>
  <si>
    <t>market for heat, district or industrial, natural gas</t>
  </si>
  <si>
    <t>market for potassium hydroxide</t>
  </si>
  <si>
    <t>potassium hydroxide</t>
  </si>
  <si>
    <t>hydrogen, alkaline electrolysis, electricity mix</t>
  </si>
  <si>
    <t>This is the activity for the capture of 1 kg of hydrogen using alkaline electrolysis, grid electricity</t>
  </si>
  <si>
    <t>hydrogen, alkaline electrolysis, nuclear power, pressure water reactor</t>
  </si>
  <si>
    <t>electricity production, nuclear, pressure water reactor, heavy water moderated</t>
  </si>
  <si>
    <t>This is the activity for the capture of 1 kg of hydrogen using alkaline electrolysis, nuclear power, pressure water reactor</t>
  </si>
  <si>
    <t>hydrogen, alkaline electrolysis, solar power</t>
  </si>
  <si>
    <t>This is the activity for the capture of 1 kg of hydrogen using alkaline electrolysis, solar power</t>
  </si>
  <si>
    <t>This is the activity for the capture of 1 kg of hydrogen using alkaline electrolysis, wind power, onshore</t>
  </si>
  <si>
    <t>electricity production, wind, &gt;3MW turbine, onshore</t>
  </si>
  <si>
    <t>hydrogen, alkaline electrolysis, &gt;3MW, onshore</t>
  </si>
  <si>
    <t>hydrogen, PEM electrolysis, grid electricity</t>
  </si>
  <si>
    <t>This is the activity for the capture of 1 kg of hydrogen using PEM electrolysis, grid electricity</t>
  </si>
  <si>
    <t>PEM electrolyser construction</t>
  </si>
  <si>
    <t>This is the activity for the construction of PEM electrolyser</t>
  </si>
  <si>
    <t>market for activated carbon, granular</t>
  </si>
  <si>
    <t>market for concrete block</t>
  </si>
  <si>
    <t>market for electronics, for control units</t>
  </si>
  <si>
    <t>concrete block</t>
  </si>
  <si>
    <t>electronics, for control units</t>
  </si>
  <si>
    <t>hydrogen, PEM electrolysis, nuclear power, pressure water reactor</t>
  </si>
  <si>
    <t>This is the activity for the capture of 1 kg of hydrogen using PEM electrolysis, nuclear power, pressure water reactor</t>
  </si>
  <si>
    <t>hydrogen, PEM electrolysis, solar power</t>
  </si>
  <si>
    <t>This is the activity for the capture of 1 kg of hydrogen using PEM electrolysis, solar power</t>
  </si>
  <si>
    <t>hydrogen, PEM electrolysis, wind power, &gt;3MW, onshore</t>
  </si>
  <si>
    <t>This is the activity for the capture of 1 kg of hydrogen using PEM electrolysis, wind power, &gt;3MW, onshore</t>
  </si>
  <si>
    <t>This is the activity for the capture of 1 kg of hydrogen from steam methane reforming</t>
  </si>
  <si>
    <t>This is the activity for miscanthus, chopped</t>
  </si>
  <si>
    <t>carbon dioxide, Abhi</t>
  </si>
  <si>
    <t>hydrogen, Abhi</t>
  </si>
  <si>
    <t>market group for natural gas, high pressure</t>
  </si>
  <si>
    <t>market for wastewater, average</t>
  </si>
  <si>
    <t>cooling water</t>
  </si>
  <si>
    <t>This is the activity for 1 kg of cooling water</t>
  </si>
  <si>
    <t>hydrogen, from steam methane reforming</t>
  </si>
  <si>
    <t>hydrogen, from steam methane reforming with CCS</t>
  </si>
  <si>
    <t>This is the activity for the capture of 1 kg of hydrogen from steam methane reforming with CCS</t>
  </si>
  <si>
    <t>air::non-urban air or from high stacks</t>
  </si>
  <si>
    <t>Sulfur dioxide</t>
  </si>
  <si>
    <t>market group for electricity, medium voltage</t>
  </si>
  <si>
    <t>market for tap water</t>
  </si>
  <si>
    <t>Nitrogen</t>
  </si>
  <si>
    <t>electricity, medium voltage</t>
  </si>
  <si>
    <t>chemical factory, organics</t>
  </si>
  <si>
    <t>carbon dioxide storage/natural gas, post, 200km pipeline, storage 1000m</t>
  </si>
  <si>
    <t>methanol, BAU</t>
  </si>
  <si>
    <t>methanol, Abhi</t>
  </si>
  <si>
    <t>This is the activity for the production of BAU methanol</t>
  </si>
  <si>
    <t>This is the activity for the production of green methanol</t>
  </si>
  <si>
    <t>Methanol</t>
  </si>
  <si>
    <t>grid electricity</t>
  </si>
  <si>
    <t>renewable electricity, Abhi</t>
  </si>
  <si>
    <t>This is the activity for 1 kWh of grid electricity</t>
  </si>
  <si>
    <t>This is the activity for 1 kWh of nuclear electricity</t>
  </si>
  <si>
    <t>nuclear electricity</t>
  </si>
  <si>
    <t>solar PV electricity</t>
  </si>
  <si>
    <t>This is the activity for 1 kWh of solar electricity</t>
  </si>
  <si>
    <t>This is the activity for 1 kWh of wind onshore, 1-3MW</t>
  </si>
  <si>
    <t>wind onshore &gt;3MW electricity</t>
  </si>
  <si>
    <t>market for zinc</t>
  </si>
  <si>
    <t>market for molybdenum</t>
  </si>
  <si>
    <t>market for aluminium oxide, non-metallurgical</t>
  </si>
  <si>
    <t>market for methanol factory</t>
  </si>
  <si>
    <t>Chloride</t>
  </si>
  <si>
    <t>BOD5, Biological Oxygen Demand</t>
  </si>
  <si>
    <t>TOC, Total Organic Carbon</t>
  </si>
  <si>
    <t>AOX, Adsorbable Organic Halogen as Cl</t>
  </si>
  <si>
    <t>Suspended solids, unspecified</t>
  </si>
  <si>
    <t>DOC, Dissolved Organic Carbon</t>
  </si>
  <si>
    <t>COD, Chemical Oxygen Demand</t>
  </si>
  <si>
    <t>Phenol</t>
  </si>
  <si>
    <t>zinc</t>
  </si>
  <si>
    <t>molybdenum</t>
  </si>
  <si>
    <t>aluminium oxide, non-metallurgical</t>
  </si>
  <si>
    <t>methanol factory</t>
  </si>
  <si>
    <t>natural gas heating, with CCS</t>
  </si>
  <si>
    <t>heating, Abhi</t>
  </si>
  <si>
    <t>methanol, BAU with CCS</t>
  </si>
  <si>
    <t>ammonia, BAU</t>
  </si>
  <si>
    <t>This is the activity for the production of BAU ammonia</t>
  </si>
  <si>
    <t>ammonia, Abhi</t>
  </si>
  <si>
    <t>ammonia production, steam reforming, liquid</t>
  </si>
  <si>
    <t>ammonia, anhydrous, liquid</t>
  </si>
  <si>
    <t>This is the activity for the production of BAU methanol with CCS</t>
  </si>
  <si>
    <t>ammonia, BAU with CCS</t>
  </si>
  <si>
    <t>This is the activity for the production of BAU ammonia with CCS</t>
  </si>
  <si>
    <t>market for solvent, organic</t>
  </si>
  <si>
    <t>market for chemical factory, organics</t>
  </si>
  <si>
    <t>Hydrogen</t>
  </si>
  <si>
    <t>solvent, organic</t>
  </si>
  <si>
    <t>municipal solid waste</t>
  </si>
  <si>
    <t>market for municipal solid waste</t>
  </si>
  <si>
    <t>This is the activity for the production of green ammonia</t>
  </si>
  <si>
    <t>nitrogen gaseous, from cryogenic distillation, without compression</t>
  </si>
  <si>
    <t>This is the activity for 1 kg of nitrogen from cryogenic distillation</t>
  </si>
  <si>
    <t>nitrogen, Abhi</t>
  </si>
  <si>
    <t>air separation facility construction</t>
  </si>
  <si>
    <t>air separation facility</t>
  </si>
  <si>
    <t>lci-Abhi image SSP2-Base 2020</t>
  </si>
  <si>
    <t>ecoinvent 3.8 cutoff image SSP2-Base 2020</t>
  </si>
  <si>
    <t>ammonia; hydrogen, alkaline electrolysis, electricity mix</t>
  </si>
  <si>
    <t>methanol; carbon dioxide, DACCS, carbon engineering, configuration A; hydrogen, alkaline electrolysis, electricity mix</t>
  </si>
  <si>
    <t>This is the activity for the CO2 storage</t>
  </si>
  <si>
    <t>heat pump production, heat and power co-generation unit, 160kW electrical</t>
  </si>
  <si>
    <t>heat pump, heat and power co-generation unit, 160kW electrical</t>
  </si>
  <si>
    <t>market for absorption chiller, 100kW</t>
  </si>
  <si>
    <t>absorption chiller, 100kW</t>
  </si>
  <si>
    <t>market for charcoal</t>
  </si>
  <si>
    <t>charcoal</t>
  </si>
  <si>
    <t>market for gas turbine, 10MW electrical</t>
  </si>
  <si>
    <t>gas turbine, 10MW electrical</t>
  </si>
  <si>
    <t>market for liquid storage tank, chemicals, organics</t>
  </si>
  <si>
    <t>liquid storage tank, chemicals, organics</t>
  </si>
  <si>
    <t>market for pump, 40W</t>
  </si>
  <si>
    <t>pump, 40W</t>
  </si>
  <si>
    <t>market for sodium hydroxide, without water, in 50% solution state</t>
  </si>
  <si>
    <t>CH</t>
  </si>
  <si>
    <t>This is the market activity for heating using natural gas with CCS</t>
  </si>
  <si>
    <t>source</t>
  </si>
  <si>
    <t>industrial furnace production, natural gas</t>
  </si>
  <si>
    <t>industrial furnace, natural gas</t>
  </si>
  <si>
    <t>Benzene</t>
  </si>
  <si>
    <t>Butane</t>
  </si>
  <si>
    <t>Dioxins, measured as 2,3,7,8-tetrachlorodibenzo-p-dioxin</t>
  </si>
  <si>
    <t>Pentane</t>
  </si>
  <si>
    <t>Propane</t>
  </si>
  <si>
    <t>Propionic acid</t>
  </si>
  <si>
    <t>Toluene</t>
  </si>
  <si>
    <t>ethylene, BAU</t>
  </si>
  <si>
    <t>This is the activity for the production of BAU ethylene</t>
  </si>
  <si>
    <t>ethylene, Abhi</t>
  </si>
  <si>
    <t>ethylene production, average</t>
  </si>
  <si>
    <t>ethylene</t>
  </si>
  <si>
    <t>ethylene, fMTO; methanol, BAU</t>
  </si>
  <si>
    <t>This is the activity for the production of ethylene via fMTO</t>
  </si>
  <si>
    <t>steam production, in chemical industry</t>
  </si>
  <si>
    <t>steam, in chemical industry</t>
  </si>
  <si>
    <t>This is the activity for the production of ethylene via direct electroreduction of carbon dioxide</t>
  </si>
  <si>
    <t>water production, ultrapure</t>
  </si>
  <si>
    <t>water, ultrapure</t>
  </si>
  <si>
    <t>ethylene, electroreduction; carbon dioxide, DACCS, carbon engineering, configuration A; grid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</si>
</sst>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5">
    <xf numFmtId="0" fontId="0" fillId="0" borderId="0" xfId="0"/>
    <xf numFmtId="0" fontId="3" fillId="2" borderId="0" xfId="1" applyFont="1" applyFill="1"/>
    <xf numFmtId="0" fontId="4" fillId="2" borderId="0" xfId="0" applyFont="1" applyFill="1" applyAlignment="1">
      <alignment horizontal="left"/>
    </xf>
    <xf numFmtId="0" fontId="4" fillId="2" borderId="0" xfId="1" applyFont="1" applyFill="1"/>
    <xf numFmtId="0" fontId="4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2"/>
    <xf numFmtId="11" fontId="5" fillId="0" borderId="0" xfId="2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5" fillId="0" borderId="0" xfId="2" applyNumberFormat="1" applyAlignment="1">
      <alignment horizontal="center"/>
    </xf>
    <xf numFmtId="11" fontId="0" fillId="0" borderId="0" xfId="0" applyNumberFormat="1"/>
    <xf numFmtId="11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1" applyFont="1"/>
    <xf numFmtId="164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quotePrefix="1" applyFont="1" applyAlignment="1">
      <alignment horizontal="left"/>
    </xf>
    <xf numFmtId="164" fontId="4" fillId="0" borderId="0" xfId="0" applyNumberFormat="1" applyFont="1" applyAlignment="1">
      <alignment horizontal="left"/>
    </xf>
    <xf numFmtId="11" fontId="4" fillId="0" borderId="0" xfId="1" applyNumberFormat="1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11" fontId="4" fillId="0" borderId="0" xfId="0" applyNumberFormat="1" applyFont="1"/>
    <xf numFmtId="165" fontId="4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</cellXfs>
  <cellStyles count="3">
    <cellStyle name="Normal" xfId="0" builtinId="0"/>
    <cellStyle name="Normal 11" xfId="1" xr:uid="{B48AFCE0-D64F-451E-94F7-7CD79D4FF42C}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B0DF-8D70-4F6A-B648-BDAB88235010}">
  <dimension ref="A1:S735"/>
  <sheetViews>
    <sheetView topLeftCell="A698" zoomScaleNormal="100" workbookViewId="0">
      <selection activeCell="E703" sqref="E703"/>
    </sheetView>
  </sheetViews>
  <sheetFormatPr defaultColWidth="8.77734375" defaultRowHeight="14.4" x14ac:dyDescent="0.3"/>
  <cols>
    <col min="1" max="1" width="94.6640625" style="9" bestFit="1" customWidth="1"/>
    <col min="2" max="2" width="11" style="9" customWidth="1"/>
    <col min="3" max="3" width="34" style="9" bestFit="1" customWidth="1"/>
    <col min="4" max="4" width="8.77734375" style="9"/>
    <col min="5" max="5" width="17.109375" style="9" bestFit="1" customWidth="1"/>
    <col min="6" max="6" width="24.77734375" style="9" bestFit="1" customWidth="1"/>
    <col min="7" max="7" width="14.109375" style="9" customWidth="1"/>
    <col min="8" max="16384" width="8.77734375" style="9"/>
  </cols>
  <sheetData>
    <row r="1" spans="1:19" x14ac:dyDescent="0.3">
      <c r="A1" s="1" t="s">
        <v>0</v>
      </c>
      <c r="B1" s="1" t="s">
        <v>573</v>
      </c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</row>
    <row r="2" spans="1:19" x14ac:dyDescent="0.3">
      <c r="A2" s="5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">
      <c r="A3" s="8" t="s">
        <v>1</v>
      </c>
      <c r="B3" s="8" t="s">
        <v>19</v>
      </c>
      <c r="M3" s="7"/>
      <c r="N3" s="7"/>
      <c r="O3" s="7"/>
      <c r="P3" s="7"/>
      <c r="Q3" s="7"/>
      <c r="R3" s="7"/>
      <c r="S3" s="7"/>
    </row>
    <row r="4" spans="1:19" x14ac:dyDescent="0.3">
      <c r="A4" s="9" t="s">
        <v>2</v>
      </c>
      <c r="B4" s="9" t="s">
        <v>20</v>
      </c>
      <c r="M4" s="7"/>
      <c r="N4" s="7"/>
      <c r="O4" s="7"/>
      <c r="P4" s="7"/>
      <c r="Q4" s="7"/>
      <c r="R4" s="7"/>
      <c r="S4" s="7"/>
    </row>
    <row r="5" spans="1:19" x14ac:dyDescent="0.3">
      <c r="A5" s="9" t="s">
        <v>3</v>
      </c>
      <c r="B5" s="9" t="s">
        <v>21</v>
      </c>
      <c r="M5" s="7"/>
      <c r="N5" s="7"/>
      <c r="O5" s="7"/>
      <c r="P5" s="7"/>
      <c r="Q5" s="7"/>
      <c r="R5" s="7"/>
      <c r="S5" s="7"/>
    </row>
    <row r="6" spans="1:19" x14ac:dyDescent="0.3">
      <c r="A6" s="9" t="s">
        <v>5</v>
      </c>
      <c r="B6" s="9">
        <v>1</v>
      </c>
      <c r="M6" s="7"/>
      <c r="N6" s="7"/>
      <c r="O6" s="7"/>
      <c r="P6" s="7"/>
      <c r="Q6" s="7"/>
      <c r="R6" s="7"/>
      <c r="S6" s="7"/>
    </row>
    <row r="7" spans="1:19" x14ac:dyDescent="0.3">
      <c r="A7" s="9" t="s">
        <v>4</v>
      </c>
      <c r="B7" s="9" t="s">
        <v>19</v>
      </c>
      <c r="M7" s="7"/>
      <c r="N7" s="7"/>
      <c r="O7" s="7"/>
      <c r="P7" s="7"/>
      <c r="Q7" s="7"/>
      <c r="R7" s="7"/>
      <c r="S7" s="7"/>
    </row>
    <row r="8" spans="1:19" x14ac:dyDescent="0.3">
      <c r="A8" s="9" t="s">
        <v>6</v>
      </c>
      <c r="B8" s="9" t="s">
        <v>15</v>
      </c>
      <c r="M8" s="7"/>
      <c r="N8" s="7"/>
      <c r="O8" s="7"/>
      <c r="P8" s="7"/>
      <c r="Q8" s="7"/>
      <c r="R8" s="7"/>
      <c r="S8" s="7"/>
    </row>
    <row r="9" spans="1:19" x14ac:dyDescent="0.3">
      <c r="A9" s="8" t="s">
        <v>8</v>
      </c>
      <c r="M9" s="7"/>
      <c r="N9" s="7"/>
      <c r="O9" s="7"/>
      <c r="P9" s="7"/>
      <c r="Q9" s="7"/>
      <c r="R9" s="7"/>
      <c r="S9" s="7"/>
    </row>
    <row r="10" spans="1:19" x14ac:dyDescent="0.3">
      <c r="A10" s="9" t="s">
        <v>9</v>
      </c>
      <c r="B10" s="9" t="s">
        <v>10</v>
      </c>
      <c r="C10" s="9" t="s">
        <v>11</v>
      </c>
      <c r="D10" s="9" t="s">
        <v>3</v>
      </c>
      <c r="E10" s="9" t="s">
        <v>6</v>
      </c>
      <c r="F10" s="9" t="s">
        <v>13</v>
      </c>
      <c r="G10" s="9" t="s">
        <v>4</v>
      </c>
      <c r="M10" s="7"/>
      <c r="N10" s="7"/>
      <c r="O10" s="7"/>
      <c r="P10" s="7"/>
      <c r="Q10" s="7"/>
      <c r="R10" s="7"/>
      <c r="S10" s="7"/>
    </row>
    <row r="11" spans="1:19" x14ac:dyDescent="0.3">
      <c r="A11" s="9" t="s">
        <v>19</v>
      </c>
      <c r="B11" s="16">
        <v>1</v>
      </c>
      <c r="C11" s="9" t="s">
        <v>573</v>
      </c>
      <c r="D11" s="9" t="s">
        <v>21</v>
      </c>
      <c r="E11" s="9" t="s">
        <v>15</v>
      </c>
      <c r="F11" s="9" t="s">
        <v>14</v>
      </c>
      <c r="G11" s="9" t="s">
        <v>19</v>
      </c>
    </row>
    <row r="12" spans="1:19" x14ac:dyDescent="0.3">
      <c r="A12" s="9" t="s">
        <v>22</v>
      </c>
      <c r="B12" s="16">
        <v>0.18</v>
      </c>
      <c r="C12" s="9" t="s">
        <v>574</v>
      </c>
      <c r="D12" s="9" t="s">
        <v>23</v>
      </c>
      <c r="E12" s="9" t="s">
        <v>24</v>
      </c>
      <c r="F12" s="9" t="s">
        <v>25</v>
      </c>
      <c r="G12" s="9" t="s">
        <v>26</v>
      </c>
    </row>
    <row r="13" spans="1:19" x14ac:dyDescent="0.3">
      <c r="A13" s="9" t="s">
        <v>27</v>
      </c>
      <c r="B13" s="16">
        <v>9</v>
      </c>
      <c r="C13" s="9" t="s">
        <v>574</v>
      </c>
      <c r="D13" s="9" t="s">
        <v>23</v>
      </c>
      <c r="E13" s="9" t="s">
        <v>15</v>
      </c>
      <c r="F13" s="9" t="s">
        <v>25</v>
      </c>
      <c r="G13" s="9" t="s">
        <v>28</v>
      </c>
    </row>
    <row r="14" spans="1:19" x14ac:dyDescent="0.3">
      <c r="A14" s="5"/>
      <c r="B14" s="5"/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A15" s="8" t="s">
        <v>1</v>
      </c>
      <c r="B15" s="8" t="s">
        <v>29</v>
      </c>
    </row>
    <row r="16" spans="1:19" x14ac:dyDescent="0.3">
      <c r="A16" s="9" t="s">
        <v>2</v>
      </c>
      <c r="B16" s="9" t="s">
        <v>30</v>
      </c>
    </row>
    <row r="17" spans="1:19" x14ac:dyDescent="0.3">
      <c r="A17" s="9" t="s">
        <v>3</v>
      </c>
      <c r="B17" s="9" t="s">
        <v>21</v>
      </c>
    </row>
    <row r="18" spans="1:19" x14ac:dyDescent="0.3">
      <c r="A18" s="9" t="s">
        <v>5</v>
      </c>
      <c r="B18" s="9">
        <v>1</v>
      </c>
    </row>
    <row r="19" spans="1:19" x14ac:dyDescent="0.3">
      <c r="A19" s="9" t="s">
        <v>4</v>
      </c>
      <c r="B19" s="9" t="s">
        <v>31</v>
      </c>
    </row>
    <row r="20" spans="1:19" x14ac:dyDescent="0.3">
      <c r="A20" s="9" t="s">
        <v>6</v>
      </c>
      <c r="B20" s="9" t="s">
        <v>15</v>
      </c>
    </row>
    <row r="21" spans="1:19" x14ac:dyDescent="0.3">
      <c r="A21" s="8" t="s">
        <v>8</v>
      </c>
    </row>
    <row r="22" spans="1:19" x14ac:dyDescent="0.3">
      <c r="A22" s="9" t="s">
        <v>9</v>
      </c>
      <c r="B22" s="9" t="s">
        <v>10</v>
      </c>
      <c r="C22" s="9" t="s">
        <v>11</v>
      </c>
      <c r="D22" s="9" t="s">
        <v>3</v>
      </c>
      <c r="E22" s="9" t="s">
        <v>6</v>
      </c>
      <c r="F22" s="9" t="s">
        <v>12</v>
      </c>
      <c r="G22" s="9" t="s">
        <v>13</v>
      </c>
      <c r="H22" s="9" t="s">
        <v>4</v>
      </c>
    </row>
    <row r="23" spans="1:19" x14ac:dyDescent="0.3">
      <c r="A23" s="9" t="s">
        <v>32</v>
      </c>
      <c r="B23" s="11">
        <v>3.2509999999999999E-6</v>
      </c>
      <c r="C23" s="9" t="s">
        <v>16</v>
      </c>
      <c r="E23" s="9" t="s">
        <v>15</v>
      </c>
      <c r="F23" s="9" t="s">
        <v>33</v>
      </c>
      <c r="G23" s="9" t="s">
        <v>18</v>
      </c>
    </row>
    <row r="24" spans="1:19" x14ac:dyDescent="0.3">
      <c r="A24" s="9" t="s">
        <v>29</v>
      </c>
      <c r="B24" s="16">
        <v>1</v>
      </c>
      <c r="C24" s="9" t="s">
        <v>573</v>
      </c>
      <c r="D24" s="9" t="s">
        <v>21</v>
      </c>
      <c r="E24" s="9" t="s">
        <v>15</v>
      </c>
      <c r="G24" s="9" t="s">
        <v>14</v>
      </c>
      <c r="H24" s="9" t="s">
        <v>31</v>
      </c>
    </row>
    <row r="25" spans="1:19" x14ac:dyDescent="0.3">
      <c r="A25" s="9" t="s">
        <v>34</v>
      </c>
      <c r="B25" s="11">
        <v>4.7780000000000002E-8</v>
      </c>
      <c r="C25" s="9" t="s">
        <v>574</v>
      </c>
      <c r="D25" s="9" t="s">
        <v>23</v>
      </c>
      <c r="E25" s="9" t="s">
        <v>7</v>
      </c>
      <c r="G25" s="9" t="s">
        <v>25</v>
      </c>
      <c r="H25" s="9" t="s">
        <v>35</v>
      </c>
    </row>
    <row r="26" spans="1:19" x14ac:dyDescent="0.3">
      <c r="A26" s="9" t="s">
        <v>36</v>
      </c>
      <c r="B26" s="11">
        <v>1.9410000000000001E-6</v>
      </c>
      <c r="C26" s="9" t="s">
        <v>574</v>
      </c>
      <c r="D26" s="9" t="s">
        <v>21</v>
      </c>
      <c r="E26" s="9" t="s">
        <v>15</v>
      </c>
      <c r="G26" s="9" t="s">
        <v>25</v>
      </c>
      <c r="H26" s="9" t="s">
        <v>37</v>
      </c>
    </row>
    <row r="27" spans="1:19" x14ac:dyDescent="0.3">
      <c r="A27" s="9" t="s">
        <v>38</v>
      </c>
      <c r="B27" s="11">
        <v>8.2189999999999997E-8</v>
      </c>
      <c r="C27" s="9" t="s">
        <v>574</v>
      </c>
      <c r="D27" s="9" t="s">
        <v>21</v>
      </c>
      <c r="E27" s="9" t="s">
        <v>39</v>
      </c>
      <c r="G27" s="9" t="s">
        <v>25</v>
      </c>
      <c r="H27" s="9" t="s">
        <v>40</v>
      </c>
    </row>
    <row r="28" spans="1:19" x14ac:dyDescent="0.3">
      <c r="A28" s="9" t="s">
        <v>41</v>
      </c>
      <c r="B28" s="11">
        <v>1.7350000000000002E-5</v>
      </c>
      <c r="C28" s="9" t="s">
        <v>574</v>
      </c>
      <c r="D28" s="9" t="s">
        <v>23</v>
      </c>
      <c r="E28" s="9" t="s">
        <v>15</v>
      </c>
      <c r="G28" s="9" t="s">
        <v>25</v>
      </c>
      <c r="H28" s="9" t="s">
        <v>42</v>
      </c>
    </row>
    <row r="29" spans="1:19" x14ac:dyDescent="0.3">
      <c r="A29" s="9" t="s">
        <v>43</v>
      </c>
      <c r="B29" s="11">
        <v>3.6990000000000003E-5</v>
      </c>
      <c r="C29" s="9" t="s">
        <v>574</v>
      </c>
      <c r="D29" s="9" t="s">
        <v>23</v>
      </c>
      <c r="E29" s="9" t="s">
        <v>15</v>
      </c>
      <c r="G29" s="9" t="s">
        <v>25</v>
      </c>
      <c r="H29" s="9" t="s">
        <v>44</v>
      </c>
    </row>
    <row r="30" spans="1:19" x14ac:dyDescent="0.3">
      <c r="A30" s="9" t="s">
        <v>45</v>
      </c>
      <c r="B30" s="11">
        <v>3.4210000000000002E-4</v>
      </c>
      <c r="C30" s="9" t="s">
        <v>574</v>
      </c>
      <c r="D30" s="9" t="s">
        <v>23</v>
      </c>
      <c r="E30" s="9" t="s">
        <v>46</v>
      </c>
      <c r="G30" s="9" t="s">
        <v>25</v>
      </c>
      <c r="H30" s="9" t="s">
        <v>45</v>
      </c>
    </row>
    <row r="31" spans="1:19" x14ac:dyDescent="0.3">
      <c r="A31" s="5"/>
      <c r="B31" s="5"/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3">
      <c r="A32" s="8" t="s">
        <v>1</v>
      </c>
      <c r="B32" s="8" t="s">
        <v>47</v>
      </c>
    </row>
    <row r="33" spans="1:19" x14ac:dyDescent="0.3">
      <c r="A33" s="9" t="s">
        <v>2</v>
      </c>
      <c r="B33" s="9" t="s">
        <v>48</v>
      </c>
    </row>
    <row r="34" spans="1:19" x14ac:dyDescent="0.3">
      <c r="A34" s="9" t="s">
        <v>3</v>
      </c>
      <c r="B34" s="9" t="s">
        <v>21</v>
      </c>
    </row>
    <row r="35" spans="1:19" x14ac:dyDescent="0.3">
      <c r="A35" s="9" t="s">
        <v>5</v>
      </c>
      <c r="B35" s="9">
        <v>1</v>
      </c>
    </row>
    <row r="36" spans="1:19" x14ac:dyDescent="0.3">
      <c r="A36" s="9" t="s">
        <v>4</v>
      </c>
      <c r="B36" s="9" t="s">
        <v>49</v>
      </c>
    </row>
    <row r="37" spans="1:19" x14ac:dyDescent="0.3">
      <c r="A37" s="9" t="s">
        <v>6</v>
      </c>
      <c r="B37" s="9" t="s">
        <v>15</v>
      </c>
    </row>
    <row r="38" spans="1:19" x14ac:dyDescent="0.3">
      <c r="A38" s="8" t="s">
        <v>8</v>
      </c>
    </row>
    <row r="39" spans="1:19" x14ac:dyDescent="0.3">
      <c r="A39" s="9" t="s">
        <v>9</v>
      </c>
      <c r="B39" s="9" t="s">
        <v>10</v>
      </c>
      <c r="C39" s="9" t="s">
        <v>11</v>
      </c>
      <c r="D39" s="9" t="s">
        <v>3</v>
      </c>
      <c r="E39" s="9" t="s">
        <v>6</v>
      </c>
      <c r="F39" s="9" t="s">
        <v>12</v>
      </c>
      <c r="G39" s="9" t="s">
        <v>13</v>
      </c>
      <c r="H39" s="9" t="s">
        <v>4</v>
      </c>
    </row>
    <row r="40" spans="1:19" x14ac:dyDescent="0.3">
      <c r="A40" s="9" t="s">
        <v>50</v>
      </c>
      <c r="B40" s="16">
        <v>-1</v>
      </c>
      <c r="C40" s="9" t="s">
        <v>16</v>
      </c>
      <c r="E40" s="9" t="s">
        <v>15</v>
      </c>
      <c r="F40" s="9" t="s">
        <v>51</v>
      </c>
      <c r="G40" s="9" t="s">
        <v>18</v>
      </c>
    </row>
    <row r="41" spans="1:19" x14ac:dyDescent="0.3">
      <c r="A41" s="9" t="s">
        <v>47</v>
      </c>
      <c r="B41" s="16">
        <v>1</v>
      </c>
      <c r="C41" s="9" t="s">
        <v>573</v>
      </c>
      <c r="D41" s="9" t="s">
        <v>21</v>
      </c>
      <c r="E41" s="9" t="s">
        <v>15</v>
      </c>
      <c r="G41" s="9" t="s">
        <v>14</v>
      </c>
      <c r="H41" s="9" t="s">
        <v>49</v>
      </c>
    </row>
    <row r="42" spans="1:19" x14ac:dyDescent="0.3">
      <c r="A42" s="5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3">
      <c r="A43" s="8" t="s">
        <v>1</v>
      </c>
      <c r="B43" s="8" t="s">
        <v>52</v>
      </c>
    </row>
    <row r="44" spans="1:19" x14ac:dyDescent="0.3">
      <c r="A44" s="9" t="s">
        <v>2</v>
      </c>
      <c r="B44" s="9" t="s">
        <v>53</v>
      </c>
    </row>
    <row r="45" spans="1:19" x14ac:dyDescent="0.3">
      <c r="A45" s="9" t="s">
        <v>3</v>
      </c>
      <c r="B45" s="9" t="s">
        <v>21</v>
      </c>
    </row>
    <row r="46" spans="1:19" x14ac:dyDescent="0.3">
      <c r="A46" s="9" t="s">
        <v>5</v>
      </c>
      <c r="B46" s="9">
        <v>1</v>
      </c>
    </row>
    <row r="47" spans="1:19" x14ac:dyDescent="0.3">
      <c r="A47" s="9" t="s">
        <v>4</v>
      </c>
      <c r="B47" s="9" t="s">
        <v>54</v>
      </c>
    </row>
    <row r="48" spans="1:19" x14ac:dyDescent="0.3">
      <c r="A48" s="9" t="s">
        <v>6</v>
      </c>
      <c r="B48" s="9" t="s">
        <v>15</v>
      </c>
    </row>
    <row r="49" spans="1:8" x14ac:dyDescent="0.3">
      <c r="A49" s="8" t="s">
        <v>8</v>
      </c>
    </row>
    <row r="50" spans="1:8" x14ac:dyDescent="0.3">
      <c r="A50" s="9" t="s">
        <v>9</v>
      </c>
      <c r="B50" s="9" t="s">
        <v>10</v>
      </c>
      <c r="C50" s="9" t="s">
        <v>11</v>
      </c>
      <c r="D50" s="9" t="s">
        <v>3</v>
      </c>
      <c r="E50" s="9" t="s">
        <v>6</v>
      </c>
      <c r="F50" s="9" t="s">
        <v>12</v>
      </c>
      <c r="G50" s="9" t="s">
        <v>13</v>
      </c>
      <c r="H50" s="9" t="s">
        <v>4</v>
      </c>
    </row>
    <row r="51" spans="1:8" x14ac:dyDescent="0.3">
      <c r="A51" s="9" t="s">
        <v>50</v>
      </c>
      <c r="B51" s="16">
        <v>0</v>
      </c>
      <c r="C51" s="9" t="s">
        <v>16</v>
      </c>
      <c r="E51" s="9" t="s">
        <v>15</v>
      </c>
      <c r="F51" s="9" t="s">
        <v>51</v>
      </c>
      <c r="G51" s="9" t="s">
        <v>18</v>
      </c>
    </row>
    <row r="52" spans="1:8" x14ac:dyDescent="0.3">
      <c r="A52" s="9" t="s">
        <v>55</v>
      </c>
      <c r="B52" s="11">
        <v>1.4039999999999999E-5</v>
      </c>
      <c r="C52" s="9" t="s">
        <v>16</v>
      </c>
      <c r="E52" s="9" t="s">
        <v>56</v>
      </c>
      <c r="F52" s="9" t="s">
        <v>57</v>
      </c>
      <c r="G52" s="9" t="s">
        <v>18</v>
      </c>
    </row>
    <row r="53" spans="1:8" x14ac:dyDescent="0.3">
      <c r="A53" s="9" t="s">
        <v>32</v>
      </c>
      <c r="B53" s="16">
        <v>1.155E-2</v>
      </c>
      <c r="C53" s="9" t="s">
        <v>16</v>
      </c>
      <c r="E53" s="9" t="s">
        <v>15</v>
      </c>
      <c r="F53" s="9" t="s">
        <v>33</v>
      </c>
      <c r="G53" s="9" t="s">
        <v>18</v>
      </c>
    </row>
    <row r="54" spans="1:8" x14ac:dyDescent="0.3">
      <c r="A54" s="9" t="s">
        <v>58</v>
      </c>
      <c r="B54" s="11">
        <v>8.5109999999999986E-6</v>
      </c>
      <c r="C54" s="9" t="s">
        <v>16</v>
      </c>
      <c r="E54" s="9" t="s">
        <v>59</v>
      </c>
      <c r="F54" s="9" t="s">
        <v>57</v>
      </c>
      <c r="G54" s="9" t="s">
        <v>18</v>
      </c>
    </row>
    <row r="55" spans="1:8" x14ac:dyDescent="0.3">
      <c r="A55" s="9" t="s">
        <v>60</v>
      </c>
      <c r="B55" s="11">
        <v>8.5109999999999986E-6</v>
      </c>
      <c r="C55" s="9" t="s">
        <v>16</v>
      </c>
      <c r="E55" s="9" t="s">
        <v>59</v>
      </c>
      <c r="F55" s="9" t="s">
        <v>57</v>
      </c>
      <c r="G55" s="9" t="s">
        <v>18</v>
      </c>
    </row>
    <row r="56" spans="1:8" x14ac:dyDescent="0.3">
      <c r="A56" s="9" t="s">
        <v>52</v>
      </c>
      <c r="B56" s="16">
        <v>1</v>
      </c>
      <c r="C56" s="9" t="s">
        <v>573</v>
      </c>
      <c r="D56" s="9" t="s">
        <v>21</v>
      </c>
      <c r="E56" s="9" t="s">
        <v>15</v>
      </c>
      <c r="G56" s="9" t="s">
        <v>14</v>
      </c>
      <c r="H56" s="9" t="s">
        <v>54</v>
      </c>
    </row>
    <row r="57" spans="1:8" x14ac:dyDescent="0.3">
      <c r="A57" s="9" t="s">
        <v>61</v>
      </c>
      <c r="B57" s="11">
        <v>9.8720000000000014E-6</v>
      </c>
      <c r="C57" s="9" t="s">
        <v>574</v>
      </c>
      <c r="D57" s="9" t="s">
        <v>23</v>
      </c>
      <c r="E57" s="9" t="s">
        <v>15</v>
      </c>
      <c r="G57" s="9" t="s">
        <v>25</v>
      </c>
      <c r="H57" s="9" t="s">
        <v>62</v>
      </c>
    </row>
    <row r="58" spans="1:8" x14ac:dyDescent="0.3">
      <c r="A58" s="9" t="s">
        <v>34</v>
      </c>
      <c r="B58" s="11">
        <v>4.7780000000000002E-8</v>
      </c>
      <c r="C58" s="9" t="s">
        <v>574</v>
      </c>
      <c r="D58" s="9" t="s">
        <v>23</v>
      </c>
      <c r="E58" s="9" t="s">
        <v>7</v>
      </c>
      <c r="G58" s="9" t="s">
        <v>25</v>
      </c>
      <c r="H58" s="9" t="s">
        <v>35</v>
      </c>
    </row>
    <row r="59" spans="1:8" x14ac:dyDescent="0.3">
      <c r="A59" s="9" t="s">
        <v>36</v>
      </c>
      <c r="B59" s="11">
        <v>1.9410000000000001E-6</v>
      </c>
      <c r="C59" s="9" t="s">
        <v>574</v>
      </c>
      <c r="D59" s="9" t="s">
        <v>21</v>
      </c>
      <c r="E59" s="9" t="s">
        <v>15</v>
      </c>
      <c r="G59" s="9" t="s">
        <v>25</v>
      </c>
      <c r="H59" s="9" t="s">
        <v>37</v>
      </c>
    </row>
    <row r="60" spans="1:8" x14ac:dyDescent="0.3">
      <c r="A60" s="9" t="s">
        <v>63</v>
      </c>
      <c r="B60" s="16">
        <v>1.409E-2</v>
      </c>
      <c r="C60" s="9" t="s">
        <v>574</v>
      </c>
      <c r="D60" s="9" t="s">
        <v>21</v>
      </c>
      <c r="E60" s="9" t="s">
        <v>24</v>
      </c>
      <c r="G60" s="9" t="s">
        <v>25</v>
      </c>
      <c r="H60" s="9" t="s">
        <v>63</v>
      </c>
    </row>
    <row r="61" spans="1:8" x14ac:dyDescent="0.3">
      <c r="A61" s="9" t="s">
        <v>64</v>
      </c>
      <c r="B61" s="11">
        <v>1.021E-3</v>
      </c>
      <c r="C61" s="9" t="s">
        <v>574</v>
      </c>
      <c r="D61" s="9" t="s">
        <v>23</v>
      </c>
      <c r="E61" s="9" t="s">
        <v>15</v>
      </c>
      <c r="G61" s="9" t="s">
        <v>25</v>
      </c>
      <c r="H61" s="9" t="s">
        <v>64</v>
      </c>
    </row>
    <row r="62" spans="1:8" x14ac:dyDescent="0.3">
      <c r="A62" s="9" t="s">
        <v>65</v>
      </c>
      <c r="B62" s="11">
        <v>1.3140000000000001E-3</v>
      </c>
      <c r="C62" s="9" t="s">
        <v>574</v>
      </c>
      <c r="D62" s="9" t="s">
        <v>23</v>
      </c>
      <c r="E62" s="9" t="s">
        <v>46</v>
      </c>
      <c r="G62" s="9" t="s">
        <v>25</v>
      </c>
      <c r="H62" s="9" t="s">
        <v>45</v>
      </c>
    </row>
    <row r="63" spans="1:8" x14ac:dyDescent="0.3">
      <c r="A63" s="9" t="s">
        <v>38</v>
      </c>
      <c r="B63" s="11">
        <v>8.2189999999999997E-8</v>
      </c>
      <c r="C63" s="9" t="s">
        <v>574</v>
      </c>
      <c r="D63" s="9" t="s">
        <v>21</v>
      </c>
      <c r="E63" s="9" t="s">
        <v>39</v>
      </c>
      <c r="G63" s="9" t="s">
        <v>25</v>
      </c>
      <c r="H63" s="9" t="s">
        <v>40</v>
      </c>
    </row>
    <row r="64" spans="1:8" x14ac:dyDescent="0.3">
      <c r="A64" s="9" t="s">
        <v>66</v>
      </c>
      <c r="B64" s="11">
        <v>1.9740000000000001E-5</v>
      </c>
      <c r="C64" s="9" t="s">
        <v>574</v>
      </c>
      <c r="D64" s="9" t="s">
        <v>23</v>
      </c>
      <c r="E64" s="9" t="s">
        <v>15</v>
      </c>
      <c r="G64" s="9" t="s">
        <v>25</v>
      </c>
      <c r="H64" s="9" t="s">
        <v>67</v>
      </c>
    </row>
    <row r="65" spans="1:19" x14ac:dyDescent="0.3">
      <c r="A65" s="9" t="s">
        <v>68</v>
      </c>
      <c r="B65" s="11">
        <v>1.021E-3</v>
      </c>
      <c r="C65" s="9" t="s">
        <v>574</v>
      </c>
      <c r="D65" s="9" t="s">
        <v>23</v>
      </c>
      <c r="E65" s="9" t="s">
        <v>15</v>
      </c>
      <c r="G65" s="9" t="s">
        <v>25</v>
      </c>
      <c r="H65" s="9" t="s">
        <v>69</v>
      </c>
    </row>
    <row r="66" spans="1:19" x14ac:dyDescent="0.3">
      <c r="A66" s="9" t="s">
        <v>41</v>
      </c>
      <c r="B66" s="11">
        <v>1.7350000000000002E-5</v>
      </c>
      <c r="C66" s="9" t="s">
        <v>574</v>
      </c>
      <c r="D66" s="9" t="s">
        <v>23</v>
      </c>
      <c r="E66" s="9" t="s">
        <v>15</v>
      </c>
      <c r="G66" s="9" t="s">
        <v>25</v>
      </c>
      <c r="H66" s="9" t="s">
        <v>42</v>
      </c>
    </row>
    <row r="67" spans="1:19" x14ac:dyDescent="0.3">
      <c r="A67" s="9" t="s">
        <v>43</v>
      </c>
      <c r="B67" s="11">
        <v>3.6990000000000003E-5</v>
      </c>
      <c r="C67" s="9" t="s">
        <v>574</v>
      </c>
      <c r="D67" s="9" t="s">
        <v>23</v>
      </c>
      <c r="E67" s="9" t="s">
        <v>15</v>
      </c>
      <c r="G67" s="9" t="s">
        <v>25</v>
      </c>
      <c r="H67" s="9" t="s">
        <v>44</v>
      </c>
    </row>
    <row r="68" spans="1:19" x14ac:dyDescent="0.3">
      <c r="A68" s="9" t="s">
        <v>70</v>
      </c>
      <c r="B68" s="16">
        <v>-4.731E-3</v>
      </c>
      <c r="C68" s="9" t="s">
        <v>574</v>
      </c>
      <c r="D68" s="9" t="s">
        <v>23</v>
      </c>
      <c r="E68" s="9" t="s">
        <v>15</v>
      </c>
      <c r="G68" s="9" t="s">
        <v>25</v>
      </c>
      <c r="H68" s="9" t="s">
        <v>71</v>
      </c>
    </row>
    <row r="69" spans="1:19" x14ac:dyDescent="0.3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x14ac:dyDescent="0.3">
      <c r="A70" s="8" t="s">
        <v>1</v>
      </c>
      <c r="B70" s="8" t="s">
        <v>72</v>
      </c>
    </row>
    <row r="71" spans="1:19" x14ac:dyDescent="0.3">
      <c r="A71" s="9" t="s">
        <v>2</v>
      </c>
      <c r="B71" s="9" t="s">
        <v>73</v>
      </c>
    </row>
    <row r="72" spans="1:19" x14ac:dyDescent="0.3">
      <c r="A72" s="9" t="s">
        <v>3</v>
      </c>
      <c r="B72" s="9" t="s">
        <v>21</v>
      </c>
    </row>
    <row r="73" spans="1:19" x14ac:dyDescent="0.3">
      <c r="A73" s="9" t="s">
        <v>5</v>
      </c>
      <c r="B73" s="9">
        <v>1</v>
      </c>
    </row>
    <row r="74" spans="1:19" x14ac:dyDescent="0.3">
      <c r="A74" s="9" t="s">
        <v>4</v>
      </c>
      <c r="B74" s="9" t="s">
        <v>74</v>
      </c>
    </row>
    <row r="75" spans="1:19" x14ac:dyDescent="0.3">
      <c r="A75" s="9" t="s">
        <v>6</v>
      </c>
      <c r="B75" s="9" t="s">
        <v>15</v>
      </c>
    </row>
    <row r="76" spans="1:19" x14ac:dyDescent="0.3">
      <c r="A76" s="8" t="s">
        <v>8</v>
      </c>
    </row>
    <row r="77" spans="1:19" x14ac:dyDescent="0.3">
      <c r="A77" s="9" t="s">
        <v>9</v>
      </c>
      <c r="B77" s="9" t="s">
        <v>10</v>
      </c>
      <c r="C77" s="9" t="s">
        <v>11</v>
      </c>
      <c r="D77" s="9" t="s">
        <v>3</v>
      </c>
      <c r="E77" s="9" t="s">
        <v>6</v>
      </c>
      <c r="F77" s="9" t="s">
        <v>12</v>
      </c>
      <c r="G77" s="9" t="s">
        <v>13</v>
      </c>
      <c r="H77" s="9" t="s">
        <v>4</v>
      </c>
    </row>
    <row r="78" spans="1:19" x14ac:dyDescent="0.3">
      <c r="A78" s="9" t="s">
        <v>75</v>
      </c>
      <c r="B78" s="16">
        <v>0</v>
      </c>
      <c r="C78" s="9" t="s">
        <v>16</v>
      </c>
      <c r="E78" s="9" t="s">
        <v>15</v>
      </c>
      <c r="F78" s="9" t="s">
        <v>51</v>
      </c>
      <c r="G78" s="9" t="s">
        <v>18</v>
      </c>
    </row>
    <row r="79" spans="1:19" x14ac:dyDescent="0.3">
      <c r="A79" s="9" t="s">
        <v>72</v>
      </c>
      <c r="B79" s="16">
        <v>1</v>
      </c>
      <c r="C79" s="9" t="s">
        <v>573</v>
      </c>
      <c r="D79" s="9" t="s">
        <v>21</v>
      </c>
      <c r="E79" s="9" t="s">
        <v>15</v>
      </c>
      <c r="G79" s="9" t="s">
        <v>14</v>
      </c>
      <c r="H79" s="9" t="s">
        <v>74</v>
      </c>
    </row>
    <row r="80" spans="1:19" x14ac:dyDescent="0.3">
      <c r="A80" s="9" t="s">
        <v>52</v>
      </c>
      <c r="B80" s="16">
        <v>1</v>
      </c>
      <c r="C80" s="9" t="s">
        <v>573</v>
      </c>
      <c r="D80" s="9" t="s">
        <v>21</v>
      </c>
      <c r="E80" s="9" t="s">
        <v>15</v>
      </c>
      <c r="G80" s="9" t="s">
        <v>25</v>
      </c>
      <c r="H80" s="9" t="s">
        <v>54</v>
      </c>
    </row>
    <row r="81" spans="1:19" x14ac:dyDescent="0.3">
      <c r="A81" s="9" t="s">
        <v>421</v>
      </c>
      <c r="B81" s="16">
        <v>1.3070999999999999E-2</v>
      </c>
      <c r="C81" t="s">
        <v>574</v>
      </c>
      <c r="D81" s="9" t="s">
        <v>21</v>
      </c>
      <c r="E81" s="9" t="s">
        <v>76</v>
      </c>
      <c r="G81" s="9" t="s">
        <v>25</v>
      </c>
      <c r="H81" t="s">
        <v>77</v>
      </c>
    </row>
    <row r="82" spans="1:19" x14ac:dyDescent="0.3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3">
      <c r="A83" s="8" t="s">
        <v>1</v>
      </c>
      <c r="B83" s="8" t="s">
        <v>78</v>
      </c>
    </row>
    <row r="84" spans="1:19" x14ac:dyDescent="0.3">
      <c r="A84" s="9" t="s">
        <v>2</v>
      </c>
      <c r="B84" s="9" t="s">
        <v>73</v>
      </c>
    </row>
    <row r="85" spans="1:19" x14ac:dyDescent="0.3">
      <c r="A85" s="9" t="s">
        <v>3</v>
      </c>
      <c r="B85" s="9" t="s">
        <v>21</v>
      </c>
    </row>
    <row r="86" spans="1:19" x14ac:dyDescent="0.3">
      <c r="A86" s="9" t="s">
        <v>5</v>
      </c>
      <c r="B86" s="9">
        <v>1</v>
      </c>
    </row>
    <row r="87" spans="1:19" x14ac:dyDescent="0.3">
      <c r="A87" s="9" t="s">
        <v>4</v>
      </c>
      <c r="B87" s="9" t="s">
        <v>78</v>
      </c>
    </row>
    <row r="88" spans="1:19" x14ac:dyDescent="0.3">
      <c r="A88" s="9" t="s">
        <v>6</v>
      </c>
      <c r="B88" s="9" t="s">
        <v>15</v>
      </c>
    </row>
    <row r="89" spans="1:19" x14ac:dyDescent="0.3">
      <c r="A89" s="8" t="s">
        <v>8</v>
      </c>
    </row>
    <row r="90" spans="1:19" x14ac:dyDescent="0.3">
      <c r="A90" s="9" t="s">
        <v>9</v>
      </c>
      <c r="B90" s="9" t="s">
        <v>10</v>
      </c>
      <c r="C90" s="9" t="s">
        <v>11</v>
      </c>
      <c r="D90" s="9" t="s">
        <v>3</v>
      </c>
      <c r="E90" s="9" t="s">
        <v>6</v>
      </c>
      <c r="F90" s="9" t="s">
        <v>12</v>
      </c>
      <c r="G90" s="9" t="s">
        <v>13</v>
      </c>
      <c r="H90" s="9" t="s">
        <v>4</v>
      </c>
    </row>
    <row r="91" spans="1:19" x14ac:dyDescent="0.3">
      <c r="A91" t="s">
        <v>50</v>
      </c>
      <c r="B91" s="16">
        <v>-1</v>
      </c>
      <c r="C91" s="9" t="s">
        <v>16</v>
      </c>
      <c r="E91" s="9" t="s">
        <v>15</v>
      </c>
      <c r="F91" t="s">
        <v>51</v>
      </c>
      <c r="G91" s="9" t="s">
        <v>18</v>
      </c>
    </row>
    <row r="92" spans="1:19" x14ac:dyDescent="0.3">
      <c r="A92" s="9" t="s">
        <v>78</v>
      </c>
      <c r="B92" s="16">
        <v>1</v>
      </c>
      <c r="C92" s="9" t="s">
        <v>573</v>
      </c>
      <c r="D92" s="9" t="s">
        <v>21</v>
      </c>
      <c r="E92" s="9" t="s">
        <v>15</v>
      </c>
      <c r="G92" s="9" t="s">
        <v>14</v>
      </c>
      <c r="H92" s="9" t="s">
        <v>78</v>
      </c>
    </row>
    <row r="93" spans="1:19" x14ac:dyDescent="0.3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3">
      <c r="A94" s="8" t="s">
        <v>1</v>
      </c>
      <c r="B94" s="8" t="s">
        <v>148</v>
      </c>
    </row>
    <row r="95" spans="1:19" x14ac:dyDescent="0.3">
      <c r="A95" s="9" t="s">
        <v>2</v>
      </c>
      <c r="B95" s="9" t="s">
        <v>192</v>
      </c>
    </row>
    <row r="96" spans="1:19" x14ac:dyDescent="0.3">
      <c r="A96" s="9" t="s">
        <v>3</v>
      </c>
      <c r="B96" s="9" t="s">
        <v>21</v>
      </c>
    </row>
    <row r="97" spans="1:19" x14ac:dyDescent="0.3">
      <c r="A97" s="9" t="s">
        <v>5</v>
      </c>
      <c r="B97" s="9">
        <v>1</v>
      </c>
    </row>
    <row r="98" spans="1:19" x14ac:dyDescent="0.3">
      <c r="A98" s="9" t="s">
        <v>4</v>
      </c>
      <c r="B98" s="9" t="s">
        <v>148</v>
      </c>
    </row>
    <row r="99" spans="1:19" x14ac:dyDescent="0.3">
      <c r="A99" s="9" t="s">
        <v>6</v>
      </c>
      <c r="B99" s="9" t="s">
        <v>15</v>
      </c>
    </row>
    <row r="100" spans="1:19" x14ac:dyDescent="0.3">
      <c r="A100" s="8" t="s">
        <v>8</v>
      </c>
    </row>
    <row r="101" spans="1:19" x14ac:dyDescent="0.3">
      <c r="A101" s="9" t="s">
        <v>9</v>
      </c>
      <c r="B101" s="9" t="s">
        <v>10</v>
      </c>
      <c r="C101" s="9" t="s">
        <v>11</v>
      </c>
      <c r="D101" s="9" t="s">
        <v>3</v>
      </c>
      <c r="E101" s="9" t="s">
        <v>6</v>
      </c>
      <c r="F101" s="9" t="s">
        <v>13</v>
      </c>
      <c r="G101" s="9" t="s">
        <v>4</v>
      </c>
    </row>
    <row r="102" spans="1:19" x14ac:dyDescent="0.3">
      <c r="A102" s="9" t="s">
        <v>148</v>
      </c>
      <c r="B102" s="16">
        <v>1</v>
      </c>
      <c r="C102" s="9" t="s">
        <v>573</v>
      </c>
      <c r="D102" s="9" t="s">
        <v>21</v>
      </c>
      <c r="E102" s="9" t="s">
        <v>15</v>
      </c>
      <c r="F102" s="9" t="s">
        <v>14</v>
      </c>
      <c r="G102" s="9" t="s">
        <v>148</v>
      </c>
    </row>
    <row r="103" spans="1:19" x14ac:dyDescent="0.3">
      <c r="A103" s="9" t="s">
        <v>193</v>
      </c>
      <c r="B103" s="16">
        <v>5.2812999999999999E-2</v>
      </c>
      <c r="C103" s="9" t="s">
        <v>574</v>
      </c>
      <c r="D103" s="9" t="s">
        <v>23</v>
      </c>
      <c r="E103" s="9" t="s">
        <v>15</v>
      </c>
      <c r="F103" s="9" t="s">
        <v>25</v>
      </c>
      <c r="G103" s="9" t="s">
        <v>194</v>
      </c>
    </row>
    <row r="104" spans="1:19" x14ac:dyDescent="0.3">
      <c r="A104" s="9" t="s">
        <v>195</v>
      </c>
      <c r="B104" s="16">
        <v>0.15648000000000001</v>
      </c>
      <c r="C104" s="9" t="s">
        <v>574</v>
      </c>
      <c r="D104" s="9" t="s">
        <v>23</v>
      </c>
      <c r="E104" s="9" t="s">
        <v>15</v>
      </c>
      <c r="F104" s="9" t="s">
        <v>25</v>
      </c>
      <c r="G104" s="9" t="s">
        <v>196</v>
      </c>
    </row>
    <row r="105" spans="1:19" x14ac:dyDescent="0.3">
      <c r="A105" s="9" t="s">
        <v>197</v>
      </c>
      <c r="B105" s="16">
        <v>4.7923E-2</v>
      </c>
      <c r="C105" s="9" t="s">
        <v>574</v>
      </c>
      <c r="D105" s="9" t="s">
        <v>23</v>
      </c>
      <c r="E105" s="9" t="s">
        <v>15</v>
      </c>
      <c r="F105" s="9" t="s">
        <v>25</v>
      </c>
      <c r="G105" s="9" t="s">
        <v>198</v>
      </c>
    </row>
    <row r="106" spans="1:19" x14ac:dyDescent="0.3">
      <c r="A106" s="9" t="s">
        <v>199</v>
      </c>
      <c r="B106" s="16">
        <v>0.42054999999999998</v>
      </c>
      <c r="C106" s="9" t="s">
        <v>574</v>
      </c>
      <c r="D106" s="9" t="s">
        <v>23</v>
      </c>
      <c r="E106" s="9" t="s">
        <v>15</v>
      </c>
      <c r="F106" s="9" t="s">
        <v>25</v>
      </c>
      <c r="G106" s="9" t="s">
        <v>200</v>
      </c>
    </row>
    <row r="107" spans="1:19" x14ac:dyDescent="0.3">
      <c r="A107" s="9" t="s">
        <v>201</v>
      </c>
      <c r="B107" s="16">
        <v>0.12714</v>
      </c>
      <c r="C107" s="9" t="s">
        <v>574</v>
      </c>
      <c r="D107" s="9" t="s">
        <v>23</v>
      </c>
      <c r="E107" s="9" t="s">
        <v>15</v>
      </c>
      <c r="F107" s="9" t="s">
        <v>25</v>
      </c>
      <c r="G107" s="9" t="s">
        <v>202</v>
      </c>
    </row>
    <row r="108" spans="1:19" x14ac:dyDescent="0.3">
      <c r="A108" s="9" t="s">
        <v>203</v>
      </c>
      <c r="B108" s="16">
        <v>4.6945E-4</v>
      </c>
      <c r="C108" s="9" t="s">
        <v>574</v>
      </c>
      <c r="D108" s="9" t="s">
        <v>23</v>
      </c>
      <c r="E108" s="9" t="s">
        <v>15</v>
      </c>
      <c r="F108" s="9" t="s">
        <v>25</v>
      </c>
      <c r="G108" s="9" t="s">
        <v>204</v>
      </c>
    </row>
    <row r="109" spans="1:19" x14ac:dyDescent="0.3">
      <c r="A109" s="9" t="s">
        <v>205</v>
      </c>
      <c r="B109" s="16">
        <v>3.2273999999999997E-2</v>
      </c>
      <c r="C109" s="9" t="s">
        <v>574</v>
      </c>
      <c r="D109" s="9" t="s">
        <v>23</v>
      </c>
      <c r="E109" s="9" t="s">
        <v>15</v>
      </c>
      <c r="F109" s="9" t="s">
        <v>25</v>
      </c>
      <c r="G109" s="9" t="s">
        <v>206</v>
      </c>
    </row>
    <row r="110" spans="1:19" x14ac:dyDescent="0.3">
      <c r="A110" s="9" t="s">
        <v>207</v>
      </c>
      <c r="B110" s="16">
        <v>8.6065000000000003E-2</v>
      </c>
      <c r="C110" s="9" t="s">
        <v>574</v>
      </c>
      <c r="D110" s="9" t="s">
        <v>23</v>
      </c>
      <c r="E110" s="9" t="s">
        <v>15</v>
      </c>
      <c r="F110" s="9" t="s">
        <v>25</v>
      </c>
      <c r="G110" s="9" t="s">
        <v>208</v>
      </c>
    </row>
    <row r="111" spans="1:19" x14ac:dyDescent="0.3">
      <c r="A111" s="9" t="s">
        <v>152</v>
      </c>
      <c r="B111" s="16">
        <v>7.6285000000000006E-2</v>
      </c>
      <c r="C111" s="9" t="s">
        <v>574</v>
      </c>
      <c r="D111" s="9" t="s">
        <v>23</v>
      </c>
      <c r="E111" s="9" t="s">
        <v>15</v>
      </c>
      <c r="F111" s="9" t="s">
        <v>25</v>
      </c>
      <c r="G111" s="9" t="s">
        <v>153</v>
      </c>
    </row>
    <row r="112" spans="1:19" x14ac:dyDescent="0.3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8" x14ac:dyDescent="0.3">
      <c r="A113" s="8" t="s">
        <v>1</v>
      </c>
      <c r="B113" s="8" t="s">
        <v>137</v>
      </c>
    </row>
    <row r="114" spans="1:8" x14ac:dyDescent="0.3">
      <c r="A114" s="9" t="s">
        <v>2</v>
      </c>
      <c r="B114" s="9" t="s">
        <v>138</v>
      </c>
    </row>
    <row r="115" spans="1:8" x14ac:dyDescent="0.3">
      <c r="A115" s="9" t="s">
        <v>3</v>
      </c>
      <c r="B115" s="9" t="s">
        <v>21</v>
      </c>
    </row>
    <row r="116" spans="1:8" x14ac:dyDescent="0.3">
      <c r="A116" s="9" t="s">
        <v>5</v>
      </c>
      <c r="B116" s="9">
        <v>1</v>
      </c>
    </row>
    <row r="117" spans="1:8" x14ac:dyDescent="0.3">
      <c r="A117" s="9" t="s">
        <v>4</v>
      </c>
      <c r="B117" s="9" t="s">
        <v>137</v>
      </c>
    </row>
    <row r="118" spans="1:8" x14ac:dyDescent="0.3">
      <c r="A118" s="9" t="s">
        <v>6</v>
      </c>
      <c r="B118" s="9" t="s">
        <v>15</v>
      </c>
    </row>
    <row r="119" spans="1:8" x14ac:dyDescent="0.3">
      <c r="A119" s="8" t="s">
        <v>8</v>
      </c>
    </row>
    <row r="120" spans="1:8" x14ac:dyDescent="0.3">
      <c r="A120" s="9" t="s">
        <v>9</v>
      </c>
      <c r="B120" s="9" t="s">
        <v>10</v>
      </c>
      <c r="C120" s="9" t="s">
        <v>11</v>
      </c>
      <c r="D120" s="9" t="s">
        <v>3</v>
      </c>
      <c r="E120" s="9" t="s">
        <v>6</v>
      </c>
      <c r="F120" s="9" t="s">
        <v>12</v>
      </c>
      <c r="G120" s="9" t="s">
        <v>13</v>
      </c>
      <c r="H120" s="9" t="s">
        <v>4</v>
      </c>
    </row>
    <row r="121" spans="1:8" x14ac:dyDescent="0.3">
      <c r="A121" s="9" t="s">
        <v>139</v>
      </c>
      <c r="B121" s="11">
        <v>6.7199999999999998E-7</v>
      </c>
      <c r="C121" s="9" t="s">
        <v>16</v>
      </c>
      <c r="E121" s="9" t="s">
        <v>15</v>
      </c>
      <c r="F121" s="9" t="s">
        <v>33</v>
      </c>
      <c r="G121" s="9" t="s">
        <v>18</v>
      </c>
    </row>
    <row r="122" spans="1:8" x14ac:dyDescent="0.3">
      <c r="A122" s="9" t="s">
        <v>140</v>
      </c>
      <c r="B122" s="11">
        <v>6.7200000000000006E-8</v>
      </c>
      <c r="C122" s="9" t="s">
        <v>16</v>
      </c>
      <c r="E122" s="9" t="s">
        <v>15</v>
      </c>
      <c r="F122" s="9" t="s">
        <v>33</v>
      </c>
      <c r="G122" s="9" t="s">
        <v>18</v>
      </c>
    </row>
    <row r="123" spans="1:8" x14ac:dyDescent="0.3">
      <c r="A123" s="9" t="s">
        <v>137</v>
      </c>
      <c r="B123" s="16">
        <v>1</v>
      </c>
      <c r="C123" s="9" t="s">
        <v>573</v>
      </c>
      <c r="D123" s="9" t="s">
        <v>21</v>
      </c>
      <c r="E123" s="9" t="s">
        <v>15</v>
      </c>
      <c r="G123" s="9" t="s">
        <v>14</v>
      </c>
      <c r="H123" s="9" t="s">
        <v>137</v>
      </c>
    </row>
    <row r="124" spans="1:8" x14ac:dyDescent="0.3">
      <c r="A124" s="9" t="s">
        <v>141</v>
      </c>
      <c r="B124" s="11">
        <v>8.072E-6</v>
      </c>
      <c r="C124" s="9" t="s">
        <v>574</v>
      </c>
      <c r="D124" s="9" t="s">
        <v>23</v>
      </c>
      <c r="E124" s="9" t="s">
        <v>15</v>
      </c>
      <c r="G124" s="9" t="s">
        <v>25</v>
      </c>
      <c r="H124" s="9" t="s">
        <v>142</v>
      </c>
    </row>
    <row r="125" spans="1:8" x14ac:dyDescent="0.3">
      <c r="A125" s="9" t="s">
        <v>143</v>
      </c>
      <c r="B125" s="11">
        <v>2.4219999999999999E-5</v>
      </c>
      <c r="C125" s="9" t="s">
        <v>574</v>
      </c>
      <c r="D125" s="9" t="s">
        <v>23</v>
      </c>
      <c r="E125" s="9" t="s">
        <v>15</v>
      </c>
      <c r="G125" s="9" t="s">
        <v>25</v>
      </c>
      <c r="H125" s="9" t="s">
        <v>144</v>
      </c>
    </row>
    <row r="126" spans="1:8" x14ac:dyDescent="0.3">
      <c r="A126" s="9" t="s">
        <v>145</v>
      </c>
      <c r="B126" s="11">
        <v>8.6144999999999996E-5</v>
      </c>
      <c r="C126" s="9" t="s">
        <v>574</v>
      </c>
      <c r="D126" s="9" t="s">
        <v>23</v>
      </c>
      <c r="E126" s="9" t="s">
        <v>15</v>
      </c>
      <c r="G126" s="9" t="s">
        <v>25</v>
      </c>
      <c r="H126" s="9" t="s">
        <v>145</v>
      </c>
    </row>
    <row r="127" spans="1:8" x14ac:dyDescent="0.3">
      <c r="A127" s="9" t="s">
        <v>36</v>
      </c>
      <c r="B127" s="11">
        <v>1.4309999999999999E-6</v>
      </c>
      <c r="C127" s="9" t="s">
        <v>574</v>
      </c>
      <c r="D127" s="9" t="s">
        <v>21</v>
      </c>
      <c r="E127" s="9" t="s">
        <v>15</v>
      </c>
      <c r="G127" s="9" t="s">
        <v>25</v>
      </c>
      <c r="H127" s="9" t="s">
        <v>37</v>
      </c>
    </row>
    <row r="128" spans="1:8" x14ac:dyDescent="0.3">
      <c r="A128" s="9" t="s">
        <v>22</v>
      </c>
      <c r="B128" s="11">
        <v>9.7188999999999991E-3</v>
      </c>
      <c r="C128" s="9" t="s">
        <v>574</v>
      </c>
      <c r="D128" s="9" t="s">
        <v>23</v>
      </c>
      <c r="E128" s="9" t="s">
        <v>24</v>
      </c>
      <c r="G128" s="9" t="s">
        <v>25</v>
      </c>
      <c r="H128" s="9" t="s">
        <v>26</v>
      </c>
    </row>
    <row r="129" spans="1:19" x14ac:dyDescent="0.3">
      <c r="A129" s="9" t="s">
        <v>146</v>
      </c>
      <c r="B129" s="11">
        <v>1.7671E-8</v>
      </c>
      <c r="C129" s="9" t="s">
        <v>574</v>
      </c>
      <c r="D129" s="9" t="s">
        <v>23</v>
      </c>
      <c r="E129" s="9" t="s">
        <v>15</v>
      </c>
      <c r="G129" s="9" t="s">
        <v>25</v>
      </c>
      <c r="H129" s="9" t="s">
        <v>147</v>
      </c>
    </row>
    <row r="130" spans="1:19" x14ac:dyDescent="0.3">
      <c r="A130" s="9" t="s">
        <v>421</v>
      </c>
      <c r="B130" s="11">
        <v>3.9759000000000003E-6</v>
      </c>
      <c r="C130" t="s">
        <v>574</v>
      </c>
      <c r="D130" s="9" t="s">
        <v>21</v>
      </c>
      <c r="E130" s="9" t="s">
        <v>76</v>
      </c>
      <c r="G130" s="9" t="s">
        <v>25</v>
      </c>
      <c r="H130" t="s">
        <v>77</v>
      </c>
    </row>
    <row r="131" spans="1:19" x14ac:dyDescent="0.3">
      <c r="A131" s="9" t="s">
        <v>148</v>
      </c>
      <c r="B131" s="11">
        <v>1.13E-4</v>
      </c>
      <c r="C131" s="9" t="s">
        <v>573</v>
      </c>
      <c r="D131" s="9" t="s">
        <v>21</v>
      </c>
      <c r="E131" s="9" t="s">
        <v>15</v>
      </c>
      <c r="G131" s="9" t="s">
        <v>25</v>
      </c>
      <c r="H131" s="9" t="s">
        <v>148</v>
      </c>
    </row>
    <row r="132" spans="1:19" x14ac:dyDescent="0.3">
      <c r="A132" s="9" t="s">
        <v>149</v>
      </c>
      <c r="B132" s="11">
        <v>8.6144999999999996E-5</v>
      </c>
      <c r="C132" s="9" t="s">
        <v>574</v>
      </c>
      <c r="D132" s="9" t="s">
        <v>23</v>
      </c>
      <c r="E132" s="9" t="s">
        <v>15</v>
      </c>
      <c r="G132" s="9" t="s">
        <v>25</v>
      </c>
      <c r="H132" s="9" t="s">
        <v>149</v>
      </c>
    </row>
    <row r="133" spans="1:19" x14ac:dyDescent="0.3">
      <c r="A133" s="9" t="s">
        <v>150</v>
      </c>
      <c r="B133" s="11">
        <v>7.7309000000000001E-5</v>
      </c>
      <c r="C133" s="9" t="s">
        <v>574</v>
      </c>
      <c r="D133" s="9" t="s">
        <v>23</v>
      </c>
      <c r="E133" s="9" t="s">
        <v>24</v>
      </c>
      <c r="G133" s="9" t="s">
        <v>25</v>
      </c>
      <c r="H133" s="9" t="s">
        <v>151</v>
      </c>
    </row>
    <row r="134" spans="1:19" x14ac:dyDescent="0.3">
      <c r="A134" s="9" t="s">
        <v>41</v>
      </c>
      <c r="B134" s="11">
        <v>3.1390000000000003E-5</v>
      </c>
      <c r="C134" s="9" t="s">
        <v>574</v>
      </c>
      <c r="D134" s="9" t="s">
        <v>23</v>
      </c>
      <c r="E134" s="9" t="s">
        <v>15</v>
      </c>
      <c r="G134" s="9" t="s">
        <v>25</v>
      </c>
      <c r="H134" s="9" t="s">
        <v>42</v>
      </c>
    </row>
    <row r="135" spans="1:19" x14ac:dyDescent="0.3">
      <c r="A135" s="9" t="s">
        <v>152</v>
      </c>
      <c r="B135" s="11">
        <v>1.435E-5</v>
      </c>
      <c r="C135" s="9" t="s">
        <v>574</v>
      </c>
      <c r="D135" s="9" t="s">
        <v>23</v>
      </c>
      <c r="E135" s="9" t="s">
        <v>15</v>
      </c>
      <c r="G135" s="9" t="s">
        <v>25</v>
      </c>
      <c r="H135" s="9" t="s">
        <v>153</v>
      </c>
    </row>
    <row r="136" spans="1:19" x14ac:dyDescent="0.3">
      <c r="A136" s="9" t="s">
        <v>154</v>
      </c>
      <c r="B136" s="11">
        <v>4.7360000000000002E-4</v>
      </c>
      <c r="C136" s="9" t="s">
        <v>574</v>
      </c>
      <c r="D136" s="9" t="s">
        <v>21</v>
      </c>
      <c r="E136" s="9" t="s">
        <v>15</v>
      </c>
      <c r="G136" s="9" t="s">
        <v>25</v>
      </c>
      <c r="H136" s="9" t="s">
        <v>155</v>
      </c>
    </row>
    <row r="137" spans="1:19" x14ac:dyDescent="0.3">
      <c r="A137" s="9" t="s">
        <v>156</v>
      </c>
      <c r="B137" s="11">
        <v>7.3997000000000003E-7</v>
      </c>
      <c r="C137" s="9" t="s">
        <v>574</v>
      </c>
      <c r="D137" s="9" t="s">
        <v>23</v>
      </c>
      <c r="E137" s="9" t="s">
        <v>15</v>
      </c>
      <c r="G137" s="9" t="s">
        <v>25</v>
      </c>
      <c r="H137" s="9" t="s">
        <v>157</v>
      </c>
    </row>
    <row r="138" spans="1:19" x14ac:dyDescent="0.3">
      <c r="A138" s="9" t="s">
        <v>158</v>
      </c>
      <c r="B138" s="11">
        <v>1.2149000000000001E-3</v>
      </c>
      <c r="C138" s="9" t="s">
        <v>574</v>
      </c>
      <c r="D138" s="9" t="s">
        <v>23</v>
      </c>
      <c r="E138" s="9" t="s">
        <v>15</v>
      </c>
      <c r="G138" s="9" t="s">
        <v>25</v>
      </c>
      <c r="H138" s="9" t="s">
        <v>159</v>
      </c>
    </row>
    <row r="139" spans="1:19" x14ac:dyDescent="0.3">
      <c r="A139" s="9" t="s">
        <v>27</v>
      </c>
      <c r="B139" s="11">
        <v>9.4890000000000009E-3</v>
      </c>
      <c r="C139" s="9" t="s">
        <v>574</v>
      </c>
      <c r="D139" s="9" t="s">
        <v>23</v>
      </c>
      <c r="E139" s="9" t="s">
        <v>15</v>
      </c>
      <c r="G139" s="9" t="s">
        <v>25</v>
      </c>
      <c r="H139" s="9" t="s">
        <v>28</v>
      </c>
    </row>
    <row r="140" spans="1:19" x14ac:dyDescent="0.3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x14ac:dyDescent="0.3">
      <c r="A141" s="8" t="s">
        <v>1</v>
      </c>
      <c r="B141" s="8" t="s">
        <v>167</v>
      </c>
    </row>
    <row r="142" spans="1:19" x14ac:dyDescent="0.3">
      <c r="A142" s="9" t="s">
        <v>2</v>
      </c>
      <c r="B142" s="9" t="s">
        <v>168</v>
      </c>
    </row>
    <row r="143" spans="1:19" x14ac:dyDescent="0.3">
      <c r="A143" s="9" t="s">
        <v>3</v>
      </c>
      <c r="B143" s="9" t="s">
        <v>21</v>
      </c>
    </row>
    <row r="144" spans="1:19" x14ac:dyDescent="0.3">
      <c r="A144" s="9" t="s">
        <v>5</v>
      </c>
      <c r="B144" s="9">
        <v>1</v>
      </c>
    </row>
    <row r="145" spans="1:19" x14ac:dyDescent="0.3">
      <c r="A145" s="9" t="s">
        <v>4</v>
      </c>
      <c r="B145" s="9" t="s">
        <v>169</v>
      </c>
    </row>
    <row r="146" spans="1:19" x14ac:dyDescent="0.3">
      <c r="A146" s="9" t="s">
        <v>6</v>
      </c>
      <c r="B146" s="9" t="s">
        <v>15</v>
      </c>
    </row>
    <row r="147" spans="1:19" x14ac:dyDescent="0.3">
      <c r="A147" s="8" t="s">
        <v>8</v>
      </c>
    </row>
    <row r="148" spans="1:19" x14ac:dyDescent="0.3">
      <c r="A148" s="9" t="s">
        <v>9</v>
      </c>
      <c r="B148" s="9" t="s">
        <v>10</v>
      </c>
      <c r="C148" s="9" t="s">
        <v>11</v>
      </c>
      <c r="D148" s="9" t="s">
        <v>3</v>
      </c>
      <c r="E148" s="9" t="s">
        <v>6</v>
      </c>
      <c r="F148" s="9" t="s">
        <v>13</v>
      </c>
      <c r="G148" s="9" t="s">
        <v>4</v>
      </c>
    </row>
    <row r="149" spans="1:19" x14ac:dyDescent="0.3">
      <c r="A149" s="9" t="s">
        <v>167</v>
      </c>
      <c r="B149" s="16">
        <v>1</v>
      </c>
      <c r="C149" s="9" t="s">
        <v>573</v>
      </c>
      <c r="D149" s="9" t="s">
        <v>21</v>
      </c>
      <c r="E149" s="9" t="s">
        <v>15</v>
      </c>
      <c r="F149" s="9" t="s">
        <v>14</v>
      </c>
      <c r="G149" s="9" t="s">
        <v>169</v>
      </c>
    </row>
    <row r="150" spans="1:19" x14ac:dyDescent="0.3">
      <c r="A150" s="9" t="s">
        <v>22</v>
      </c>
      <c r="B150" s="16">
        <v>1.6</v>
      </c>
      <c r="C150" s="9" t="s">
        <v>574</v>
      </c>
      <c r="D150" s="9" t="s">
        <v>23</v>
      </c>
      <c r="E150" s="9" t="s">
        <v>24</v>
      </c>
      <c r="F150" s="9" t="s">
        <v>25</v>
      </c>
      <c r="G150" s="9" t="s">
        <v>26</v>
      </c>
    </row>
    <row r="151" spans="1:19" x14ac:dyDescent="0.3">
      <c r="A151" s="9" t="s">
        <v>421</v>
      </c>
      <c r="B151" s="16">
        <v>0.33888888888888891</v>
      </c>
      <c r="C151" t="s">
        <v>574</v>
      </c>
      <c r="D151" s="9" t="s">
        <v>21</v>
      </c>
      <c r="E151" s="9" t="s">
        <v>76</v>
      </c>
      <c r="F151" s="9" t="s">
        <v>25</v>
      </c>
      <c r="G151" t="s">
        <v>77</v>
      </c>
    </row>
    <row r="152" spans="1:19" x14ac:dyDescent="0.3">
      <c r="A152" s="9" t="s">
        <v>150</v>
      </c>
      <c r="B152" s="16">
        <v>0.38400000000000001</v>
      </c>
      <c r="C152" s="9" t="s">
        <v>574</v>
      </c>
      <c r="D152" s="9" t="s">
        <v>23</v>
      </c>
      <c r="E152" s="9" t="s">
        <v>24</v>
      </c>
      <c r="F152" s="9" t="s">
        <v>25</v>
      </c>
      <c r="G152" s="9" t="s">
        <v>151</v>
      </c>
    </row>
    <row r="153" spans="1:19" x14ac:dyDescent="0.3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x14ac:dyDescent="0.3">
      <c r="A154" s="8" t="s">
        <v>1</v>
      </c>
      <c r="B154" s="8" t="s">
        <v>165</v>
      </c>
    </row>
    <row r="155" spans="1:19" x14ac:dyDescent="0.3">
      <c r="A155" s="9" t="s">
        <v>2</v>
      </c>
      <c r="B155" s="9" t="s">
        <v>286</v>
      </c>
    </row>
    <row r="156" spans="1:19" x14ac:dyDescent="0.3">
      <c r="A156" s="9" t="s">
        <v>3</v>
      </c>
      <c r="B156" s="9" t="s">
        <v>21</v>
      </c>
    </row>
    <row r="157" spans="1:19" x14ac:dyDescent="0.3">
      <c r="A157" s="9" t="s">
        <v>5</v>
      </c>
      <c r="B157" s="9">
        <v>1</v>
      </c>
    </row>
    <row r="158" spans="1:19" x14ac:dyDescent="0.3">
      <c r="A158" s="9" t="s">
        <v>4</v>
      </c>
      <c r="B158" s="9" t="s">
        <v>166</v>
      </c>
    </row>
    <row r="159" spans="1:19" x14ac:dyDescent="0.3">
      <c r="A159" s="9" t="s">
        <v>6</v>
      </c>
      <c r="B159" s="9" t="s">
        <v>15</v>
      </c>
    </row>
    <row r="160" spans="1:19" x14ac:dyDescent="0.3">
      <c r="A160" s="8" t="s">
        <v>8</v>
      </c>
    </row>
    <row r="161" spans="1:19" x14ac:dyDescent="0.3">
      <c r="A161" s="9" t="s">
        <v>9</v>
      </c>
      <c r="B161" s="9" t="s">
        <v>10</v>
      </c>
      <c r="C161" s="9" t="s">
        <v>11</v>
      </c>
      <c r="D161" s="9" t="s">
        <v>3</v>
      </c>
      <c r="E161" s="9" t="s">
        <v>6</v>
      </c>
      <c r="F161" s="9" t="s">
        <v>13</v>
      </c>
      <c r="G161" s="9" t="s">
        <v>4</v>
      </c>
    </row>
    <row r="162" spans="1:19" x14ac:dyDescent="0.3">
      <c r="A162" s="9" t="s">
        <v>165</v>
      </c>
      <c r="B162" s="16">
        <v>1</v>
      </c>
      <c r="C162" s="9" t="s">
        <v>573</v>
      </c>
      <c r="D162" s="9" t="s">
        <v>21</v>
      </c>
      <c r="E162" s="9" t="s">
        <v>15</v>
      </c>
      <c r="F162" s="9" t="s">
        <v>14</v>
      </c>
      <c r="G162" s="9" t="s">
        <v>166</v>
      </c>
    </row>
    <row r="163" spans="1:19" x14ac:dyDescent="0.3">
      <c r="A163" s="9" t="s">
        <v>287</v>
      </c>
      <c r="B163" s="16">
        <v>2.12</v>
      </c>
      <c r="C163" s="9" t="s">
        <v>574</v>
      </c>
      <c r="D163" s="9" t="s">
        <v>23</v>
      </c>
      <c r="E163" s="9" t="s">
        <v>15</v>
      </c>
      <c r="F163" s="9" t="s">
        <v>25</v>
      </c>
      <c r="G163" s="9" t="s">
        <v>288</v>
      </c>
    </row>
    <row r="164" spans="1:19" x14ac:dyDescent="0.3">
      <c r="A164" s="9" t="s">
        <v>167</v>
      </c>
      <c r="B164" s="16">
        <v>1</v>
      </c>
      <c r="C164" s="9" t="s">
        <v>573</v>
      </c>
      <c r="D164" s="9" t="s">
        <v>21</v>
      </c>
      <c r="E164" s="9" t="s">
        <v>15</v>
      </c>
      <c r="F164" s="9" t="s">
        <v>25</v>
      </c>
      <c r="G164" s="9" t="s">
        <v>169</v>
      </c>
    </row>
    <row r="165" spans="1:19" x14ac:dyDescent="0.3">
      <c r="A165" s="9" t="s">
        <v>289</v>
      </c>
      <c r="B165" s="16">
        <v>1.62</v>
      </c>
      <c r="C165" s="9" t="s">
        <v>574</v>
      </c>
      <c r="D165" s="9" t="s">
        <v>23</v>
      </c>
      <c r="E165" s="9" t="s">
        <v>15</v>
      </c>
      <c r="F165" s="9" t="s">
        <v>25</v>
      </c>
      <c r="G165" s="9" t="s">
        <v>290</v>
      </c>
    </row>
    <row r="166" spans="1:19" x14ac:dyDescent="0.3">
      <c r="A166" s="9" t="s">
        <v>291</v>
      </c>
      <c r="B166" s="16">
        <v>0.79</v>
      </c>
      <c r="C166" s="9" t="s">
        <v>574</v>
      </c>
      <c r="D166" s="9" t="s">
        <v>23</v>
      </c>
      <c r="E166" s="9" t="s">
        <v>15</v>
      </c>
      <c r="F166" s="9" t="s">
        <v>25</v>
      </c>
      <c r="G166" s="9" t="s">
        <v>291</v>
      </c>
    </row>
    <row r="167" spans="1:19" x14ac:dyDescent="0.3">
      <c r="A167" s="9" t="s">
        <v>292</v>
      </c>
      <c r="B167" s="16">
        <v>3.3</v>
      </c>
      <c r="C167" s="9" t="s">
        <v>574</v>
      </c>
      <c r="D167" s="9" t="s">
        <v>23</v>
      </c>
      <c r="E167" s="9" t="s">
        <v>15</v>
      </c>
      <c r="F167" s="9" t="s">
        <v>25</v>
      </c>
      <c r="G167" s="9" t="s">
        <v>292</v>
      </c>
    </row>
    <row r="168" spans="1:19" x14ac:dyDescent="0.3">
      <c r="A168" s="9" t="s">
        <v>293</v>
      </c>
      <c r="B168" s="16">
        <v>2.6</v>
      </c>
      <c r="C168" s="9" t="s">
        <v>574</v>
      </c>
      <c r="D168" s="9" t="s">
        <v>23</v>
      </c>
      <c r="E168" s="9" t="s">
        <v>15</v>
      </c>
      <c r="F168" s="9" t="s">
        <v>25</v>
      </c>
      <c r="G168" s="9" t="s">
        <v>294</v>
      </c>
    </row>
    <row r="169" spans="1:19" x14ac:dyDescent="0.3">
      <c r="A169" s="9" t="s">
        <v>347</v>
      </c>
      <c r="B169" s="11">
        <v>-1.2600000000000001E-3</v>
      </c>
      <c r="C169" s="9" t="s">
        <v>574</v>
      </c>
      <c r="D169" s="9" t="s">
        <v>23</v>
      </c>
      <c r="E169" s="9" t="s">
        <v>7</v>
      </c>
      <c r="F169" s="9" t="s">
        <v>25</v>
      </c>
      <c r="G169" s="9" t="s">
        <v>348</v>
      </c>
    </row>
    <row r="170" spans="1:19" x14ac:dyDescent="0.3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x14ac:dyDescent="0.3">
      <c r="A171" s="8" t="s">
        <v>1</v>
      </c>
      <c r="B171" s="8" t="s">
        <v>131</v>
      </c>
    </row>
    <row r="172" spans="1:19" x14ac:dyDescent="0.3">
      <c r="A172" s="9" t="s">
        <v>2</v>
      </c>
      <c r="B172" s="9" t="s">
        <v>160</v>
      </c>
    </row>
    <row r="173" spans="1:19" x14ac:dyDescent="0.3">
      <c r="A173" s="9" t="s">
        <v>3</v>
      </c>
      <c r="B173" s="9" t="s">
        <v>21</v>
      </c>
    </row>
    <row r="174" spans="1:19" x14ac:dyDescent="0.3">
      <c r="A174" s="9" t="s">
        <v>5</v>
      </c>
      <c r="B174" s="9">
        <v>1</v>
      </c>
    </row>
    <row r="175" spans="1:19" x14ac:dyDescent="0.3">
      <c r="A175" s="9" t="s">
        <v>4</v>
      </c>
      <c r="B175" s="9" t="s">
        <v>132</v>
      </c>
    </row>
    <row r="176" spans="1:19" x14ac:dyDescent="0.3">
      <c r="A176" s="9" t="s">
        <v>6</v>
      </c>
      <c r="B176" s="9" t="s">
        <v>15</v>
      </c>
    </row>
    <row r="177" spans="1:19" x14ac:dyDescent="0.3">
      <c r="A177" s="8" t="s">
        <v>8</v>
      </c>
    </row>
    <row r="178" spans="1:19" x14ac:dyDescent="0.3">
      <c r="A178" s="9" t="s">
        <v>9</v>
      </c>
      <c r="B178" s="9" t="s">
        <v>10</v>
      </c>
      <c r="C178" s="9" t="s">
        <v>11</v>
      </c>
      <c r="D178" s="9" t="s">
        <v>3</v>
      </c>
      <c r="E178" s="9" t="s">
        <v>6</v>
      </c>
      <c r="F178" s="9" t="s">
        <v>13</v>
      </c>
      <c r="G178" s="9" t="s">
        <v>4</v>
      </c>
    </row>
    <row r="179" spans="1:19" x14ac:dyDescent="0.3">
      <c r="A179" s="9" t="s">
        <v>131</v>
      </c>
      <c r="B179" s="16">
        <v>1</v>
      </c>
      <c r="C179" s="9" t="s">
        <v>573</v>
      </c>
      <c r="D179" s="9" t="s">
        <v>21</v>
      </c>
      <c r="E179" s="9" t="s">
        <v>15</v>
      </c>
      <c r="F179" s="9" t="s">
        <v>14</v>
      </c>
      <c r="G179" s="9" t="s">
        <v>132</v>
      </c>
    </row>
    <row r="180" spans="1:19" x14ac:dyDescent="0.3">
      <c r="A180" s="9" t="s">
        <v>161</v>
      </c>
      <c r="B180" s="10">
        <v>0.47749999999999998</v>
      </c>
      <c r="C180" s="9" t="s">
        <v>574</v>
      </c>
      <c r="D180" s="9" t="s">
        <v>23</v>
      </c>
      <c r="E180" s="9" t="s">
        <v>15</v>
      </c>
      <c r="F180" s="9" t="s">
        <v>25</v>
      </c>
      <c r="G180" s="9" t="s">
        <v>162</v>
      </c>
    </row>
    <row r="181" spans="1:19" x14ac:dyDescent="0.3">
      <c r="A181" s="9" t="s">
        <v>163</v>
      </c>
      <c r="B181" s="16">
        <v>4.4999999999999998E-2</v>
      </c>
      <c r="C181" s="9" t="s">
        <v>574</v>
      </c>
      <c r="D181" s="9" t="s">
        <v>23</v>
      </c>
      <c r="E181" s="9" t="s">
        <v>15</v>
      </c>
      <c r="F181" s="9" t="s">
        <v>25</v>
      </c>
      <c r="G181" s="9" t="s">
        <v>164</v>
      </c>
    </row>
    <row r="182" spans="1:19" x14ac:dyDescent="0.3">
      <c r="A182" s="9" t="s">
        <v>165</v>
      </c>
      <c r="B182" s="10">
        <v>0.47749999999999998</v>
      </c>
      <c r="C182" s="9" t="s">
        <v>573</v>
      </c>
      <c r="D182" s="9" t="s">
        <v>21</v>
      </c>
      <c r="E182" s="9" t="s">
        <v>15</v>
      </c>
      <c r="F182" s="9" t="s">
        <v>25</v>
      </c>
      <c r="G182" s="9" t="s">
        <v>166</v>
      </c>
    </row>
    <row r="183" spans="1:19" x14ac:dyDescent="0.3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x14ac:dyDescent="0.3">
      <c r="A184" s="8" t="s">
        <v>1</v>
      </c>
      <c r="B184" s="8" t="s">
        <v>176</v>
      </c>
    </row>
    <row r="185" spans="1:19" x14ac:dyDescent="0.3">
      <c r="A185" s="9" t="s">
        <v>2</v>
      </c>
      <c r="B185" s="9" t="s">
        <v>314</v>
      </c>
    </row>
    <row r="186" spans="1:19" x14ac:dyDescent="0.3">
      <c r="A186" s="9" t="s">
        <v>3</v>
      </c>
      <c r="B186" s="9" t="s">
        <v>21</v>
      </c>
    </row>
    <row r="187" spans="1:19" x14ac:dyDescent="0.3">
      <c r="A187" s="9" t="s">
        <v>5</v>
      </c>
      <c r="B187" s="9">
        <v>1</v>
      </c>
    </row>
    <row r="188" spans="1:19" x14ac:dyDescent="0.3">
      <c r="A188" s="9" t="s">
        <v>4</v>
      </c>
      <c r="B188" s="9" t="s">
        <v>176</v>
      </c>
    </row>
    <row r="189" spans="1:19" x14ac:dyDescent="0.3">
      <c r="A189" s="9" t="s">
        <v>6</v>
      </c>
      <c r="B189" s="9" t="s">
        <v>15</v>
      </c>
    </row>
    <row r="190" spans="1:19" x14ac:dyDescent="0.3">
      <c r="A190" s="8" t="s">
        <v>8</v>
      </c>
    </row>
    <row r="191" spans="1:19" x14ac:dyDescent="0.3">
      <c r="A191" s="9" t="s">
        <v>9</v>
      </c>
      <c r="B191" s="9" t="s">
        <v>10</v>
      </c>
      <c r="C191" s="9" t="s">
        <v>11</v>
      </c>
      <c r="D191" s="9" t="s">
        <v>3</v>
      </c>
      <c r="E191" s="9" t="s">
        <v>6</v>
      </c>
      <c r="F191" s="9" t="s">
        <v>13</v>
      </c>
      <c r="G191" s="9" t="s">
        <v>4</v>
      </c>
    </row>
    <row r="192" spans="1:19" x14ac:dyDescent="0.3">
      <c r="A192" s="9" t="s">
        <v>176</v>
      </c>
      <c r="B192" s="16">
        <v>1</v>
      </c>
      <c r="C192" s="9" t="s">
        <v>573</v>
      </c>
      <c r="D192" s="9" t="s">
        <v>21</v>
      </c>
      <c r="E192" s="9" t="s">
        <v>15</v>
      </c>
      <c r="F192" s="9" t="s">
        <v>14</v>
      </c>
      <c r="G192" s="9" t="s">
        <v>176</v>
      </c>
    </row>
    <row r="193" spans="1:19" x14ac:dyDescent="0.3">
      <c r="A193" s="9" t="s">
        <v>315</v>
      </c>
      <c r="B193" s="16">
        <v>1.0278</v>
      </c>
      <c r="C193" s="9" t="s">
        <v>574</v>
      </c>
      <c r="D193" s="9" t="s">
        <v>23</v>
      </c>
      <c r="E193" s="9" t="s">
        <v>15</v>
      </c>
      <c r="F193" s="9" t="s">
        <v>25</v>
      </c>
      <c r="G193" s="9" t="s">
        <v>316</v>
      </c>
    </row>
    <row r="194" spans="1:19" x14ac:dyDescent="0.3">
      <c r="A194" s="9" t="s">
        <v>317</v>
      </c>
      <c r="B194" s="16">
        <v>-1.8935999999999999</v>
      </c>
      <c r="C194" s="9" t="s">
        <v>574</v>
      </c>
      <c r="D194" s="9" t="s">
        <v>23</v>
      </c>
      <c r="E194" s="9" t="s">
        <v>15</v>
      </c>
      <c r="F194" s="9" t="s">
        <v>25</v>
      </c>
      <c r="G194" s="9" t="s">
        <v>318</v>
      </c>
    </row>
    <row r="195" spans="1:19" x14ac:dyDescent="0.3">
      <c r="A195" s="9" t="s">
        <v>319</v>
      </c>
      <c r="B195" s="16">
        <v>1.9750000000000001</v>
      </c>
      <c r="C195" s="9" t="s">
        <v>574</v>
      </c>
      <c r="D195" s="9" t="s">
        <v>23</v>
      </c>
      <c r="E195" s="9" t="s">
        <v>15</v>
      </c>
      <c r="F195" s="9" t="s">
        <v>25</v>
      </c>
      <c r="G195" s="9" t="s">
        <v>320</v>
      </c>
    </row>
    <row r="196" spans="1:19" x14ac:dyDescent="0.3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x14ac:dyDescent="0.3">
      <c r="A197" s="8" t="s">
        <v>1</v>
      </c>
      <c r="B197" s="8" t="s">
        <v>136</v>
      </c>
    </row>
    <row r="198" spans="1:19" x14ac:dyDescent="0.3">
      <c r="A198" s="9" t="s">
        <v>2</v>
      </c>
      <c r="B198" s="9" t="s">
        <v>170</v>
      </c>
    </row>
    <row r="199" spans="1:19" x14ac:dyDescent="0.3">
      <c r="A199" s="9" t="s">
        <v>3</v>
      </c>
      <c r="B199" s="9" t="s">
        <v>21</v>
      </c>
    </row>
    <row r="200" spans="1:19" x14ac:dyDescent="0.3">
      <c r="A200" s="9" t="s">
        <v>5</v>
      </c>
      <c r="B200" s="9">
        <v>1</v>
      </c>
    </row>
    <row r="201" spans="1:19" x14ac:dyDescent="0.3">
      <c r="A201" s="9" t="s">
        <v>4</v>
      </c>
      <c r="B201" s="9" t="s">
        <v>136</v>
      </c>
    </row>
    <row r="202" spans="1:19" x14ac:dyDescent="0.3">
      <c r="A202" s="9" t="s">
        <v>6</v>
      </c>
      <c r="B202" s="9" t="s">
        <v>24</v>
      </c>
    </row>
    <row r="203" spans="1:19" x14ac:dyDescent="0.3">
      <c r="A203" s="8" t="s">
        <v>8</v>
      </c>
    </row>
    <row r="204" spans="1:19" x14ac:dyDescent="0.3">
      <c r="A204" s="9" t="s">
        <v>9</v>
      </c>
      <c r="B204" s="9" t="s">
        <v>10</v>
      </c>
      <c r="C204" s="9" t="s">
        <v>11</v>
      </c>
      <c r="D204" s="9" t="s">
        <v>3</v>
      </c>
      <c r="E204" s="9" t="s">
        <v>6</v>
      </c>
      <c r="F204" s="9" t="s">
        <v>12</v>
      </c>
      <c r="G204" s="9" t="s">
        <v>13</v>
      </c>
      <c r="H204" s="9" t="s">
        <v>4</v>
      </c>
    </row>
    <row r="205" spans="1:19" x14ac:dyDescent="0.3">
      <c r="A205" s="9" t="s">
        <v>171</v>
      </c>
      <c r="B205" s="11">
        <v>-7.6599999999999995E-7</v>
      </c>
      <c r="C205" s="9" t="s">
        <v>16</v>
      </c>
      <c r="E205" s="9" t="s">
        <v>15</v>
      </c>
      <c r="F205" s="9" t="s">
        <v>51</v>
      </c>
      <c r="G205" s="9" t="s">
        <v>18</v>
      </c>
    </row>
    <row r="206" spans="1:19" x14ac:dyDescent="0.3">
      <c r="A206" s="9" t="s">
        <v>136</v>
      </c>
      <c r="B206" s="16">
        <v>1</v>
      </c>
      <c r="C206" s="9" t="s">
        <v>573</v>
      </c>
      <c r="D206" s="9" t="s">
        <v>21</v>
      </c>
      <c r="E206" s="9" t="s">
        <v>24</v>
      </c>
      <c r="G206" s="9" t="s">
        <v>14</v>
      </c>
      <c r="H206" s="9" t="s">
        <v>136</v>
      </c>
    </row>
    <row r="207" spans="1:19" x14ac:dyDescent="0.3">
      <c r="A207" s="9" t="s">
        <v>172</v>
      </c>
      <c r="B207" s="11">
        <v>1.11E-6</v>
      </c>
      <c r="C207" s="9" t="s">
        <v>574</v>
      </c>
      <c r="D207" s="9" t="s">
        <v>21</v>
      </c>
      <c r="E207" s="9" t="s">
        <v>6</v>
      </c>
      <c r="G207" s="9" t="s">
        <v>25</v>
      </c>
      <c r="H207" s="9" t="s">
        <v>173</v>
      </c>
    </row>
    <row r="208" spans="1:19" x14ac:dyDescent="0.3">
      <c r="A208" s="9" t="s">
        <v>174</v>
      </c>
      <c r="B208" s="11">
        <v>-3.4300000000000002E-6</v>
      </c>
      <c r="C208" s="9" t="s">
        <v>574</v>
      </c>
      <c r="D208" s="9" t="s">
        <v>21</v>
      </c>
      <c r="E208" s="9" t="s">
        <v>15</v>
      </c>
      <c r="G208" s="9" t="s">
        <v>25</v>
      </c>
      <c r="H208" s="9" t="s">
        <v>175</v>
      </c>
    </row>
    <row r="209" spans="1:19" x14ac:dyDescent="0.3">
      <c r="A209" s="9" t="s">
        <v>176</v>
      </c>
      <c r="B209" s="11">
        <v>7.1099999999999997E-6</v>
      </c>
      <c r="C209" s="9" t="s">
        <v>573</v>
      </c>
      <c r="D209" s="9" t="s">
        <v>21</v>
      </c>
      <c r="E209" s="9" t="s">
        <v>15</v>
      </c>
      <c r="G209" s="9" t="s">
        <v>25</v>
      </c>
      <c r="H209" s="9" t="s">
        <v>176</v>
      </c>
    </row>
    <row r="210" spans="1:19" x14ac:dyDescent="0.3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x14ac:dyDescent="0.3">
      <c r="A211" s="8" t="s">
        <v>1</v>
      </c>
      <c r="B211" s="8" t="s">
        <v>83</v>
      </c>
    </row>
    <row r="212" spans="1:19" x14ac:dyDescent="0.3">
      <c r="A212" s="9" t="s">
        <v>2</v>
      </c>
      <c r="B212" s="9" t="s">
        <v>177</v>
      </c>
    </row>
    <row r="213" spans="1:19" x14ac:dyDescent="0.3">
      <c r="A213" s="9" t="s">
        <v>3</v>
      </c>
      <c r="B213" s="9" t="s">
        <v>21</v>
      </c>
    </row>
    <row r="214" spans="1:19" x14ac:dyDescent="0.3">
      <c r="A214" s="9" t="s">
        <v>5</v>
      </c>
      <c r="B214" s="9">
        <v>1</v>
      </c>
    </row>
    <row r="215" spans="1:19" x14ac:dyDescent="0.3">
      <c r="A215" s="9" t="s">
        <v>4</v>
      </c>
      <c r="B215" s="9" t="s">
        <v>83</v>
      </c>
    </row>
    <row r="216" spans="1:19" x14ac:dyDescent="0.3">
      <c r="A216" s="9" t="s">
        <v>6</v>
      </c>
      <c r="B216" s="9" t="s">
        <v>15</v>
      </c>
    </row>
    <row r="217" spans="1:19" x14ac:dyDescent="0.3">
      <c r="A217" s="8" t="s">
        <v>8</v>
      </c>
    </row>
    <row r="218" spans="1:19" x14ac:dyDescent="0.3">
      <c r="A218" s="9" t="s">
        <v>9</v>
      </c>
      <c r="B218" s="9" t="s">
        <v>10</v>
      </c>
      <c r="C218" s="9" t="s">
        <v>11</v>
      </c>
      <c r="D218" s="9" t="s">
        <v>3</v>
      </c>
      <c r="E218" s="9" t="s">
        <v>6</v>
      </c>
      <c r="F218" s="9" t="s">
        <v>13</v>
      </c>
      <c r="G218" s="9" t="s">
        <v>4</v>
      </c>
    </row>
    <row r="219" spans="1:19" x14ac:dyDescent="0.3">
      <c r="A219" s="9" t="s">
        <v>83</v>
      </c>
      <c r="B219" s="16">
        <v>1</v>
      </c>
      <c r="C219" s="9" t="s">
        <v>573</v>
      </c>
      <c r="D219" s="9" t="s">
        <v>21</v>
      </c>
      <c r="E219" s="9" t="s">
        <v>15</v>
      </c>
      <c r="F219" s="9" t="s">
        <v>14</v>
      </c>
      <c r="G219" s="9" t="s">
        <v>83</v>
      </c>
    </row>
    <row r="220" spans="1:19" x14ac:dyDescent="0.3">
      <c r="A220" s="9" t="s">
        <v>178</v>
      </c>
      <c r="B220" s="16">
        <v>0.11849999999999999</v>
      </c>
      <c r="C220" s="9" t="s">
        <v>574</v>
      </c>
      <c r="D220" s="9" t="s">
        <v>23</v>
      </c>
      <c r="E220" s="9" t="s">
        <v>15</v>
      </c>
      <c r="F220" s="9" t="s">
        <v>25</v>
      </c>
      <c r="G220" s="9" t="s">
        <v>179</v>
      </c>
    </row>
    <row r="221" spans="1:19" x14ac:dyDescent="0.3">
      <c r="A221" s="9" t="s">
        <v>86</v>
      </c>
      <c r="B221" s="16">
        <v>2.3999999999999998E-3</v>
      </c>
      <c r="C221" s="9" t="s">
        <v>574</v>
      </c>
      <c r="D221" s="9" t="s">
        <v>23</v>
      </c>
      <c r="E221" s="9" t="s">
        <v>15</v>
      </c>
      <c r="F221" s="9" t="s">
        <v>25</v>
      </c>
      <c r="G221" s="9" t="s">
        <v>87</v>
      </c>
    </row>
    <row r="222" spans="1:19" x14ac:dyDescent="0.3">
      <c r="A222" s="9" t="s">
        <v>180</v>
      </c>
      <c r="B222" s="16">
        <v>0.87909999999999999</v>
      </c>
      <c r="C222" s="9" t="s">
        <v>574</v>
      </c>
      <c r="D222" s="9" t="s">
        <v>21</v>
      </c>
      <c r="E222" s="9" t="s">
        <v>15</v>
      </c>
      <c r="F222" s="9" t="s">
        <v>25</v>
      </c>
      <c r="G222" s="9" t="s">
        <v>181</v>
      </c>
    </row>
    <row r="223" spans="1:19" x14ac:dyDescent="0.3">
      <c r="A223" s="9" t="s">
        <v>421</v>
      </c>
      <c r="B223" s="16">
        <v>1.944444444444444</v>
      </c>
      <c r="C223" t="s">
        <v>574</v>
      </c>
      <c r="D223" s="9" t="s">
        <v>21</v>
      </c>
      <c r="E223" s="9" t="s">
        <v>76</v>
      </c>
      <c r="F223" s="9" t="s">
        <v>25</v>
      </c>
      <c r="G223" t="s">
        <v>77</v>
      </c>
    </row>
    <row r="224" spans="1:19" x14ac:dyDescent="0.3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x14ac:dyDescent="0.3">
      <c r="A225" s="8" t="s">
        <v>1</v>
      </c>
      <c r="B225" s="8" t="s">
        <v>84</v>
      </c>
    </row>
    <row r="226" spans="1:19" x14ac:dyDescent="0.3">
      <c r="A226" s="9" t="s">
        <v>2</v>
      </c>
      <c r="B226" s="9" t="s">
        <v>182</v>
      </c>
    </row>
    <row r="227" spans="1:19" x14ac:dyDescent="0.3">
      <c r="A227" s="9" t="s">
        <v>3</v>
      </c>
      <c r="B227" s="9" t="s">
        <v>21</v>
      </c>
    </row>
    <row r="228" spans="1:19" x14ac:dyDescent="0.3">
      <c r="A228" s="9" t="s">
        <v>5</v>
      </c>
      <c r="B228" s="9">
        <v>1</v>
      </c>
    </row>
    <row r="229" spans="1:19" x14ac:dyDescent="0.3">
      <c r="A229" s="9" t="s">
        <v>4</v>
      </c>
      <c r="B229" s="9" t="s">
        <v>84</v>
      </c>
    </row>
    <row r="230" spans="1:19" x14ac:dyDescent="0.3">
      <c r="A230" s="9" t="s">
        <v>6</v>
      </c>
      <c r="B230" s="9" t="s">
        <v>15</v>
      </c>
    </row>
    <row r="231" spans="1:19" x14ac:dyDescent="0.3">
      <c r="A231" s="8" t="s">
        <v>8</v>
      </c>
    </row>
    <row r="232" spans="1:19" x14ac:dyDescent="0.3">
      <c r="A232" s="9" t="s">
        <v>9</v>
      </c>
      <c r="B232" s="9" t="s">
        <v>10</v>
      </c>
      <c r="C232" s="9" t="s">
        <v>11</v>
      </c>
      <c r="D232" s="9" t="s">
        <v>3</v>
      </c>
      <c r="E232" s="9" t="s">
        <v>6</v>
      </c>
      <c r="F232" s="9" t="s">
        <v>13</v>
      </c>
      <c r="G232" s="9" t="s">
        <v>4</v>
      </c>
    </row>
    <row r="233" spans="1:19" x14ac:dyDescent="0.3">
      <c r="A233" s="9" t="s">
        <v>84</v>
      </c>
      <c r="B233" s="16">
        <v>1</v>
      </c>
      <c r="C233" s="9" t="s">
        <v>573</v>
      </c>
      <c r="D233" s="9" t="s">
        <v>21</v>
      </c>
      <c r="E233" s="9" t="s">
        <v>15</v>
      </c>
      <c r="F233" s="9" t="s">
        <v>14</v>
      </c>
      <c r="G233" s="9" t="s">
        <v>84</v>
      </c>
    </row>
    <row r="234" spans="1:19" x14ac:dyDescent="0.3">
      <c r="A234" s="9" t="s">
        <v>19</v>
      </c>
      <c r="B234" s="16">
        <v>1</v>
      </c>
      <c r="C234" s="9" t="s">
        <v>573</v>
      </c>
      <c r="D234" s="9" t="s">
        <v>21</v>
      </c>
      <c r="E234" s="9" t="s">
        <v>15</v>
      </c>
      <c r="F234" s="9" t="s">
        <v>25</v>
      </c>
      <c r="G234" s="9" t="s">
        <v>19</v>
      </c>
    </row>
    <row r="235" spans="1:19" x14ac:dyDescent="0.3">
      <c r="A235" s="9" t="s">
        <v>137</v>
      </c>
      <c r="B235" s="16">
        <v>1</v>
      </c>
      <c r="C235" s="9" t="s">
        <v>573</v>
      </c>
      <c r="D235" s="9" t="s">
        <v>21</v>
      </c>
      <c r="E235" s="9" t="s">
        <v>15</v>
      </c>
      <c r="F235" s="9" t="s">
        <v>25</v>
      </c>
      <c r="G235" s="9" t="s">
        <v>137</v>
      </c>
    </row>
    <row r="236" spans="1:19" x14ac:dyDescent="0.3">
      <c r="A236" s="9" t="s">
        <v>183</v>
      </c>
      <c r="B236" s="16">
        <v>27.5</v>
      </c>
      <c r="C236" s="9" t="s">
        <v>574</v>
      </c>
      <c r="D236" s="9" t="s">
        <v>23</v>
      </c>
      <c r="E236" s="9" t="s">
        <v>76</v>
      </c>
      <c r="F236" s="9" t="s">
        <v>25</v>
      </c>
      <c r="G236" s="9" t="s">
        <v>184</v>
      </c>
    </row>
    <row r="237" spans="1:19" x14ac:dyDescent="0.3">
      <c r="A237" s="9" t="s">
        <v>128</v>
      </c>
      <c r="B237" s="16">
        <v>27.5</v>
      </c>
      <c r="C237" s="9" t="s">
        <v>574</v>
      </c>
      <c r="D237" s="9" t="s">
        <v>23</v>
      </c>
      <c r="E237" s="9" t="s">
        <v>76</v>
      </c>
      <c r="F237" s="9" t="s">
        <v>25</v>
      </c>
      <c r="G237" s="9" t="s">
        <v>77</v>
      </c>
    </row>
    <row r="238" spans="1:19" x14ac:dyDescent="0.3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x14ac:dyDescent="0.3">
      <c r="A239" s="8" t="s">
        <v>1</v>
      </c>
      <c r="B239" s="8" t="s">
        <v>85</v>
      </c>
    </row>
    <row r="240" spans="1:19" x14ac:dyDescent="0.3">
      <c r="A240" s="9" t="s">
        <v>2</v>
      </c>
      <c r="B240" s="9" t="s">
        <v>185</v>
      </c>
    </row>
    <row r="241" spans="1:19" x14ac:dyDescent="0.3">
      <c r="A241" s="9" t="s">
        <v>3</v>
      </c>
      <c r="B241" s="9" t="s">
        <v>21</v>
      </c>
    </row>
    <row r="242" spans="1:19" x14ac:dyDescent="0.3">
      <c r="A242" s="9" t="s">
        <v>5</v>
      </c>
      <c r="B242" s="9">
        <v>1</v>
      </c>
    </row>
    <row r="243" spans="1:19" x14ac:dyDescent="0.3">
      <c r="A243" s="9" t="s">
        <v>4</v>
      </c>
      <c r="B243" s="9" t="s">
        <v>85</v>
      </c>
    </row>
    <row r="244" spans="1:19" x14ac:dyDescent="0.3">
      <c r="A244" s="9" t="s">
        <v>6</v>
      </c>
      <c r="B244" s="9" t="s">
        <v>15</v>
      </c>
    </row>
    <row r="245" spans="1:19" x14ac:dyDescent="0.3">
      <c r="A245" s="8" t="s">
        <v>8</v>
      </c>
    </row>
    <row r="246" spans="1:19" x14ac:dyDescent="0.3">
      <c r="A246" s="9" t="s">
        <v>9</v>
      </c>
      <c r="B246" s="9" t="s">
        <v>10</v>
      </c>
      <c r="C246" s="9" t="s">
        <v>11</v>
      </c>
      <c r="D246" s="9" t="s">
        <v>3</v>
      </c>
      <c r="E246" s="9" t="s">
        <v>6</v>
      </c>
      <c r="F246" s="9" t="s">
        <v>13</v>
      </c>
      <c r="G246" s="9" t="s">
        <v>4</v>
      </c>
    </row>
    <row r="247" spans="1:19" x14ac:dyDescent="0.3">
      <c r="A247" s="9" t="s">
        <v>85</v>
      </c>
      <c r="B247" s="16">
        <v>1</v>
      </c>
      <c r="C247" s="9" t="s">
        <v>573</v>
      </c>
      <c r="D247" s="9" t="s">
        <v>21</v>
      </c>
      <c r="E247" s="9" t="s">
        <v>15</v>
      </c>
      <c r="F247" s="9" t="s">
        <v>14</v>
      </c>
      <c r="G247" s="9" t="s">
        <v>85</v>
      </c>
    </row>
    <row r="248" spans="1:19" x14ac:dyDescent="0.3">
      <c r="A248" s="9" t="s">
        <v>186</v>
      </c>
      <c r="B248" s="16">
        <v>0.32500000000000001</v>
      </c>
      <c r="C248" s="9" t="s">
        <v>574</v>
      </c>
      <c r="D248" s="9" t="s">
        <v>23</v>
      </c>
      <c r="E248" s="9" t="s">
        <v>15</v>
      </c>
      <c r="F248" s="9" t="s">
        <v>25</v>
      </c>
      <c r="G248" s="9" t="s">
        <v>187</v>
      </c>
    </row>
    <row r="249" spans="1:19" x14ac:dyDescent="0.3">
      <c r="A249" s="9" t="s">
        <v>421</v>
      </c>
      <c r="B249" s="16">
        <v>1.478</v>
      </c>
      <c r="C249" t="s">
        <v>574</v>
      </c>
      <c r="D249" s="9" t="s">
        <v>21</v>
      </c>
      <c r="E249" s="9" t="s">
        <v>76</v>
      </c>
      <c r="F249" s="9" t="s">
        <v>25</v>
      </c>
      <c r="G249" s="9" t="s">
        <v>77</v>
      </c>
    </row>
    <row r="250" spans="1:19" x14ac:dyDescent="0.3">
      <c r="A250" s="9" t="s">
        <v>188</v>
      </c>
      <c r="B250" s="16">
        <v>0.24</v>
      </c>
      <c r="C250" s="9" t="s">
        <v>574</v>
      </c>
      <c r="D250" s="9" t="s">
        <v>23</v>
      </c>
      <c r="E250" s="9" t="s">
        <v>15</v>
      </c>
      <c r="F250" s="9" t="s">
        <v>25</v>
      </c>
      <c r="G250" s="9" t="s">
        <v>189</v>
      </c>
    </row>
    <row r="251" spans="1:19" x14ac:dyDescent="0.3">
      <c r="A251" s="9" t="s">
        <v>190</v>
      </c>
      <c r="B251" s="16">
        <v>0.435</v>
      </c>
      <c r="C251" s="9" t="s">
        <v>574</v>
      </c>
      <c r="D251" s="9" t="s">
        <v>23</v>
      </c>
      <c r="E251" s="9" t="s">
        <v>15</v>
      </c>
      <c r="F251" s="9" t="s">
        <v>25</v>
      </c>
      <c r="G251" s="9" t="s">
        <v>191</v>
      </c>
    </row>
    <row r="252" spans="1:19" x14ac:dyDescent="0.3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x14ac:dyDescent="0.3">
      <c r="A253" s="8" t="s">
        <v>1</v>
      </c>
      <c r="B253" s="8" t="s">
        <v>209</v>
      </c>
    </row>
    <row r="254" spans="1:19" x14ac:dyDescent="0.3">
      <c r="A254" s="9" t="s">
        <v>2</v>
      </c>
      <c r="B254" t="s">
        <v>502</v>
      </c>
    </row>
    <row r="255" spans="1:19" x14ac:dyDescent="0.3">
      <c r="A255" s="9" t="s">
        <v>3</v>
      </c>
      <c r="B255" s="9" t="s">
        <v>21</v>
      </c>
    </row>
    <row r="256" spans="1:19" x14ac:dyDescent="0.3">
      <c r="A256" s="9" t="s">
        <v>5</v>
      </c>
      <c r="B256" s="9">
        <v>1</v>
      </c>
    </row>
    <row r="257" spans="1:8" x14ac:dyDescent="0.3">
      <c r="A257" s="9" t="s">
        <v>4</v>
      </c>
      <c r="B257" s="9" t="s">
        <v>209</v>
      </c>
    </row>
    <row r="258" spans="1:8" x14ac:dyDescent="0.3">
      <c r="A258" s="9" t="s">
        <v>6</v>
      </c>
      <c r="B258" s="9" t="s">
        <v>15</v>
      </c>
    </row>
    <row r="259" spans="1:8" x14ac:dyDescent="0.3">
      <c r="A259" s="8" t="s">
        <v>8</v>
      </c>
    </row>
    <row r="260" spans="1:8" x14ac:dyDescent="0.3">
      <c r="A260" s="9" t="s">
        <v>9</v>
      </c>
      <c r="B260" s="9" t="s">
        <v>10</v>
      </c>
      <c r="C260" s="9" t="s">
        <v>11</v>
      </c>
      <c r="D260" s="9" t="s">
        <v>3</v>
      </c>
      <c r="E260" s="9" t="s">
        <v>6</v>
      </c>
      <c r="F260" s="9" t="s">
        <v>12</v>
      </c>
      <c r="G260" s="9" t="s">
        <v>13</v>
      </c>
      <c r="H260" s="9" t="s">
        <v>4</v>
      </c>
    </row>
    <row r="261" spans="1:8" x14ac:dyDescent="0.3">
      <c r="A261" s="9" t="s">
        <v>211</v>
      </c>
      <c r="B261" s="11">
        <v>3.8971000000000003E-6</v>
      </c>
      <c r="C261" s="9" t="s">
        <v>16</v>
      </c>
      <c r="E261" s="9" t="s">
        <v>15</v>
      </c>
      <c r="F261" s="9" t="s">
        <v>51</v>
      </c>
      <c r="G261" s="9" t="s">
        <v>18</v>
      </c>
    </row>
    <row r="262" spans="1:8" x14ac:dyDescent="0.3">
      <c r="A262" s="9" t="s">
        <v>103</v>
      </c>
      <c r="B262" s="11">
        <v>5.8419000000000002E-8</v>
      </c>
      <c r="C262" s="9" t="s">
        <v>16</v>
      </c>
      <c r="E262" s="9" t="s">
        <v>15</v>
      </c>
      <c r="F262" s="9" t="s">
        <v>212</v>
      </c>
      <c r="G262" s="9" t="s">
        <v>18</v>
      </c>
    </row>
    <row r="263" spans="1:8" x14ac:dyDescent="0.3">
      <c r="A263" s="9" t="s">
        <v>213</v>
      </c>
      <c r="B263" s="11">
        <v>2.0568000000000002E-9</v>
      </c>
      <c r="C263" s="9" t="s">
        <v>16</v>
      </c>
      <c r="E263" s="9" t="s">
        <v>15</v>
      </c>
      <c r="F263" s="9" t="s">
        <v>214</v>
      </c>
      <c r="G263" s="9" t="s">
        <v>18</v>
      </c>
    </row>
    <row r="264" spans="1:8" x14ac:dyDescent="0.3">
      <c r="A264" s="9" t="s">
        <v>213</v>
      </c>
      <c r="B264" s="11">
        <v>2.0658E-9</v>
      </c>
      <c r="C264" s="9" t="s">
        <v>16</v>
      </c>
      <c r="E264" s="9" t="s">
        <v>15</v>
      </c>
      <c r="F264" s="9" t="s">
        <v>215</v>
      </c>
      <c r="G264" s="9" t="s">
        <v>18</v>
      </c>
    </row>
    <row r="265" spans="1:8" x14ac:dyDescent="0.3">
      <c r="A265" s="9" t="s">
        <v>50</v>
      </c>
      <c r="B265" s="16">
        <v>0</v>
      </c>
      <c r="C265" s="9" t="s">
        <v>16</v>
      </c>
      <c r="E265" s="9" t="s">
        <v>15</v>
      </c>
      <c r="F265" s="9" t="s">
        <v>51</v>
      </c>
      <c r="G265" s="9" t="s">
        <v>18</v>
      </c>
    </row>
    <row r="266" spans="1:8" x14ac:dyDescent="0.3">
      <c r="A266" s="9" t="s">
        <v>79</v>
      </c>
      <c r="B266" s="16">
        <v>1.7590123356145999</v>
      </c>
      <c r="C266" s="9" t="s">
        <v>16</v>
      </c>
      <c r="E266" s="9" t="s">
        <v>15</v>
      </c>
      <c r="F266" s="9" t="s">
        <v>80</v>
      </c>
      <c r="G266" s="9" t="s">
        <v>18</v>
      </c>
    </row>
    <row r="267" spans="1:8" x14ac:dyDescent="0.3">
      <c r="A267" s="9" t="s">
        <v>105</v>
      </c>
      <c r="B267" s="11">
        <v>-5.2561999999999998E-8</v>
      </c>
      <c r="C267" s="9" t="s">
        <v>16</v>
      </c>
      <c r="E267" s="9" t="s">
        <v>15</v>
      </c>
      <c r="F267" s="9" t="s">
        <v>212</v>
      </c>
      <c r="G267" s="9" t="s">
        <v>18</v>
      </c>
    </row>
    <row r="268" spans="1:8" x14ac:dyDescent="0.3">
      <c r="A268" s="9" t="s">
        <v>216</v>
      </c>
      <c r="B268" s="11">
        <v>1.04E-6</v>
      </c>
      <c r="C268" s="9" t="s">
        <v>16</v>
      </c>
      <c r="E268" s="9" t="s">
        <v>15</v>
      </c>
      <c r="F268" s="9" t="s">
        <v>215</v>
      </c>
      <c r="G268" s="9" t="s">
        <v>18</v>
      </c>
    </row>
    <row r="269" spans="1:8" x14ac:dyDescent="0.3">
      <c r="A269" s="9" t="s">
        <v>216</v>
      </c>
      <c r="B269" s="11">
        <v>2.4523999999999999E-7</v>
      </c>
      <c r="C269" s="9" t="s">
        <v>16</v>
      </c>
      <c r="E269" s="9" t="s">
        <v>15</v>
      </c>
      <c r="F269" s="9" t="s">
        <v>214</v>
      </c>
      <c r="G269" s="9" t="s">
        <v>18</v>
      </c>
    </row>
    <row r="270" spans="1:8" x14ac:dyDescent="0.3">
      <c r="A270" s="9" t="s">
        <v>106</v>
      </c>
      <c r="B270" s="11">
        <v>-1.6024999999999999E-6</v>
      </c>
      <c r="C270" s="9" t="s">
        <v>16</v>
      </c>
      <c r="E270" s="9" t="s">
        <v>15</v>
      </c>
      <c r="F270" s="9" t="s">
        <v>212</v>
      </c>
      <c r="G270" s="9" t="s">
        <v>18</v>
      </c>
    </row>
    <row r="271" spans="1:8" x14ac:dyDescent="0.3">
      <c r="A271" s="9" t="s">
        <v>217</v>
      </c>
      <c r="B271" s="11">
        <v>1.6703000000000001E-7</v>
      </c>
      <c r="C271" s="9" t="s">
        <v>16</v>
      </c>
      <c r="E271" s="9" t="s">
        <v>15</v>
      </c>
      <c r="F271" s="9" t="s">
        <v>214</v>
      </c>
      <c r="G271" s="9" t="s">
        <v>18</v>
      </c>
    </row>
    <row r="272" spans="1:8" x14ac:dyDescent="0.3">
      <c r="A272" s="9" t="s">
        <v>217</v>
      </c>
      <c r="B272" s="11">
        <v>1.4422999999999999E-7</v>
      </c>
      <c r="C272" s="9" t="s">
        <v>16</v>
      </c>
      <c r="E272" s="9" t="s">
        <v>15</v>
      </c>
      <c r="F272" s="9" t="s">
        <v>215</v>
      </c>
      <c r="G272" s="9" t="s">
        <v>18</v>
      </c>
    </row>
    <row r="273" spans="1:7" x14ac:dyDescent="0.3">
      <c r="A273" s="9" t="s">
        <v>107</v>
      </c>
      <c r="B273" s="11">
        <v>4.7399000000000001E-6</v>
      </c>
      <c r="C273" s="9" t="s">
        <v>16</v>
      </c>
      <c r="E273" s="9" t="s">
        <v>15</v>
      </c>
      <c r="F273" s="9" t="s">
        <v>51</v>
      </c>
      <c r="G273" s="9" t="s">
        <v>18</v>
      </c>
    </row>
    <row r="274" spans="1:7" x14ac:dyDescent="0.3">
      <c r="A274" s="9" t="s">
        <v>218</v>
      </c>
      <c r="B274" s="16">
        <v>19.212</v>
      </c>
      <c r="C274" s="9" t="s">
        <v>16</v>
      </c>
      <c r="E274" s="9" t="s">
        <v>24</v>
      </c>
      <c r="F274" s="9" t="s">
        <v>219</v>
      </c>
      <c r="G274" s="9" t="s">
        <v>18</v>
      </c>
    </row>
    <row r="275" spans="1:7" x14ac:dyDescent="0.3">
      <c r="A275" s="9" t="s">
        <v>220</v>
      </c>
      <c r="B275" s="11">
        <v>1.1538E-5</v>
      </c>
      <c r="C275" s="9" t="s">
        <v>16</v>
      </c>
      <c r="E275" s="9" t="s">
        <v>15</v>
      </c>
      <c r="F275" s="9" t="s">
        <v>212</v>
      </c>
      <c r="G275" s="9" t="s">
        <v>18</v>
      </c>
    </row>
    <row r="276" spans="1:7" x14ac:dyDescent="0.3">
      <c r="A276" s="9" t="s">
        <v>109</v>
      </c>
      <c r="B276" s="11">
        <v>3.4243999999999999E-9</v>
      </c>
      <c r="C276" s="9" t="s">
        <v>16</v>
      </c>
      <c r="E276" s="9" t="s">
        <v>15</v>
      </c>
      <c r="F276" s="9" t="s">
        <v>215</v>
      </c>
      <c r="G276" s="9" t="s">
        <v>18</v>
      </c>
    </row>
    <row r="277" spans="1:7" x14ac:dyDescent="0.3">
      <c r="A277" s="9" t="s">
        <v>109</v>
      </c>
      <c r="B277" s="11">
        <v>2.3085000000000001E-8</v>
      </c>
      <c r="C277" s="9" t="s">
        <v>16</v>
      </c>
      <c r="E277" s="9" t="s">
        <v>15</v>
      </c>
      <c r="F277" s="9" t="s">
        <v>214</v>
      </c>
      <c r="G277" s="9" t="s">
        <v>18</v>
      </c>
    </row>
    <row r="278" spans="1:7" x14ac:dyDescent="0.3">
      <c r="A278" s="9" t="s">
        <v>109</v>
      </c>
      <c r="B278" s="11">
        <v>7.0325999999999999E-9</v>
      </c>
      <c r="C278" s="9" t="s">
        <v>16</v>
      </c>
      <c r="E278" s="9" t="s">
        <v>15</v>
      </c>
      <c r="F278" s="9" t="s">
        <v>212</v>
      </c>
      <c r="G278" s="9" t="s">
        <v>18</v>
      </c>
    </row>
    <row r="279" spans="1:7" x14ac:dyDescent="0.3">
      <c r="A279" s="9" t="s">
        <v>110</v>
      </c>
      <c r="B279" s="11">
        <v>2.4134000000000002E-12</v>
      </c>
      <c r="C279" s="9" t="s">
        <v>16</v>
      </c>
      <c r="E279" s="9" t="s">
        <v>15</v>
      </c>
      <c r="F279" s="9" t="s">
        <v>215</v>
      </c>
      <c r="G279" s="9" t="s">
        <v>18</v>
      </c>
    </row>
    <row r="280" spans="1:7" x14ac:dyDescent="0.3">
      <c r="A280" s="9" t="s">
        <v>110</v>
      </c>
      <c r="B280" s="11">
        <v>3.2340000000000002E-12</v>
      </c>
      <c r="C280" s="9" t="s">
        <v>16</v>
      </c>
      <c r="E280" s="9" t="s">
        <v>15</v>
      </c>
      <c r="F280" s="9" t="s">
        <v>214</v>
      </c>
      <c r="G280" s="9" t="s">
        <v>18</v>
      </c>
    </row>
    <row r="281" spans="1:7" x14ac:dyDescent="0.3">
      <c r="A281" s="9" t="s">
        <v>110</v>
      </c>
      <c r="B281" s="11">
        <v>5.5528000000000003E-12</v>
      </c>
      <c r="C281" s="9" t="s">
        <v>16</v>
      </c>
      <c r="E281" s="9" t="s">
        <v>15</v>
      </c>
      <c r="F281" s="9" t="s">
        <v>212</v>
      </c>
      <c r="G281" s="9" t="s">
        <v>18</v>
      </c>
    </row>
    <row r="282" spans="1:7" x14ac:dyDescent="0.3">
      <c r="A282" s="9" t="s">
        <v>113</v>
      </c>
      <c r="B282" s="11">
        <v>-1.0578000000000001E-6</v>
      </c>
      <c r="C282" s="9" t="s">
        <v>16</v>
      </c>
      <c r="E282" s="9" t="s">
        <v>15</v>
      </c>
      <c r="F282" s="9" t="s">
        <v>212</v>
      </c>
      <c r="G282" s="9" t="s">
        <v>18</v>
      </c>
    </row>
    <row r="283" spans="1:7" x14ac:dyDescent="0.3">
      <c r="A283" s="9" t="s">
        <v>221</v>
      </c>
      <c r="B283" s="11">
        <v>1.1773E-7</v>
      </c>
      <c r="C283" s="9" t="s">
        <v>16</v>
      </c>
      <c r="E283" s="9" t="s">
        <v>15</v>
      </c>
      <c r="F283" s="9" t="s">
        <v>214</v>
      </c>
      <c r="G283" s="9" t="s">
        <v>18</v>
      </c>
    </row>
    <row r="284" spans="1:7" x14ac:dyDescent="0.3">
      <c r="A284" s="9" t="s">
        <v>222</v>
      </c>
      <c r="B284" s="11">
        <v>8.1581999999999998E-4</v>
      </c>
      <c r="C284" s="9" t="s">
        <v>16</v>
      </c>
      <c r="E284" s="9" t="s">
        <v>15</v>
      </c>
      <c r="F284" s="9" t="s">
        <v>215</v>
      </c>
      <c r="G284" s="9" t="s">
        <v>18</v>
      </c>
    </row>
    <row r="285" spans="1:7" x14ac:dyDescent="0.3">
      <c r="A285" s="9" t="s">
        <v>91</v>
      </c>
      <c r="B285" s="11">
        <v>1.6519E-6</v>
      </c>
      <c r="C285" s="9" t="s">
        <v>16</v>
      </c>
      <c r="E285" s="9" t="s">
        <v>15</v>
      </c>
      <c r="F285" s="9" t="s">
        <v>51</v>
      </c>
      <c r="G285" s="9" t="s">
        <v>18</v>
      </c>
    </row>
    <row r="286" spans="1:7" x14ac:dyDescent="0.3">
      <c r="A286" s="9" t="s">
        <v>223</v>
      </c>
      <c r="B286" s="16">
        <v>0.64656000000000002</v>
      </c>
      <c r="C286" s="9" t="s">
        <v>16</v>
      </c>
      <c r="E286" s="9" t="s">
        <v>56</v>
      </c>
      <c r="F286" s="9" t="s">
        <v>57</v>
      </c>
      <c r="G286" s="9" t="s">
        <v>18</v>
      </c>
    </row>
    <row r="287" spans="1:7" x14ac:dyDescent="0.3">
      <c r="A287" s="9" t="s">
        <v>224</v>
      </c>
      <c r="B287" s="11">
        <v>5.397E-5</v>
      </c>
      <c r="C287" s="9" t="s">
        <v>16</v>
      </c>
      <c r="E287" s="9" t="s">
        <v>15</v>
      </c>
      <c r="F287" s="9" t="s">
        <v>214</v>
      </c>
      <c r="G287" s="9" t="s">
        <v>18</v>
      </c>
    </row>
    <row r="288" spans="1:7" x14ac:dyDescent="0.3">
      <c r="A288" s="9" t="s">
        <v>224</v>
      </c>
      <c r="B288" s="11">
        <v>1.3869999999999999E-5</v>
      </c>
      <c r="C288" s="9" t="s">
        <v>16</v>
      </c>
      <c r="E288" s="9" t="s">
        <v>15</v>
      </c>
      <c r="F288" s="9" t="s">
        <v>215</v>
      </c>
      <c r="G288" s="9" t="s">
        <v>18</v>
      </c>
    </row>
    <row r="289" spans="1:8" x14ac:dyDescent="0.3">
      <c r="A289" s="9" t="s">
        <v>225</v>
      </c>
      <c r="B289" s="11">
        <v>1.2741E-5</v>
      </c>
      <c r="C289" s="9" t="s">
        <v>16</v>
      </c>
      <c r="E289" s="9" t="s">
        <v>15</v>
      </c>
      <c r="F289" s="9" t="s">
        <v>214</v>
      </c>
      <c r="G289" s="9" t="s">
        <v>18</v>
      </c>
    </row>
    <row r="290" spans="1:8" x14ac:dyDescent="0.3">
      <c r="A290" s="9" t="s">
        <v>226</v>
      </c>
      <c r="B290" s="16">
        <v>3.3654000000000003E-2</v>
      </c>
      <c r="C290" s="9" t="s">
        <v>16</v>
      </c>
      <c r="E290" s="9" t="s">
        <v>59</v>
      </c>
      <c r="F290" s="9" t="s">
        <v>57</v>
      </c>
      <c r="G290" s="9" t="s">
        <v>18</v>
      </c>
    </row>
    <row r="291" spans="1:8" x14ac:dyDescent="0.3">
      <c r="A291" s="9" t="s">
        <v>227</v>
      </c>
      <c r="B291" s="16">
        <v>3.3654000000000003E-2</v>
      </c>
      <c r="C291" s="9" t="s">
        <v>16</v>
      </c>
      <c r="E291" s="9" t="s">
        <v>59</v>
      </c>
      <c r="F291" s="9" t="s">
        <v>57</v>
      </c>
      <c r="G291" s="9" t="s">
        <v>18</v>
      </c>
    </row>
    <row r="292" spans="1:8" x14ac:dyDescent="0.3">
      <c r="A292" s="9" t="s">
        <v>119</v>
      </c>
      <c r="B292" s="11">
        <v>-3.9254000000000001E-5</v>
      </c>
      <c r="C292" s="9" t="s">
        <v>16</v>
      </c>
      <c r="E292" s="9" t="s">
        <v>15</v>
      </c>
      <c r="F292" s="9" t="s">
        <v>212</v>
      </c>
      <c r="G292" s="9" t="s">
        <v>18</v>
      </c>
    </row>
    <row r="293" spans="1:8" x14ac:dyDescent="0.3">
      <c r="A293" s="9" t="s">
        <v>228</v>
      </c>
      <c r="B293" s="11">
        <v>2.1932000000000001E-7</v>
      </c>
      <c r="C293" s="9" t="s">
        <v>16</v>
      </c>
      <c r="E293" s="9" t="s">
        <v>15</v>
      </c>
      <c r="F293" s="9" t="s">
        <v>214</v>
      </c>
      <c r="G293" s="9" t="s">
        <v>18</v>
      </c>
    </row>
    <row r="294" spans="1:8" x14ac:dyDescent="0.3">
      <c r="A294" s="9" t="s">
        <v>228</v>
      </c>
      <c r="B294" s="11">
        <v>7.0345000000000002E-7</v>
      </c>
      <c r="C294" s="9" t="s">
        <v>16</v>
      </c>
      <c r="E294" s="9" t="s">
        <v>15</v>
      </c>
      <c r="F294" s="9" t="s">
        <v>215</v>
      </c>
      <c r="G294" s="9" t="s">
        <v>18</v>
      </c>
    </row>
    <row r="295" spans="1:8" x14ac:dyDescent="0.3">
      <c r="A295" s="9" t="s">
        <v>209</v>
      </c>
      <c r="B295" s="16">
        <v>1</v>
      </c>
      <c r="C295" s="9" t="s">
        <v>573</v>
      </c>
      <c r="D295" s="9" t="s">
        <v>21</v>
      </c>
      <c r="E295" s="9" t="s">
        <v>15</v>
      </c>
      <c r="G295" s="9" t="s">
        <v>14</v>
      </c>
      <c r="H295" s="9" t="s">
        <v>209</v>
      </c>
    </row>
    <row r="296" spans="1:8" x14ac:dyDescent="0.3">
      <c r="A296" s="9" t="s">
        <v>229</v>
      </c>
      <c r="B296" s="11">
        <v>2.7244000000000001E-3</v>
      </c>
      <c r="C296" s="9" t="s">
        <v>574</v>
      </c>
      <c r="D296" s="9" t="s">
        <v>21</v>
      </c>
      <c r="E296" s="9" t="s">
        <v>15</v>
      </c>
      <c r="G296" s="9" t="s">
        <v>25</v>
      </c>
      <c r="H296" s="9" t="s">
        <v>230</v>
      </c>
    </row>
    <row r="297" spans="1:8" x14ac:dyDescent="0.3">
      <c r="A297" s="9" t="s">
        <v>231</v>
      </c>
      <c r="B297" s="11">
        <v>6.4103000000000003E-6</v>
      </c>
      <c r="C297" s="9" t="s">
        <v>574</v>
      </c>
      <c r="D297" s="9" t="s">
        <v>21</v>
      </c>
      <c r="E297" s="9" t="s">
        <v>232</v>
      </c>
      <c r="G297" s="9" t="s">
        <v>25</v>
      </c>
      <c r="H297" s="9" t="s">
        <v>233</v>
      </c>
    </row>
    <row r="298" spans="1:8" x14ac:dyDescent="0.3">
      <c r="A298" s="9" t="s">
        <v>234</v>
      </c>
      <c r="B298" s="11">
        <v>6.4103000000000006E-5</v>
      </c>
      <c r="C298" s="9" t="s">
        <v>574</v>
      </c>
      <c r="D298" s="9" t="s">
        <v>21</v>
      </c>
      <c r="E298" s="9" t="s">
        <v>15</v>
      </c>
      <c r="G298" s="9" t="s">
        <v>25</v>
      </c>
      <c r="H298" s="9" t="s">
        <v>235</v>
      </c>
    </row>
    <row r="299" spans="1:8" x14ac:dyDescent="0.3">
      <c r="A299" s="9" t="s">
        <v>236</v>
      </c>
      <c r="B299" s="11">
        <v>6.0897000000000003E-5</v>
      </c>
      <c r="C299" s="9" t="s">
        <v>574</v>
      </c>
      <c r="D299" s="9" t="s">
        <v>21</v>
      </c>
      <c r="E299" s="9" t="s">
        <v>232</v>
      </c>
      <c r="G299" s="9" t="s">
        <v>25</v>
      </c>
      <c r="H299" s="9" t="s">
        <v>237</v>
      </c>
    </row>
    <row r="300" spans="1:8" x14ac:dyDescent="0.3">
      <c r="A300" s="9" t="s">
        <v>238</v>
      </c>
      <c r="B300" s="11">
        <v>5.4487000000000002E-5</v>
      </c>
      <c r="C300" s="9" t="s">
        <v>574</v>
      </c>
      <c r="D300" s="9" t="s">
        <v>21</v>
      </c>
      <c r="E300" s="9" t="s">
        <v>232</v>
      </c>
      <c r="G300" s="9" t="s">
        <v>25</v>
      </c>
      <c r="H300" s="9" t="s">
        <v>239</v>
      </c>
    </row>
    <row r="301" spans="1:8" x14ac:dyDescent="0.3">
      <c r="A301" s="9" t="s">
        <v>240</v>
      </c>
      <c r="B301" s="16">
        <v>1.0673E-2</v>
      </c>
      <c r="C301" s="9" t="s">
        <v>574</v>
      </c>
      <c r="D301" s="9" t="s">
        <v>21</v>
      </c>
      <c r="E301" s="9" t="s">
        <v>7</v>
      </c>
      <c r="G301" s="9" t="s">
        <v>25</v>
      </c>
      <c r="H301" s="9" t="s">
        <v>241</v>
      </c>
    </row>
    <row r="302" spans="1:8" x14ac:dyDescent="0.3">
      <c r="A302" s="9" t="s">
        <v>242</v>
      </c>
      <c r="B302" s="11">
        <v>1.1538E-5</v>
      </c>
      <c r="C302" s="9" t="s">
        <v>574</v>
      </c>
      <c r="D302" s="9" t="s">
        <v>21</v>
      </c>
      <c r="E302" s="9" t="s">
        <v>15</v>
      </c>
      <c r="G302" s="9" t="s">
        <v>25</v>
      </c>
      <c r="H302" s="9" t="s">
        <v>243</v>
      </c>
    </row>
    <row r="303" spans="1:8" x14ac:dyDescent="0.3">
      <c r="A303" s="9" t="s">
        <v>244</v>
      </c>
      <c r="B303" s="11">
        <v>9.6153999999999995E-6</v>
      </c>
      <c r="C303" s="9" t="s">
        <v>574</v>
      </c>
      <c r="D303" s="9" t="s">
        <v>21</v>
      </c>
      <c r="E303" s="9" t="s">
        <v>232</v>
      </c>
      <c r="G303" s="9" t="s">
        <v>25</v>
      </c>
      <c r="H303" s="9" t="s">
        <v>245</v>
      </c>
    </row>
    <row r="304" spans="1:8" x14ac:dyDescent="0.3">
      <c r="A304" s="9" t="s">
        <v>246</v>
      </c>
      <c r="B304" s="11">
        <v>1.2986E-3</v>
      </c>
      <c r="C304" s="9" t="s">
        <v>574</v>
      </c>
      <c r="D304" s="9" t="s">
        <v>21</v>
      </c>
      <c r="E304" s="9" t="s">
        <v>15</v>
      </c>
      <c r="G304" s="9" t="s">
        <v>25</v>
      </c>
      <c r="H304" s="9" t="s">
        <v>87</v>
      </c>
    </row>
    <row r="305" spans="1:19" x14ac:dyDescent="0.3">
      <c r="A305" s="9" t="s">
        <v>247</v>
      </c>
      <c r="B305" s="16">
        <v>3.2051000000000003E-2</v>
      </c>
      <c r="C305" s="9" t="s">
        <v>574</v>
      </c>
      <c r="D305" s="9" t="s">
        <v>21</v>
      </c>
      <c r="E305" s="9" t="s">
        <v>6</v>
      </c>
      <c r="G305" s="9" t="s">
        <v>25</v>
      </c>
      <c r="H305" s="9" t="s">
        <v>248</v>
      </c>
    </row>
    <row r="306" spans="1:19" x14ac:dyDescent="0.3">
      <c r="A306" s="9" t="s">
        <v>249</v>
      </c>
      <c r="B306" s="11">
        <v>6.4103000000000003E-6</v>
      </c>
      <c r="C306" s="9" t="s">
        <v>574</v>
      </c>
      <c r="D306" s="9" t="s">
        <v>21</v>
      </c>
      <c r="E306" s="9" t="s">
        <v>232</v>
      </c>
      <c r="G306" s="9" t="s">
        <v>25</v>
      </c>
      <c r="H306" s="9" t="s">
        <v>250</v>
      </c>
    </row>
    <row r="307" spans="1:19" x14ac:dyDescent="0.3">
      <c r="A307" s="9" t="s">
        <v>251</v>
      </c>
      <c r="B307" s="11">
        <v>2.3157E-3</v>
      </c>
      <c r="C307" s="9" t="s">
        <v>574</v>
      </c>
      <c r="D307" s="9" t="s">
        <v>21</v>
      </c>
      <c r="E307" s="9" t="s">
        <v>15</v>
      </c>
      <c r="G307" s="9" t="s">
        <v>25</v>
      </c>
      <c r="H307" s="9" t="s">
        <v>252</v>
      </c>
    </row>
    <row r="308" spans="1:19" x14ac:dyDescent="0.3">
      <c r="A308" s="9" t="s">
        <v>253</v>
      </c>
      <c r="B308" s="11">
        <v>6.4840000000000002E-3</v>
      </c>
      <c r="C308" s="9" t="s">
        <v>574</v>
      </c>
      <c r="D308" s="9" t="s">
        <v>23</v>
      </c>
      <c r="E308" s="9" t="s">
        <v>15</v>
      </c>
      <c r="G308" s="9" t="s">
        <v>25</v>
      </c>
      <c r="H308" s="9" t="s">
        <v>254</v>
      </c>
    </row>
    <row r="309" spans="1:19" x14ac:dyDescent="0.3">
      <c r="A309" s="9" t="s">
        <v>255</v>
      </c>
      <c r="B309" s="11">
        <v>3.2051E-6</v>
      </c>
      <c r="C309" s="9" t="s">
        <v>574</v>
      </c>
      <c r="D309" s="9" t="s">
        <v>21</v>
      </c>
      <c r="E309" s="9" t="s">
        <v>232</v>
      </c>
      <c r="G309" s="9" t="s">
        <v>25</v>
      </c>
      <c r="H309" s="9" t="s">
        <v>256</v>
      </c>
    </row>
    <row r="310" spans="1:19" x14ac:dyDescent="0.3">
      <c r="A310" s="9" t="s">
        <v>257</v>
      </c>
      <c r="B310" s="11">
        <v>3.2051E-6</v>
      </c>
      <c r="C310" s="9" t="s">
        <v>574</v>
      </c>
      <c r="D310" s="9" t="s">
        <v>21</v>
      </c>
      <c r="E310" s="9" t="s">
        <v>232</v>
      </c>
      <c r="G310" s="9" t="s">
        <v>25</v>
      </c>
      <c r="H310" s="9" t="s">
        <v>258</v>
      </c>
    </row>
    <row r="311" spans="1:19" x14ac:dyDescent="0.3">
      <c r="A311" s="9" t="s">
        <v>259</v>
      </c>
      <c r="B311" s="11">
        <v>6.4103000000000003E-6</v>
      </c>
      <c r="C311" s="9" t="s">
        <v>574</v>
      </c>
      <c r="D311" s="9" t="s">
        <v>21</v>
      </c>
      <c r="E311" s="9" t="s">
        <v>232</v>
      </c>
      <c r="G311" s="9" t="s">
        <v>25</v>
      </c>
      <c r="H311" s="9" t="s">
        <v>260</v>
      </c>
    </row>
    <row r="312" spans="1:19" x14ac:dyDescent="0.3">
      <c r="A312" s="9" t="s">
        <v>261</v>
      </c>
      <c r="B312" s="11">
        <v>3.2051E-6</v>
      </c>
      <c r="C312" s="9" t="s">
        <v>574</v>
      </c>
      <c r="D312" s="9" t="s">
        <v>21</v>
      </c>
      <c r="E312" s="9" t="s">
        <v>232</v>
      </c>
      <c r="G312" s="9" t="s">
        <v>25</v>
      </c>
      <c r="H312" s="9" t="s">
        <v>262</v>
      </c>
    </row>
    <row r="313" spans="1:19" x14ac:dyDescent="0.3">
      <c r="A313" s="9" t="s">
        <v>263</v>
      </c>
      <c r="B313" s="11">
        <v>3.2051E-6</v>
      </c>
      <c r="C313" s="9" t="s">
        <v>574</v>
      </c>
      <c r="D313" s="9" t="s">
        <v>21</v>
      </c>
      <c r="E313" s="9" t="s">
        <v>232</v>
      </c>
      <c r="G313" s="9" t="s">
        <v>25</v>
      </c>
      <c r="H313" s="9" t="s">
        <v>264</v>
      </c>
    </row>
    <row r="314" spans="1:19" x14ac:dyDescent="0.3">
      <c r="A314" s="9" t="s">
        <v>265</v>
      </c>
      <c r="B314" s="11">
        <v>6.4103000000000003E-6</v>
      </c>
      <c r="C314" s="9" t="s">
        <v>574</v>
      </c>
      <c r="D314" s="9" t="s">
        <v>21</v>
      </c>
      <c r="E314" s="9" t="s">
        <v>232</v>
      </c>
      <c r="G314" s="9" t="s">
        <v>25</v>
      </c>
      <c r="H314" s="9" t="s">
        <v>266</v>
      </c>
    </row>
    <row r="315" spans="1:19" x14ac:dyDescent="0.3">
      <c r="A315" s="9" t="s">
        <v>267</v>
      </c>
      <c r="B315" s="11">
        <v>3.2051E-6</v>
      </c>
      <c r="C315" s="9" t="s">
        <v>574</v>
      </c>
      <c r="D315" s="9" t="s">
        <v>21</v>
      </c>
      <c r="E315" s="9" t="s">
        <v>232</v>
      </c>
      <c r="G315" s="9" t="s">
        <v>25</v>
      </c>
      <c r="H315" s="9" t="s">
        <v>268</v>
      </c>
    </row>
    <row r="316" spans="1:19" x14ac:dyDescent="0.3">
      <c r="A316" s="9" t="s">
        <v>269</v>
      </c>
      <c r="B316" s="11">
        <v>3.2051E-6</v>
      </c>
      <c r="C316" s="9" t="s">
        <v>574</v>
      </c>
      <c r="D316" s="9" t="s">
        <v>21</v>
      </c>
      <c r="E316" s="9" t="s">
        <v>232</v>
      </c>
      <c r="G316" s="9" t="s">
        <v>25</v>
      </c>
      <c r="H316" s="9" t="s">
        <v>270</v>
      </c>
    </row>
    <row r="317" spans="1:19" x14ac:dyDescent="0.3">
      <c r="A317" s="9" t="s">
        <v>271</v>
      </c>
      <c r="B317" s="11">
        <v>3.2051E-6</v>
      </c>
      <c r="C317" s="9" t="s">
        <v>574</v>
      </c>
      <c r="D317" s="9" t="s">
        <v>21</v>
      </c>
      <c r="E317" s="9" t="s">
        <v>232</v>
      </c>
      <c r="G317" s="9" t="s">
        <v>25</v>
      </c>
      <c r="H317" s="9" t="s">
        <v>272</v>
      </c>
    </row>
    <row r="318" spans="1:19" x14ac:dyDescent="0.3">
      <c r="A318" s="9" t="s">
        <v>273</v>
      </c>
      <c r="B318" s="11">
        <v>4.4872E-6</v>
      </c>
      <c r="C318" s="9" t="s">
        <v>574</v>
      </c>
      <c r="D318" s="9" t="s">
        <v>23</v>
      </c>
      <c r="E318" s="9" t="s">
        <v>46</v>
      </c>
      <c r="G318" s="9" t="s">
        <v>25</v>
      </c>
      <c r="H318" s="9" t="s">
        <v>274</v>
      </c>
    </row>
    <row r="319" spans="1:19" x14ac:dyDescent="0.3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x14ac:dyDescent="0.3">
      <c r="A320" s="8" t="s">
        <v>1</v>
      </c>
      <c r="B320" s="8" t="s">
        <v>88</v>
      </c>
    </row>
    <row r="321" spans="1:19" x14ac:dyDescent="0.3">
      <c r="A321" s="9" t="s">
        <v>2</v>
      </c>
      <c r="B321" s="9" t="s">
        <v>275</v>
      </c>
    </row>
    <row r="322" spans="1:19" x14ac:dyDescent="0.3">
      <c r="A322" s="9" t="s">
        <v>3</v>
      </c>
      <c r="B322" s="9" t="s">
        <v>21</v>
      </c>
      <c r="D322" t="s">
        <v>349</v>
      </c>
    </row>
    <row r="323" spans="1:19" x14ac:dyDescent="0.3">
      <c r="A323" s="9" t="s">
        <v>5</v>
      </c>
      <c r="B323" s="9">
        <v>1</v>
      </c>
    </row>
    <row r="324" spans="1:19" x14ac:dyDescent="0.3">
      <c r="A324" s="9" t="s">
        <v>4</v>
      </c>
      <c r="B324" s="9" t="s">
        <v>88</v>
      </c>
    </row>
    <row r="325" spans="1:19" x14ac:dyDescent="0.3">
      <c r="A325" s="9" t="s">
        <v>6</v>
      </c>
      <c r="B325" s="9" t="s">
        <v>15</v>
      </c>
    </row>
    <row r="326" spans="1:19" x14ac:dyDescent="0.3">
      <c r="A326" s="8" t="s">
        <v>8</v>
      </c>
    </row>
    <row r="327" spans="1:19" x14ac:dyDescent="0.3">
      <c r="A327" s="9" t="s">
        <v>9</v>
      </c>
      <c r="B327" s="9" t="s">
        <v>10</v>
      </c>
      <c r="C327" s="9" t="s">
        <v>11</v>
      </c>
      <c r="D327" s="9" t="s">
        <v>3</v>
      </c>
      <c r="E327" s="9" t="s">
        <v>6</v>
      </c>
      <c r="F327" s="9" t="s">
        <v>13</v>
      </c>
      <c r="G327" s="9" t="s">
        <v>4</v>
      </c>
    </row>
    <row r="328" spans="1:19" x14ac:dyDescent="0.3">
      <c r="A328" s="9" t="s">
        <v>88</v>
      </c>
      <c r="B328" s="10">
        <v>1</v>
      </c>
      <c r="C328" s="9" t="s">
        <v>573</v>
      </c>
      <c r="D328" s="9" t="s">
        <v>21</v>
      </c>
      <c r="E328" s="9" t="s">
        <v>15</v>
      </c>
      <c r="F328" s="9" t="s">
        <v>14</v>
      </c>
      <c r="G328" s="9" t="s">
        <v>88</v>
      </c>
    </row>
    <row r="329" spans="1:19" x14ac:dyDescent="0.3">
      <c r="A329" s="9" t="s">
        <v>276</v>
      </c>
      <c r="B329" s="16">
        <v>0.222</v>
      </c>
      <c r="C329" s="9" t="s">
        <v>574</v>
      </c>
      <c r="D329" s="9" t="s">
        <v>23</v>
      </c>
      <c r="E329" s="9" t="s">
        <v>15</v>
      </c>
      <c r="F329" s="9" t="s">
        <v>25</v>
      </c>
      <c r="G329" s="9" t="s">
        <v>277</v>
      </c>
    </row>
    <row r="330" spans="1:19" x14ac:dyDescent="0.3">
      <c r="A330" s="9" t="s">
        <v>278</v>
      </c>
      <c r="B330" s="16">
        <v>0.128</v>
      </c>
      <c r="C330" s="9" t="s">
        <v>574</v>
      </c>
      <c r="D330" s="9" t="s">
        <v>23</v>
      </c>
      <c r="E330" s="9" t="s">
        <v>15</v>
      </c>
      <c r="F330" s="9" t="s">
        <v>25</v>
      </c>
      <c r="G330" s="9" t="s">
        <v>279</v>
      </c>
    </row>
    <row r="331" spans="1:19" x14ac:dyDescent="0.3">
      <c r="A331" s="9" t="s">
        <v>280</v>
      </c>
      <c r="B331" s="16">
        <v>0.222</v>
      </c>
      <c r="C331" s="9" t="s">
        <v>574</v>
      </c>
      <c r="D331" s="9" t="s">
        <v>21</v>
      </c>
      <c r="E331" s="9" t="s">
        <v>15</v>
      </c>
      <c r="F331" s="9" t="s">
        <v>25</v>
      </c>
      <c r="G331" s="9" t="s">
        <v>281</v>
      </c>
    </row>
    <row r="332" spans="1:19" x14ac:dyDescent="0.3">
      <c r="A332" s="9" t="s">
        <v>282</v>
      </c>
      <c r="B332" s="16">
        <v>0.222</v>
      </c>
      <c r="C332" s="9" t="s">
        <v>574</v>
      </c>
      <c r="D332" s="9" t="s">
        <v>23</v>
      </c>
      <c r="E332" s="9" t="s">
        <v>15</v>
      </c>
      <c r="F332" s="9" t="s">
        <v>25</v>
      </c>
      <c r="G332" s="9" t="s">
        <v>283</v>
      </c>
    </row>
    <row r="333" spans="1:19" x14ac:dyDescent="0.3">
      <c r="A333" s="9" t="s">
        <v>284</v>
      </c>
      <c r="B333" s="16">
        <v>0.20499999999999999</v>
      </c>
      <c r="C333" s="9" t="s">
        <v>574</v>
      </c>
      <c r="D333" s="9" t="s">
        <v>23</v>
      </c>
      <c r="E333" s="9" t="s">
        <v>15</v>
      </c>
      <c r="F333" s="9" t="s">
        <v>25</v>
      </c>
      <c r="G333" s="9" t="s">
        <v>285</v>
      </c>
    </row>
    <row r="334" spans="1:19" x14ac:dyDescent="0.3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x14ac:dyDescent="0.3">
      <c r="A335" s="8" t="s">
        <v>1</v>
      </c>
      <c r="B335" s="8" t="s">
        <v>94</v>
      </c>
    </row>
    <row r="336" spans="1:19" x14ac:dyDescent="0.3">
      <c r="A336" s="9" t="s">
        <v>2</v>
      </c>
      <c r="B336" s="9" t="s">
        <v>210</v>
      </c>
    </row>
    <row r="337" spans="1:8" x14ac:dyDescent="0.3">
      <c r="A337" s="9" t="s">
        <v>3</v>
      </c>
      <c r="B337" s="9" t="s">
        <v>21</v>
      </c>
    </row>
    <row r="338" spans="1:8" x14ac:dyDescent="0.3">
      <c r="A338" s="9" t="s">
        <v>5</v>
      </c>
      <c r="B338" s="9">
        <v>1</v>
      </c>
    </row>
    <row r="339" spans="1:8" x14ac:dyDescent="0.3">
      <c r="A339" s="9" t="s">
        <v>4</v>
      </c>
      <c r="B339" s="9" t="s">
        <v>94</v>
      </c>
    </row>
    <row r="340" spans="1:8" x14ac:dyDescent="0.3">
      <c r="A340" s="9" t="s">
        <v>6</v>
      </c>
      <c r="B340" s="9" t="s">
        <v>15</v>
      </c>
    </row>
    <row r="341" spans="1:8" x14ac:dyDescent="0.3">
      <c r="A341" s="8" t="s">
        <v>8</v>
      </c>
    </row>
    <row r="342" spans="1:8" x14ac:dyDescent="0.3">
      <c r="A342" s="9" t="s">
        <v>9</v>
      </c>
      <c r="B342" s="9" t="s">
        <v>10</v>
      </c>
      <c r="C342" s="9" t="s">
        <v>11</v>
      </c>
      <c r="D342" s="9" t="s">
        <v>3</v>
      </c>
      <c r="E342" s="9" t="s">
        <v>6</v>
      </c>
      <c r="F342" s="9" t="s">
        <v>12</v>
      </c>
      <c r="G342" s="9" t="s">
        <v>13</v>
      </c>
      <c r="H342" s="9" t="s">
        <v>4</v>
      </c>
    </row>
    <row r="343" spans="1:8" x14ac:dyDescent="0.3">
      <c r="A343" s="9" t="s">
        <v>211</v>
      </c>
      <c r="B343" s="11">
        <v>4.8600000000000002E-5</v>
      </c>
      <c r="C343" s="9" t="s">
        <v>16</v>
      </c>
      <c r="E343" s="9" t="s">
        <v>15</v>
      </c>
      <c r="F343" s="9" t="s">
        <v>51</v>
      </c>
      <c r="G343" s="9" t="s">
        <v>18</v>
      </c>
    </row>
    <row r="344" spans="1:8" x14ac:dyDescent="0.3">
      <c r="A344" s="9" t="s">
        <v>103</v>
      </c>
      <c r="B344" s="11">
        <v>-2.3900000000000001E-7</v>
      </c>
      <c r="C344" s="9" t="s">
        <v>16</v>
      </c>
      <c r="E344" s="9" t="s">
        <v>15</v>
      </c>
      <c r="F344" s="9" t="s">
        <v>17</v>
      </c>
      <c r="G344" s="9" t="s">
        <v>18</v>
      </c>
    </row>
    <row r="345" spans="1:8" x14ac:dyDescent="0.3">
      <c r="A345" s="9" t="s">
        <v>213</v>
      </c>
      <c r="B345" s="11">
        <v>7.2999999999999996E-10</v>
      </c>
      <c r="C345" s="9" t="s">
        <v>16</v>
      </c>
      <c r="E345" s="9" t="s">
        <v>15</v>
      </c>
      <c r="F345" s="9" t="s">
        <v>214</v>
      </c>
      <c r="G345" s="9" t="s">
        <v>18</v>
      </c>
    </row>
    <row r="346" spans="1:8" x14ac:dyDescent="0.3">
      <c r="A346" s="9" t="s">
        <v>90</v>
      </c>
      <c r="B346" s="16">
        <v>8.4099999999999994E-2</v>
      </c>
      <c r="C346" s="9" t="s">
        <v>16</v>
      </c>
      <c r="E346" s="9" t="s">
        <v>15</v>
      </c>
      <c r="F346" s="9" t="s">
        <v>51</v>
      </c>
      <c r="G346" s="9" t="s">
        <v>18</v>
      </c>
    </row>
    <row r="347" spans="1:8" x14ac:dyDescent="0.3">
      <c r="A347" s="9" t="s">
        <v>79</v>
      </c>
      <c r="B347" s="16">
        <v>0.92200000000000004</v>
      </c>
      <c r="C347" s="9" t="s">
        <v>16</v>
      </c>
      <c r="E347" s="9" t="s">
        <v>15</v>
      </c>
      <c r="F347" s="9" t="s">
        <v>80</v>
      </c>
      <c r="G347" s="9" t="s">
        <v>18</v>
      </c>
    </row>
    <row r="348" spans="1:8" x14ac:dyDescent="0.3">
      <c r="A348" s="9" t="s">
        <v>105</v>
      </c>
      <c r="B348" s="11">
        <v>-5.0100000000000005E-7</v>
      </c>
      <c r="C348" s="9" t="s">
        <v>16</v>
      </c>
      <c r="E348" s="9" t="s">
        <v>15</v>
      </c>
      <c r="F348" s="9" t="s">
        <v>17</v>
      </c>
      <c r="G348" s="9" t="s">
        <v>18</v>
      </c>
    </row>
    <row r="349" spans="1:8" x14ac:dyDescent="0.3">
      <c r="A349" s="9" t="s">
        <v>216</v>
      </c>
      <c r="B349" s="11">
        <v>7.3199999999999994E-8</v>
      </c>
      <c r="C349" s="9" t="s">
        <v>16</v>
      </c>
      <c r="E349" s="9" t="s">
        <v>15</v>
      </c>
      <c r="F349" s="9" t="s">
        <v>214</v>
      </c>
      <c r="G349" s="9" t="s">
        <v>18</v>
      </c>
    </row>
    <row r="350" spans="1:8" x14ac:dyDescent="0.3">
      <c r="A350" s="9" t="s">
        <v>106</v>
      </c>
      <c r="B350" s="11">
        <v>-1.2999999999999999E-5</v>
      </c>
      <c r="C350" s="9" t="s">
        <v>16</v>
      </c>
      <c r="E350" s="9" t="s">
        <v>15</v>
      </c>
      <c r="F350" s="9" t="s">
        <v>17</v>
      </c>
      <c r="G350" s="9" t="s">
        <v>18</v>
      </c>
    </row>
    <row r="351" spans="1:8" x14ac:dyDescent="0.3">
      <c r="A351" s="9" t="s">
        <v>107</v>
      </c>
      <c r="B351" s="11">
        <v>4.7800000000000003E-5</v>
      </c>
      <c r="C351" s="9" t="s">
        <v>16</v>
      </c>
      <c r="E351" s="9" t="s">
        <v>15</v>
      </c>
      <c r="F351" s="9" t="s">
        <v>51</v>
      </c>
      <c r="G351" s="9" t="s">
        <v>18</v>
      </c>
    </row>
    <row r="352" spans="1:8" x14ac:dyDescent="0.3">
      <c r="A352" s="9" t="s">
        <v>220</v>
      </c>
      <c r="B352" s="11">
        <v>9.8800000000000003E-6</v>
      </c>
      <c r="C352" s="9" t="s">
        <v>16</v>
      </c>
      <c r="E352" s="9" t="s">
        <v>15</v>
      </c>
      <c r="F352" s="9" t="s">
        <v>212</v>
      </c>
      <c r="G352" s="9" t="s">
        <v>18</v>
      </c>
    </row>
    <row r="353" spans="1:8" x14ac:dyDescent="0.3">
      <c r="A353" s="9" t="s">
        <v>109</v>
      </c>
      <c r="B353" s="11">
        <v>6.5300000000000004E-9</v>
      </c>
      <c r="C353" s="9" t="s">
        <v>16</v>
      </c>
      <c r="E353" s="9" t="s">
        <v>15</v>
      </c>
      <c r="F353" s="9" t="s">
        <v>214</v>
      </c>
      <c r="G353" s="9" t="s">
        <v>18</v>
      </c>
    </row>
    <row r="354" spans="1:8" x14ac:dyDescent="0.3">
      <c r="A354" s="9" t="s">
        <v>109</v>
      </c>
      <c r="B354" s="11">
        <v>-7.0900000000000001E-7</v>
      </c>
      <c r="C354" s="9" t="s">
        <v>16</v>
      </c>
      <c r="E354" s="9" t="s">
        <v>15</v>
      </c>
      <c r="F354" s="9" t="s">
        <v>17</v>
      </c>
      <c r="G354" s="9" t="s">
        <v>18</v>
      </c>
    </row>
    <row r="355" spans="1:8" x14ac:dyDescent="0.3">
      <c r="A355" s="9" t="s">
        <v>113</v>
      </c>
      <c r="B355" s="11">
        <v>2.8299999999999998E-7</v>
      </c>
      <c r="C355" s="9" t="s">
        <v>16</v>
      </c>
      <c r="E355" s="9" t="s">
        <v>15</v>
      </c>
      <c r="F355" s="9" t="s">
        <v>17</v>
      </c>
      <c r="G355" s="9" t="s">
        <v>18</v>
      </c>
    </row>
    <row r="356" spans="1:8" x14ac:dyDescent="0.3">
      <c r="A356" s="9" t="s">
        <v>221</v>
      </c>
      <c r="B356" s="11">
        <v>5.0600000000000003E-8</v>
      </c>
      <c r="C356" s="9" t="s">
        <v>16</v>
      </c>
      <c r="E356" s="9" t="s">
        <v>15</v>
      </c>
      <c r="F356" s="9" t="s">
        <v>214</v>
      </c>
      <c r="G356" s="9" t="s">
        <v>18</v>
      </c>
    </row>
    <row r="357" spans="1:8" x14ac:dyDescent="0.3">
      <c r="A357" s="9" t="s">
        <v>222</v>
      </c>
      <c r="B357" s="11">
        <v>9.7199999999999999E-4</v>
      </c>
      <c r="C357" s="9" t="s">
        <v>16</v>
      </c>
      <c r="E357" s="9" t="s">
        <v>15</v>
      </c>
      <c r="F357" s="9" t="s">
        <v>215</v>
      </c>
      <c r="G357" s="9" t="s">
        <v>18</v>
      </c>
    </row>
    <row r="358" spans="1:8" x14ac:dyDescent="0.3">
      <c r="A358" s="9" t="s">
        <v>91</v>
      </c>
      <c r="B358" s="11">
        <v>1.0000000000000001E-5</v>
      </c>
      <c r="C358" s="9" t="s">
        <v>16</v>
      </c>
      <c r="E358" s="9" t="s">
        <v>15</v>
      </c>
      <c r="F358" s="9" t="s">
        <v>51</v>
      </c>
      <c r="G358" s="9" t="s">
        <v>18</v>
      </c>
    </row>
    <row r="359" spans="1:8" x14ac:dyDescent="0.3">
      <c r="A359" s="9" t="s">
        <v>295</v>
      </c>
      <c r="B359" s="16">
        <v>0.37040000000000001</v>
      </c>
      <c r="C359" s="9" t="s">
        <v>16</v>
      </c>
      <c r="E359" s="9" t="s">
        <v>56</v>
      </c>
      <c r="F359" s="9" t="s">
        <v>57</v>
      </c>
      <c r="G359" s="9" t="s">
        <v>18</v>
      </c>
    </row>
    <row r="360" spans="1:8" x14ac:dyDescent="0.3">
      <c r="A360" s="9" t="s">
        <v>224</v>
      </c>
      <c r="B360" s="11">
        <v>7.9500000000000001E-6</v>
      </c>
      <c r="C360" s="9" t="s">
        <v>16</v>
      </c>
      <c r="E360" s="9" t="s">
        <v>15</v>
      </c>
      <c r="F360" s="9" t="s">
        <v>215</v>
      </c>
      <c r="G360" s="9" t="s">
        <v>18</v>
      </c>
    </row>
    <row r="361" spans="1:8" x14ac:dyDescent="0.3">
      <c r="A361" s="9" t="s">
        <v>225</v>
      </c>
      <c r="B361" s="11">
        <v>6.4799999999999998E-6</v>
      </c>
      <c r="C361" s="9" t="s">
        <v>16</v>
      </c>
      <c r="E361" s="9" t="s">
        <v>15</v>
      </c>
      <c r="F361" s="9" t="s">
        <v>214</v>
      </c>
      <c r="G361" s="9" t="s">
        <v>18</v>
      </c>
    </row>
    <row r="362" spans="1:8" x14ac:dyDescent="0.3">
      <c r="A362" s="9" t="s">
        <v>226</v>
      </c>
      <c r="B362" s="16">
        <v>2.4693333333333331E-2</v>
      </c>
      <c r="C362" s="9" t="s">
        <v>16</v>
      </c>
      <c r="E362" s="9" t="s">
        <v>59</v>
      </c>
      <c r="F362" s="9" t="s">
        <v>57</v>
      </c>
      <c r="G362" s="9" t="s">
        <v>18</v>
      </c>
    </row>
    <row r="363" spans="1:8" x14ac:dyDescent="0.3">
      <c r="A363" s="9" t="s">
        <v>296</v>
      </c>
      <c r="B363" s="16">
        <v>2.4693333333333331E-2</v>
      </c>
      <c r="C363" s="9" t="s">
        <v>16</v>
      </c>
      <c r="E363" s="9" t="s">
        <v>59</v>
      </c>
      <c r="F363" s="9" t="s">
        <v>57</v>
      </c>
      <c r="G363" s="9" t="s">
        <v>18</v>
      </c>
    </row>
    <row r="364" spans="1:8" x14ac:dyDescent="0.3">
      <c r="A364" s="9" t="s">
        <v>119</v>
      </c>
      <c r="B364" s="11">
        <v>-3.3300000000000003E-5</v>
      </c>
      <c r="C364" s="9" t="s">
        <v>16</v>
      </c>
      <c r="E364" s="9" t="s">
        <v>15</v>
      </c>
      <c r="F364" s="9" t="s">
        <v>17</v>
      </c>
      <c r="G364" s="9" t="s">
        <v>18</v>
      </c>
    </row>
    <row r="365" spans="1:8" x14ac:dyDescent="0.3">
      <c r="A365" s="9" t="s">
        <v>228</v>
      </c>
      <c r="B365" s="11">
        <v>7.24E-8</v>
      </c>
      <c r="C365" s="9" t="s">
        <v>16</v>
      </c>
      <c r="E365" s="9" t="s">
        <v>15</v>
      </c>
      <c r="F365" s="9" t="s">
        <v>214</v>
      </c>
      <c r="G365" s="9" t="s">
        <v>18</v>
      </c>
    </row>
    <row r="366" spans="1:8" x14ac:dyDescent="0.3">
      <c r="A366" s="9" t="s">
        <v>94</v>
      </c>
      <c r="B366" s="16">
        <v>1</v>
      </c>
      <c r="C366" s="9" t="s">
        <v>573</v>
      </c>
      <c r="D366" s="9" t="s">
        <v>21</v>
      </c>
      <c r="E366" s="9" t="s">
        <v>15</v>
      </c>
      <c r="G366" s="9" t="s">
        <v>14</v>
      </c>
      <c r="H366" s="9" t="s">
        <v>94</v>
      </c>
    </row>
    <row r="367" spans="1:8" x14ac:dyDescent="0.3">
      <c r="A367" s="9" t="s">
        <v>297</v>
      </c>
      <c r="B367" s="11">
        <v>2E-3</v>
      </c>
      <c r="C367" s="9" t="s">
        <v>574</v>
      </c>
      <c r="D367" s="9" t="s">
        <v>23</v>
      </c>
      <c r="E367" s="9" t="s">
        <v>15</v>
      </c>
      <c r="G367" s="9" t="s">
        <v>25</v>
      </c>
      <c r="H367" s="9" t="s">
        <v>298</v>
      </c>
    </row>
    <row r="368" spans="1:8" x14ac:dyDescent="0.3">
      <c r="A368" s="9" t="s">
        <v>233</v>
      </c>
      <c r="B368" s="11">
        <v>9.8800000000000003E-6</v>
      </c>
      <c r="C368" s="9" t="s">
        <v>574</v>
      </c>
      <c r="D368" s="9" t="s">
        <v>23</v>
      </c>
      <c r="E368" s="9" t="s">
        <v>232</v>
      </c>
      <c r="G368" s="9" t="s">
        <v>25</v>
      </c>
      <c r="H368" s="9" t="s">
        <v>233</v>
      </c>
    </row>
    <row r="369" spans="1:8" x14ac:dyDescent="0.3">
      <c r="A369" s="9" t="s">
        <v>237</v>
      </c>
      <c r="B369" s="11">
        <v>1.2300000000000001E-5</v>
      </c>
      <c r="C369" s="9" t="s">
        <v>574</v>
      </c>
      <c r="D369" s="9" t="s">
        <v>23</v>
      </c>
      <c r="E369" s="9" t="s">
        <v>232</v>
      </c>
      <c r="G369" s="9" t="s">
        <v>25</v>
      </c>
      <c r="H369" s="9" t="s">
        <v>237</v>
      </c>
    </row>
    <row r="370" spans="1:8" x14ac:dyDescent="0.3">
      <c r="A370" s="9" t="s">
        <v>299</v>
      </c>
      <c r="B370" s="11">
        <v>1.2300000000000001E-6</v>
      </c>
      <c r="C370" s="9" t="s">
        <v>574</v>
      </c>
      <c r="D370" s="9" t="s">
        <v>23</v>
      </c>
      <c r="E370" s="9" t="s">
        <v>15</v>
      </c>
      <c r="G370" s="9" t="s">
        <v>25</v>
      </c>
      <c r="H370" s="9" t="s">
        <v>300</v>
      </c>
    </row>
    <row r="371" spans="1:8" x14ac:dyDescent="0.3">
      <c r="A371" s="9" t="s">
        <v>239</v>
      </c>
      <c r="B371" s="11">
        <v>1.4800000000000001E-5</v>
      </c>
      <c r="C371" s="9" t="s">
        <v>574</v>
      </c>
      <c r="D371" s="9" t="s">
        <v>23</v>
      </c>
      <c r="E371" s="9" t="s">
        <v>232</v>
      </c>
      <c r="G371" s="9" t="s">
        <v>25</v>
      </c>
      <c r="H371" s="9" t="s">
        <v>239</v>
      </c>
    </row>
    <row r="372" spans="1:8" x14ac:dyDescent="0.3">
      <c r="A372" s="9" t="s">
        <v>301</v>
      </c>
      <c r="B372" s="11">
        <v>9.8800000000000003E-6</v>
      </c>
      <c r="C372" s="9" t="s">
        <v>574</v>
      </c>
      <c r="D372" s="9" t="s">
        <v>23</v>
      </c>
      <c r="E372" s="9" t="s">
        <v>15</v>
      </c>
      <c r="G372" s="9" t="s">
        <v>25</v>
      </c>
      <c r="H372" s="9" t="s">
        <v>243</v>
      </c>
    </row>
    <row r="373" spans="1:8" x14ac:dyDescent="0.3">
      <c r="A373" s="9" t="s">
        <v>302</v>
      </c>
      <c r="B373" s="11">
        <v>2.4700000000000001E-6</v>
      </c>
      <c r="C373" s="9" t="s">
        <v>574</v>
      </c>
      <c r="D373" s="9" t="s">
        <v>23</v>
      </c>
      <c r="E373" s="9" t="s">
        <v>232</v>
      </c>
      <c r="G373" s="9" t="s">
        <v>25</v>
      </c>
      <c r="H373" s="9" t="s">
        <v>302</v>
      </c>
    </row>
    <row r="374" spans="1:8" x14ac:dyDescent="0.3">
      <c r="A374" s="9" t="s">
        <v>245</v>
      </c>
      <c r="B374" s="11">
        <v>2.4700000000000001E-6</v>
      </c>
      <c r="C374" s="9" t="s">
        <v>574</v>
      </c>
      <c r="D374" s="9" t="s">
        <v>23</v>
      </c>
      <c r="E374" s="9" t="s">
        <v>232</v>
      </c>
      <c r="G374" s="9" t="s">
        <v>25</v>
      </c>
      <c r="H374" s="9" t="s">
        <v>245</v>
      </c>
    </row>
    <row r="375" spans="1:8" x14ac:dyDescent="0.3">
      <c r="A375" s="9" t="s">
        <v>323</v>
      </c>
      <c r="B375" s="16">
        <v>0.14699999999999999</v>
      </c>
      <c r="C375" s="9" t="s">
        <v>574</v>
      </c>
      <c r="D375" s="9" t="s">
        <v>23</v>
      </c>
      <c r="E375" s="9" t="s">
        <v>7</v>
      </c>
      <c r="G375" s="9" t="s">
        <v>25</v>
      </c>
      <c r="H375" s="9" t="s">
        <v>303</v>
      </c>
    </row>
    <row r="376" spans="1:8" x14ac:dyDescent="0.3">
      <c r="A376" s="9" t="s">
        <v>304</v>
      </c>
      <c r="B376" s="11">
        <v>2.4700000000000001E-6</v>
      </c>
      <c r="C376" s="9" t="s">
        <v>574</v>
      </c>
      <c r="D376" s="9" t="s">
        <v>23</v>
      </c>
      <c r="E376" s="9" t="s">
        <v>232</v>
      </c>
      <c r="G376" s="9" t="s">
        <v>25</v>
      </c>
      <c r="H376" s="9" t="s">
        <v>304</v>
      </c>
    </row>
    <row r="377" spans="1:8" x14ac:dyDescent="0.3">
      <c r="A377" s="9" t="s">
        <v>305</v>
      </c>
      <c r="B377" s="11">
        <v>3.3300000000000002E-4</v>
      </c>
      <c r="C377" s="9" t="s">
        <v>574</v>
      </c>
      <c r="D377" s="9" t="s">
        <v>23</v>
      </c>
      <c r="E377" s="9" t="s">
        <v>15</v>
      </c>
      <c r="G377" s="9" t="s">
        <v>25</v>
      </c>
      <c r="H377" s="9" t="s">
        <v>306</v>
      </c>
    </row>
    <row r="378" spans="1:8" x14ac:dyDescent="0.3">
      <c r="A378" s="9" t="s">
        <v>307</v>
      </c>
      <c r="B378" s="11">
        <v>2.4700000000000001E-6</v>
      </c>
      <c r="C378" s="9" t="s">
        <v>574</v>
      </c>
      <c r="D378" s="9" t="s">
        <v>23</v>
      </c>
      <c r="E378" s="9" t="s">
        <v>232</v>
      </c>
      <c r="G378" s="9" t="s">
        <v>25</v>
      </c>
      <c r="H378" s="9" t="s">
        <v>307</v>
      </c>
    </row>
    <row r="379" spans="1:8" x14ac:dyDescent="0.3">
      <c r="A379" s="9" t="s">
        <v>308</v>
      </c>
      <c r="B379" s="16">
        <v>1.1999999999999999E-3</v>
      </c>
      <c r="C379" s="9" t="s">
        <v>574</v>
      </c>
      <c r="D379" s="9" t="s">
        <v>23</v>
      </c>
      <c r="E379" s="9" t="s">
        <v>15</v>
      </c>
      <c r="G379" s="9" t="s">
        <v>25</v>
      </c>
      <c r="H379" s="9" t="s">
        <v>309</v>
      </c>
    </row>
    <row r="380" spans="1:8" x14ac:dyDescent="0.3">
      <c r="A380" s="9" t="s">
        <v>310</v>
      </c>
      <c r="B380" s="11">
        <v>2.4700000000000001E-6</v>
      </c>
      <c r="C380" s="9" t="s">
        <v>574</v>
      </c>
      <c r="D380" s="9" t="s">
        <v>23</v>
      </c>
      <c r="E380" s="9" t="s">
        <v>15</v>
      </c>
      <c r="G380" s="9" t="s">
        <v>25</v>
      </c>
      <c r="H380" s="9" t="s">
        <v>311</v>
      </c>
    </row>
    <row r="381" spans="1:8" x14ac:dyDescent="0.3">
      <c r="A381" s="9" t="s">
        <v>262</v>
      </c>
      <c r="B381" s="11">
        <v>2.4700000000000001E-6</v>
      </c>
      <c r="C381" s="9" t="s">
        <v>574</v>
      </c>
      <c r="D381" s="9" t="s">
        <v>23</v>
      </c>
      <c r="E381" s="9" t="s">
        <v>232</v>
      </c>
      <c r="G381" s="9" t="s">
        <v>25</v>
      </c>
      <c r="H381" s="9" t="s">
        <v>262</v>
      </c>
    </row>
    <row r="382" spans="1:8" x14ac:dyDescent="0.3">
      <c r="A382" s="9" t="s">
        <v>268</v>
      </c>
      <c r="B382" s="11">
        <v>2.4700000000000001E-6</v>
      </c>
      <c r="C382" s="9" t="s">
        <v>574</v>
      </c>
      <c r="D382" s="9" t="s">
        <v>23</v>
      </c>
      <c r="E382" s="9" t="s">
        <v>232</v>
      </c>
      <c r="G382" s="9" t="s">
        <v>25</v>
      </c>
      <c r="H382" s="9" t="s">
        <v>268</v>
      </c>
    </row>
    <row r="383" spans="1:8" x14ac:dyDescent="0.3">
      <c r="A383" s="9" t="s">
        <v>272</v>
      </c>
      <c r="B383" s="11">
        <v>2.4700000000000001E-6</v>
      </c>
      <c r="C383" s="9" t="s">
        <v>574</v>
      </c>
      <c r="D383" s="9" t="s">
        <v>23</v>
      </c>
      <c r="E383" s="9" t="s">
        <v>232</v>
      </c>
      <c r="G383" s="9" t="s">
        <v>25</v>
      </c>
      <c r="H383" s="9" t="s">
        <v>272</v>
      </c>
    </row>
    <row r="384" spans="1:8" x14ac:dyDescent="0.3">
      <c r="A384" s="9" t="s">
        <v>312</v>
      </c>
      <c r="B384" s="16">
        <v>2.47E-2</v>
      </c>
      <c r="C384" s="9" t="s">
        <v>574</v>
      </c>
      <c r="D384" s="9" t="s">
        <v>23</v>
      </c>
      <c r="E384" s="9" t="s">
        <v>6</v>
      </c>
      <c r="G384" s="9" t="s">
        <v>25</v>
      </c>
      <c r="H384" s="9" t="s">
        <v>313</v>
      </c>
    </row>
    <row r="385" spans="1:19" x14ac:dyDescent="0.3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x14ac:dyDescent="0.3">
      <c r="A386" s="8" t="s">
        <v>1</v>
      </c>
      <c r="B386" s="8" t="s">
        <v>324</v>
      </c>
    </row>
    <row r="387" spans="1:19" x14ac:dyDescent="0.3">
      <c r="A387" s="9" t="s">
        <v>2</v>
      </c>
      <c r="B387" t="s">
        <v>325</v>
      </c>
    </row>
    <row r="388" spans="1:19" x14ac:dyDescent="0.3">
      <c r="A388" s="9" t="s">
        <v>3</v>
      </c>
      <c r="B388" s="9" t="s">
        <v>21</v>
      </c>
    </row>
    <row r="389" spans="1:19" x14ac:dyDescent="0.3">
      <c r="A389" s="9" t="s">
        <v>5</v>
      </c>
      <c r="B389" s="9">
        <v>1</v>
      </c>
    </row>
    <row r="390" spans="1:19" x14ac:dyDescent="0.3">
      <c r="A390" s="9" t="s">
        <v>4</v>
      </c>
      <c r="B390" t="s">
        <v>326</v>
      </c>
    </row>
    <row r="391" spans="1:19" x14ac:dyDescent="0.3">
      <c r="A391" s="9" t="s">
        <v>6</v>
      </c>
      <c r="B391" s="9" t="s">
        <v>15</v>
      </c>
    </row>
    <row r="392" spans="1:19" x14ac:dyDescent="0.3">
      <c r="A392" s="8" t="s">
        <v>8</v>
      </c>
    </row>
    <row r="393" spans="1:19" x14ac:dyDescent="0.3">
      <c r="A393" s="9" t="s">
        <v>9</v>
      </c>
      <c r="B393" s="9" t="s">
        <v>10</v>
      </c>
      <c r="C393" s="9" t="s">
        <v>11</v>
      </c>
      <c r="D393" s="9" t="s">
        <v>3</v>
      </c>
      <c r="E393" s="9" t="s">
        <v>6</v>
      </c>
      <c r="F393" s="9" t="s">
        <v>13</v>
      </c>
      <c r="G393" s="9" t="s">
        <v>4</v>
      </c>
    </row>
    <row r="394" spans="1:19" x14ac:dyDescent="0.3">
      <c r="A394" s="9" t="s">
        <v>324</v>
      </c>
      <c r="B394" s="10">
        <v>1</v>
      </c>
      <c r="C394" s="9" t="s">
        <v>573</v>
      </c>
      <c r="D394" s="9" t="s">
        <v>21</v>
      </c>
      <c r="E394" s="9" t="s">
        <v>15</v>
      </c>
      <c r="F394" s="9" t="s">
        <v>14</v>
      </c>
      <c r="G394" s="9" t="s">
        <v>326</v>
      </c>
    </row>
    <row r="395" spans="1:19" x14ac:dyDescent="0.3">
      <c r="A395" s="9" t="s">
        <v>327</v>
      </c>
      <c r="B395" s="17">
        <v>1.69923321856849E-2</v>
      </c>
      <c r="C395" t="s">
        <v>574</v>
      </c>
      <c r="D395" s="9" t="s">
        <v>329</v>
      </c>
      <c r="E395" s="9" t="s">
        <v>15</v>
      </c>
      <c r="F395" t="s">
        <v>25</v>
      </c>
      <c r="G395" s="9" t="s">
        <v>328</v>
      </c>
      <c r="S395" s="14"/>
    </row>
    <row r="396" spans="1:19" x14ac:dyDescent="0.3">
      <c r="A396" s="9" t="s">
        <v>330</v>
      </c>
      <c r="B396" s="17">
        <v>1.10882401572267E-2</v>
      </c>
      <c r="C396" t="s">
        <v>574</v>
      </c>
      <c r="D396" s="9" t="s">
        <v>331</v>
      </c>
      <c r="E396" s="9" t="s">
        <v>15</v>
      </c>
      <c r="F396" t="s">
        <v>25</v>
      </c>
      <c r="G396" s="9" t="s">
        <v>328</v>
      </c>
      <c r="S396" s="14"/>
    </row>
    <row r="397" spans="1:19" x14ac:dyDescent="0.3">
      <c r="A397" s="9" t="s">
        <v>327</v>
      </c>
      <c r="B397" s="17">
        <v>2.98450947532947E-3</v>
      </c>
      <c r="C397" t="s">
        <v>574</v>
      </c>
      <c r="D397" s="9" t="s">
        <v>332</v>
      </c>
      <c r="E397" s="9" t="s">
        <v>15</v>
      </c>
      <c r="F397" t="s">
        <v>25</v>
      </c>
      <c r="G397" s="9" t="s">
        <v>328</v>
      </c>
      <c r="S397" s="14"/>
    </row>
    <row r="398" spans="1:19" x14ac:dyDescent="0.3">
      <c r="A398" s="9" t="s">
        <v>330</v>
      </c>
      <c r="B398" s="15">
        <v>4.4016541847725E-5</v>
      </c>
      <c r="C398" t="s">
        <v>574</v>
      </c>
      <c r="D398" s="9" t="s">
        <v>333</v>
      </c>
      <c r="E398" s="9" t="s">
        <v>15</v>
      </c>
      <c r="F398" t="s">
        <v>25</v>
      </c>
      <c r="G398" s="9" t="s">
        <v>328</v>
      </c>
      <c r="S398" s="14"/>
    </row>
    <row r="399" spans="1:19" x14ac:dyDescent="0.3">
      <c r="A399" s="9" t="s">
        <v>327</v>
      </c>
      <c r="B399" s="15">
        <v>4.4016541847725E-5</v>
      </c>
      <c r="C399" t="s">
        <v>574</v>
      </c>
      <c r="D399" s="9" t="s">
        <v>333</v>
      </c>
      <c r="E399" s="9" t="s">
        <v>15</v>
      </c>
      <c r="F399" t="s">
        <v>25</v>
      </c>
      <c r="G399" s="9" t="s">
        <v>328</v>
      </c>
      <c r="S399" s="14"/>
    </row>
    <row r="400" spans="1:19" x14ac:dyDescent="0.3">
      <c r="A400" s="9" t="s">
        <v>330</v>
      </c>
      <c r="B400" s="17">
        <v>2.16985097349841E-3</v>
      </c>
      <c r="C400" t="s">
        <v>574</v>
      </c>
      <c r="D400" t="s">
        <v>334</v>
      </c>
      <c r="E400" s="9" t="s">
        <v>15</v>
      </c>
      <c r="F400" t="s">
        <v>25</v>
      </c>
      <c r="G400" s="9" t="s">
        <v>328</v>
      </c>
      <c r="S400" s="14"/>
    </row>
    <row r="401" spans="1:19" x14ac:dyDescent="0.3">
      <c r="A401" s="9" t="s">
        <v>335</v>
      </c>
      <c r="B401" s="17">
        <v>2.9860334497684601E-2</v>
      </c>
      <c r="C401" t="s">
        <v>574</v>
      </c>
      <c r="D401" s="9" t="s">
        <v>336</v>
      </c>
      <c r="E401" s="9" t="s">
        <v>15</v>
      </c>
      <c r="F401" t="s">
        <v>25</v>
      </c>
      <c r="G401" s="9" t="s">
        <v>328</v>
      </c>
      <c r="S401" s="14"/>
    </row>
    <row r="402" spans="1:19" x14ac:dyDescent="0.3">
      <c r="A402" s="9" t="s">
        <v>335</v>
      </c>
      <c r="B402" s="17">
        <v>0.29362662256056499</v>
      </c>
      <c r="C402" t="s">
        <v>574</v>
      </c>
      <c r="D402" s="9" t="s">
        <v>337</v>
      </c>
      <c r="E402" s="9" t="s">
        <v>15</v>
      </c>
      <c r="F402" t="s">
        <v>25</v>
      </c>
      <c r="G402" s="9" t="s">
        <v>328</v>
      </c>
      <c r="S402" s="14"/>
    </row>
    <row r="403" spans="1:19" x14ac:dyDescent="0.3">
      <c r="A403" s="9" t="s">
        <v>330</v>
      </c>
      <c r="B403" s="17">
        <v>0.15575068938490699</v>
      </c>
      <c r="C403" t="s">
        <v>574</v>
      </c>
      <c r="D403" s="9" t="s">
        <v>23</v>
      </c>
      <c r="E403" s="9" t="s">
        <v>15</v>
      </c>
      <c r="F403" t="s">
        <v>25</v>
      </c>
      <c r="G403" s="9" t="s">
        <v>328</v>
      </c>
      <c r="S403" s="14"/>
    </row>
    <row r="404" spans="1:19" x14ac:dyDescent="0.3">
      <c r="A404" s="9" t="s">
        <v>327</v>
      </c>
      <c r="B404" s="17">
        <v>0.31340019115633799</v>
      </c>
      <c r="C404" t="s">
        <v>574</v>
      </c>
      <c r="D404" s="9" t="s">
        <v>23</v>
      </c>
      <c r="E404" s="9" t="s">
        <v>15</v>
      </c>
      <c r="F404" t="s">
        <v>25</v>
      </c>
      <c r="G404" s="9" t="s">
        <v>328</v>
      </c>
      <c r="S404" s="14"/>
    </row>
    <row r="405" spans="1:19" x14ac:dyDescent="0.3">
      <c r="A405" s="9" t="s">
        <v>335</v>
      </c>
      <c r="B405" s="17">
        <v>3.8569598726175901E-2</v>
      </c>
      <c r="C405" t="s">
        <v>574</v>
      </c>
      <c r="D405" s="9" t="s">
        <v>23</v>
      </c>
      <c r="E405" s="9" t="s">
        <v>15</v>
      </c>
      <c r="F405" t="s">
        <v>25</v>
      </c>
      <c r="G405" s="9" t="s">
        <v>328</v>
      </c>
      <c r="S405" s="14"/>
    </row>
    <row r="406" spans="1:19" x14ac:dyDescent="0.3">
      <c r="A406" s="9" t="s">
        <v>335</v>
      </c>
      <c r="B406" s="17">
        <v>0.125662241011089</v>
      </c>
      <c r="C406" t="s">
        <v>574</v>
      </c>
      <c r="D406" s="9" t="s">
        <v>338</v>
      </c>
      <c r="E406" s="9" t="s">
        <v>15</v>
      </c>
      <c r="F406" t="s">
        <v>25</v>
      </c>
      <c r="G406" s="9" t="s">
        <v>328</v>
      </c>
      <c r="S406" s="14"/>
    </row>
    <row r="407" spans="1:19" x14ac:dyDescent="0.3">
      <c r="A407" s="9" t="s">
        <v>327</v>
      </c>
      <c r="B407" s="15">
        <v>9.8073567878046806E-3</v>
      </c>
      <c r="C407" t="s">
        <v>574</v>
      </c>
      <c r="D407" t="s">
        <v>339</v>
      </c>
      <c r="E407" s="9" t="s">
        <v>15</v>
      </c>
      <c r="F407" t="s">
        <v>25</v>
      </c>
      <c r="G407" s="9" t="s">
        <v>328</v>
      </c>
      <c r="S407" s="14"/>
    </row>
    <row r="408" spans="1:19" x14ac:dyDescent="0.3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x14ac:dyDescent="0.3">
      <c r="A409" s="8" t="s">
        <v>1</v>
      </c>
      <c r="B409" s="8" t="s">
        <v>342</v>
      </c>
    </row>
    <row r="410" spans="1:19" x14ac:dyDescent="0.3">
      <c r="A410" s="9" t="s">
        <v>2</v>
      </c>
      <c r="B410" t="s">
        <v>325</v>
      </c>
    </row>
    <row r="411" spans="1:19" x14ac:dyDescent="0.3">
      <c r="A411" s="9" t="s">
        <v>3</v>
      </c>
      <c r="B411" s="9" t="s">
        <v>21</v>
      </c>
    </row>
    <row r="412" spans="1:19" x14ac:dyDescent="0.3">
      <c r="A412" s="9" t="s">
        <v>5</v>
      </c>
      <c r="B412" s="9">
        <v>1</v>
      </c>
    </row>
    <row r="413" spans="1:19" x14ac:dyDescent="0.3">
      <c r="A413" s="9" t="s">
        <v>4</v>
      </c>
      <c r="B413" t="s">
        <v>343</v>
      </c>
    </row>
    <row r="414" spans="1:19" x14ac:dyDescent="0.3">
      <c r="A414" s="9" t="s">
        <v>6</v>
      </c>
      <c r="B414" s="9" t="s">
        <v>15</v>
      </c>
    </row>
    <row r="415" spans="1:19" x14ac:dyDescent="0.3">
      <c r="A415" s="8" t="s">
        <v>8</v>
      </c>
    </row>
    <row r="416" spans="1:19" x14ac:dyDescent="0.3">
      <c r="A416" s="9" t="s">
        <v>9</v>
      </c>
      <c r="B416" s="9" t="s">
        <v>10</v>
      </c>
      <c r="C416" s="9" t="s">
        <v>11</v>
      </c>
      <c r="D416" s="9" t="s">
        <v>3</v>
      </c>
      <c r="E416" s="9" t="s">
        <v>6</v>
      </c>
      <c r="F416" s="9" t="s">
        <v>12</v>
      </c>
      <c r="G416" s="9" t="s">
        <v>13</v>
      </c>
      <c r="H416" s="9" t="s">
        <v>4</v>
      </c>
    </row>
    <row r="417" spans="1:19" x14ac:dyDescent="0.3">
      <c r="A417" s="9" t="s">
        <v>342</v>
      </c>
      <c r="B417" s="10">
        <v>1</v>
      </c>
      <c r="C417" s="9" t="s">
        <v>573</v>
      </c>
      <c r="D417" s="9" t="s">
        <v>21</v>
      </c>
      <c r="E417" s="9" t="s">
        <v>15</v>
      </c>
      <c r="G417" s="9" t="s">
        <v>14</v>
      </c>
      <c r="H417" s="9" t="s">
        <v>343</v>
      </c>
    </row>
    <row r="418" spans="1:19" x14ac:dyDescent="0.3">
      <c r="A418" s="9" t="s">
        <v>289</v>
      </c>
      <c r="B418" s="15">
        <v>2.5299999999999997E-3</v>
      </c>
      <c r="C418" t="s">
        <v>574</v>
      </c>
      <c r="D418" s="9" t="s">
        <v>23</v>
      </c>
      <c r="E418" s="9" t="s">
        <v>15</v>
      </c>
      <c r="G418" t="s">
        <v>25</v>
      </c>
      <c r="H418" s="9" t="s">
        <v>290</v>
      </c>
    </row>
    <row r="419" spans="1:19" x14ac:dyDescent="0.3">
      <c r="A419" s="9" t="s">
        <v>124</v>
      </c>
      <c r="B419" s="15">
        <v>5.9000000000000007E-3</v>
      </c>
      <c r="C419" t="s">
        <v>574</v>
      </c>
      <c r="D419" s="9" t="s">
        <v>23</v>
      </c>
      <c r="E419" s="9" t="s">
        <v>15</v>
      </c>
      <c r="G419" t="s">
        <v>25</v>
      </c>
      <c r="H419" s="9" t="s">
        <v>125</v>
      </c>
    </row>
    <row r="420" spans="1:19" x14ac:dyDescent="0.3">
      <c r="A420" s="9" t="s">
        <v>287</v>
      </c>
      <c r="B420" s="15">
        <v>1.3000000000000002E-4</v>
      </c>
      <c r="C420" t="s">
        <v>574</v>
      </c>
      <c r="D420" s="9" t="s">
        <v>23</v>
      </c>
      <c r="E420" s="9" t="s">
        <v>15</v>
      </c>
      <c r="G420" t="s">
        <v>25</v>
      </c>
      <c r="H420" s="9" t="s">
        <v>288</v>
      </c>
    </row>
    <row r="421" spans="1:19" x14ac:dyDescent="0.3">
      <c r="A421" s="9" t="s">
        <v>141</v>
      </c>
      <c r="B421" s="15">
        <v>7.4999999999999993E-5</v>
      </c>
      <c r="C421" t="s">
        <v>574</v>
      </c>
      <c r="D421" s="9" t="s">
        <v>23</v>
      </c>
      <c r="E421" s="9" t="s">
        <v>15</v>
      </c>
      <c r="G421" t="s">
        <v>25</v>
      </c>
      <c r="H421" s="9" t="s">
        <v>142</v>
      </c>
    </row>
    <row r="422" spans="1:19" x14ac:dyDescent="0.3">
      <c r="A422" s="9" t="s">
        <v>211</v>
      </c>
      <c r="B422" s="15">
        <v>3.5E-4</v>
      </c>
      <c r="C422" t="s">
        <v>16</v>
      </c>
      <c r="E422" s="9" t="s">
        <v>15</v>
      </c>
      <c r="F422" t="s">
        <v>51</v>
      </c>
      <c r="G422" t="s">
        <v>18</v>
      </c>
    </row>
    <row r="423" spans="1:19" x14ac:dyDescent="0.3">
      <c r="A423" s="9" t="s">
        <v>346</v>
      </c>
      <c r="B423" s="15">
        <v>3.0499999999999999E-5</v>
      </c>
      <c r="C423" t="s">
        <v>16</v>
      </c>
      <c r="D423"/>
      <c r="E423" s="9" t="s">
        <v>15</v>
      </c>
      <c r="F423" t="s">
        <v>51</v>
      </c>
      <c r="G423" t="s">
        <v>18</v>
      </c>
    </row>
    <row r="424" spans="1:19" x14ac:dyDescent="0.3">
      <c r="A424" s="9" t="s">
        <v>344</v>
      </c>
      <c r="B424" s="15">
        <v>-4.1599999999999996E-3</v>
      </c>
      <c r="C424" t="s">
        <v>574</v>
      </c>
      <c r="D424" s="9" t="s">
        <v>23</v>
      </c>
      <c r="E424" s="9" t="s">
        <v>15</v>
      </c>
      <c r="G424" t="s">
        <v>25</v>
      </c>
      <c r="H424" s="9" t="s">
        <v>345</v>
      </c>
    </row>
    <row r="425" spans="1:19" x14ac:dyDescent="0.3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x14ac:dyDescent="0.3">
      <c r="A426" s="8" t="s">
        <v>1</v>
      </c>
      <c r="B426" s="8" t="s">
        <v>352</v>
      </c>
    </row>
    <row r="427" spans="1:19" x14ac:dyDescent="0.3">
      <c r="A427" s="9" t="s">
        <v>2</v>
      </c>
      <c r="B427" t="s">
        <v>353</v>
      </c>
    </row>
    <row r="428" spans="1:19" x14ac:dyDescent="0.3">
      <c r="A428" s="9" t="s">
        <v>3</v>
      </c>
      <c r="B428" s="9" t="s">
        <v>21</v>
      </c>
    </row>
    <row r="429" spans="1:19" x14ac:dyDescent="0.3">
      <c r="A429" s="9" t="s">
        <v>5</v>
      </c>
      <c r="B429" s="9">
        <v>1</v>
      </c>
    </row>
    <row r="430" spans="1:19" x14ac:dyDescent="0.3">
      <c r="A430" s="9" t="s">
        <v>4</v>
      </c>
      <c r="B430" t="s">
        <v>354</v>
      </c>
    </row>
    <row r="431" spans="1:19" x14ac:dyDescent="0.3">
      <c r="A431" s="9" t="s">
        <v>6</v>
      </c>
      <c r="B431" s="9" t="s">
        <v>15</v>
      </c>
    </row>
    <row r="432" spans="1:19" x14ac:dyDescent="0.3">
      <c r="A432" s="8" t="s">
        <v>8</v>
      </c>
    </row>
    <row r="433" spans="1:19" x14ac:dyDescent="0.3">
      <c r="A433" s="9" t="s">
        <v>9</v>
      </c>
      <c r="B433" s="9" t="s">
        <v>10</v>
      </c>
      <c r="C433" s="9" t="s">
        <v>11</v>
      </c>
      <c r="D433" s="9" t="s">
        <v>3</v>
      </c>
      <c r="E433" s="9" t="s">
        <v>6</v>
      </c>
      <c r="F433" s="9" t="s">
        <v>12</v>
      </c>
      <c r="G433" s="9" t="s">
        <v>13</v>
      </c>
      <c r="H433" s="9" t="s">
        <v>4</v>
      </c>
    </row>
    <row r="434" spans="1:19" x14ac:dyDescent="0.3">
      <c r="A434" s="9" t="s">
        <v>352</v>
      </c>
      <c r="B434" s="16">
        <v>1</v>
      </c>
      <c r="C434" s="9" t="s">
        <v>573</v>
      </c>
      <c r="D434" s="9" t="s">
        <v>21</v>
      </c>
      <c r="E434" s="9" t="s">
        <v>15</v>
      </c>
      <c r="G434" s="9" t="s">
        <v>14</v>
      </c>
      <c r="H434" s="9" t="s">
        <v>354</v>
      </c>
    </row>
    <row r="435" spans="1:19" x14ac:dyDescent="0.3">
      <c r="A435" s="9" t="s">
        <v>124</v>
      </c>
      <c r="B435" s="17">
        <v>0.5</v>
      </c>
      <c r="C435" t="s">
        <v>574</v>
      </c>
      <c r="D435" t="s">
        <v>23</v>
      </c>
      <c r="E435" s="9" t="s">
        <v>15</v>
      </c>
      <c r="G435" t="s">
        <v>25</v>
      </c>
      <c r="H435" s="9" t="s">
        <v>125</v>
      </c>
    </row>
    <row r="436" spans="1:19" x14ac:dyDescent="0.3">
      <c r="A436" s="9" t="s">
        <v>355</v>
      </c>
      <c r="B436" s="17">
        <v>0.5</v>
      </c>
      <c r="C436" t="s">
        <v>574</v>
      </c>
      <c r="D436" t="s">
        <v>23</v>
      </c>
      <c r="E436" s="9" t="s">
        <v>15</v>
      </c>
      <c r="G436" t="s">
        <v>25</v>
      </c>
      <c r="H436" s="9" t="s">
        <v>356</v>
      </c>
    </row>
    <row r="437" spans="1:19" x14ac:dyDescent="0.3">
      <c r="A437" s="9" t="s">
        <v>357</v>
      </c>
      <c r="B437" s="17">
        <v>-1</v>
      </c>
      <c r="C437" t="s">
        <v>574</v>
      </c>
      <c r="D437" t="s">
        <v>23</v>
      </c>
      <c r="E437" s="9" t="s">
        <v>15</v>
      </c>
      <c r="G437" t="s">
        <v>25</v>
      </c>
      <c r="H437" s="9" t="s">
        <v>358</v>
      </c>
    </row>
    <row r="438" spans="1:19" x14ac:dyDescent="0.3">
      <c r="A438" s="9" t="s">
        <v>95</v>
      </c>
      <c r="B438" s="17">
        <v>-1</v>
      </c>
      <c r="C438" t="s">
        <v>574</v>
      </c>
      <c r="D438" t="s">
        <v>23</v>
      </c>
      <c r="E438" s="9" t="s">
        <v>15</v>
      </c>
      <c r="G438" t="s">
        <v>25</v>
      </c>
      <c r="H438" s="9" t="s">
        <v>96</v>
      </c>
    </row>
    <row r="439" spans="1:19" x14ac:dyDescent="0.3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x14ac:dyDescent="0.3">
      <c r="A440" s="8" t="s">
        <v>1</v>
      </c>
      <c r="B440" s="8" t="s">
        <v>360</v>
      </c>
    </row>
    <row r="441" spans="1:19" x14ac:dyDescent="0.3">
      <c r="A441" s="9" t="s">
        <v>2</v>
      </c>
      <c r="B441" t="s">
        <v>361</v>
      </c>
    </row>
    <row r="442" spans="1:19" x14ac:dyDescent="0.3">
      <c r="A442" s="9" t="s">
        <v>3</v>
      </c>
      <c r="B442" s="9" t="s">
        <v>21</v>
      </c>
    </row>
    <row r="443" spans="1:19" x14ac:dyDescent="0.3">
      <c r="A443" s="9" t="s">
        <v>5</v>
      </c>
      <c r="B443" s="9">
        <v>1</v>
      </c>
    </row>
    <row r="444" spans="1:19" x14ac:dyDescent="0.3">
      <c r="A444" s="9" t="s">
        <v>4</v>
      </c>
      <c r="B444" t="s">
        <v>362</v>
      </c>
    </row>
    <row r="445" spans="1:19" x14ac:dyDescent="0.3">
      <c r="A445" s="9" t="s">
        <v>6</v>
      </c>
      <c r="B445" s="9" t="s">
        <v>15</v>
      </c>
    </row>
    <row r="446" spans="1:19" x14ac:dyDescent="0.3">
      <c r="A446" s="8" t="s">
        <v>8</v>
      </c>
    </row>
    <row r="447" spans="1:19" x14ac:dyDescent="0.3">
      <c r="A447" s="9" t="s">
        <v>9</v>
      </c>
      <c r="B447" s="9" t="s">
        <v>10</v>
      </c>
      <c r="C447" s="9" t="s">
        <v>11</v>
      </c>
      <c r="D447" s="9" t="s">
        <v>3</v>
      </c>
      <c r="E447" s="9" t="s">
        <v>6</v>
      </c>
      <c r="F447" s="9" t="s">
        <v>12</v>
      </c>
      <c r="G447" s="9" t="s">
        <v>13</v>
      </c>
      <c r="H447" s="9" t="s">
        <v>4</v>
      </c>
    </row>
    <row r="448" spans="1:19" x14ac:dyDescent="0.3">
      <c r="A448" s="9" t="s">
        <v>360</v>
      </c>
      <c r="B448" s="16">
        <v>1</v>
      </c>
      <c r="C448" s="9" t="s">
        <v>573</v>
      </c>
      <c r="D448" s="9" t="s">
        <v>21</v>
      </c>
      <c r="E448" s="9" t="s">
        <v>15</v>
      </c>
      <c r="G448" s="9" t="s">
        <v>14</v>
      </c>
      <c r="H448" t="s">
        <v>362</v>
      </c>
    </row>
    <row r="449" spans="1:8" x14ac:dyDescent="0.3">
      <c r="A449" s="9" t="s">
        <v>63</v>
      </c>
      <c r="B449" s="15">
        <v>4.1999999999999997E-3</v>
      </c>
      <c r="C449" t="s">
        <v>574</v>
      </c>
      <c r="D449" t="s">
        <v>21</v>
      </c>
      <c r="E449" t="s">
        <v>24</v>
      </c>
      <c r="G449" t="s">
        <v>25</v>
      </c>
      <c r="H449" t="s">
        <v>63</v>
      </c>
    </row>
    <row r="450" spans="1:8" x14ac:dyDescent="0.3">
      <c r="A450" s="9" t="s">
        <v>64</v>
      </c>
      <c r="B450" s="15">
        <v>3.4200000000000002E-4</v>
      </c>
      <c r="C450" t="s">
        <v>574</v>
      </c>
      <c r="D450" t="s">
        <v>23</v>
      </c>
      <c r="E450" t="s">
        <v>15</v>
      </c>
      <c r="G450" t="s">
        <v>25</v>
      </c>
      <c r="H450" t="s">
        <v>64</v>
      </c>
    </row>
    <row r="451" spans="1:8" x14ac:dyDescent="0.3">
      <c r="A451" s="9" t="s">
        <v>363</v>
      </c>
      <c r="B451" s="15">
        <v>9.1399999999999998E-8</v>
      </c>
      <c r="C451" t="s">
        <v>574</v>
      </c>
      <c r="D451" t="s">
        <v>21</v>
      </c>
      <c r="E451" t="s">
        <v>39</v>
      </c>
      <c r="G451" t="s">
        <v>25</v>
      </c>
      <c r="H451" t="s">
        <v>376</v>
      </c>
    </row>
    <row r="452" spans="1:8" x14ac:dyDescent="0.3">
      <c r="A452" s="9" t="s">
        <v>364</v>
      </c>
      <c r="B452" s="15">
        <v>3.3500000000000001E-5</v>
      </c>
      <c r="C452" t="s">
        <v>574</v>
      </c>
      <c r="D452" t="s">
        <v>23</v>
      </c>
      <c r="E452" t="s">
        <v>15</v>
      </c>
      <c r="G452" t="s">
        <v>25</v>
      </c>
      <c r="H452" t="s">
        <v>377</v>
      </c>
    </row>
    <row r="453" spans="1:8" x14ac:dyDescent="0.3">
      <c r="A453" s="9" t="s">
        <v>365</v>
      </c>
      <c r="B453" s="11">
        <v>3.4200000000000002E-4</v>
      </c>
      <c r="C453" t="s">
        <v>574</v>
      </c>
      <c r="D453" t="s">
        <v>21</v>
      </c>
      <c r="E453" t="s">
        <v>15</v>
      </c>
      <c r="G453" t="s">
        <v>25</v>
      </c>
      <c r="H453" t="s">
        <v>44</v>
      </c>
    </row>
    <row r="454" spans="1:8" x14ac:dyDescent="0.3">
      <c r="A454" s="9" t="s">
        <v>366</v>
      </c>
      <c r="B454" s="11">
        <v>6.4899999999999997E-6</v>
      </c>
      <c r="C454" t="s">
        <v>574</v>
      </c>
      <c r="D454" t="s">
        <v>21</v>
      </c>
      <c r="E454" t="s">
        <v>15</v>
      </c>
      <c r="G454" t="s">
        <v>25</v>
      </c>
      <c r="H454" t="s">
        <v>378</v>
      </c>
    </row>
    <row r="455" spans="1:8" x14ac:dyDescent="0.3">
      <c r="A455" s="9" t="s">
        <v>367</v>
      </c>
      <c r="B455" s="11">
        <v>3.9899999999999999E-4</v>
      </c>
      <c r="C455" t="s">
        <v>574</v>
      </c>
      <c r="D455" t="s">
        <v>23</v>
      </c>
      <c r="E455" t="s">
        <v>46</v>
      </c>
      <c r="G455" t="s">
        <v>25</v>
      </c>
      <c r="H455" t="s">
        <v>89</v>
      </c>
    </row>
    <row r="456" spans="1:8" x14ac:dyDescent="0.3">
      <c r="A456" s="9" t="s">
        <v>367</v>
      </c>
      <c r="B456" s="11">
        <v>7.3399999999999998E-7</v>
      </c>
      <c r="C456" t="s">
        <v>574</v>
      </c>
      <c r="D456" t="s">
        <v>23</v>
      </c>
      <c r="E456" t="s">
        <v>46</v>
      </c>
      <c r="G456" t="s">
        <v>25</v>
      </c>
      <c r="H456" t="s">
        <v>89</v>
      </c>
    </row>
    <row r="457" spans="1:8" x14ac:dyDescent="0.3">
      <c r="A457" s="9" t="s">
        <v>368</v>
      </c>
      <c r="B457" s="11">
        <v>3.2999999999999998E-8</v>
      </c>
      <c r="C457" t="s">
        <v>574</v>
      </c>
      <c r="D457" t="s">
        <v>21</v>
      </c>
      <c r="E457" t="s">
        <v>375</v>
      </c>
      <c r="G457" t="s">
        <v>25</v>
      </c>
      <c r="H457" t="s">
        <v>379</v>
      </c>
    </row>
    <row r="458" spans="1:8" x14ac:dyDescent="0.3">
      <c r="A458" s="9" t="s">
        <v>369</v>
      </c>
      <c r="B458" s="11">
        <v>1.3200000000000001E-8</v>
      </c>
      <c r="C458" t="s">
        <v>574</v>
      </c>
      <c r="D458" t="s">
        <v>21</v>
      </c>
      <c r="E458" t="s">
        <v>6</v>
      </c>
      <c r="G458" t="s">
        <v>25</v>
      </c>
      <c r="H458" t="s">
        <v>380</v>
      </c>
    </row>
    <row r="459" spans="1:8" x14ac:dyDescent="0.3">
      <c r="A459" s="9" t="s">
        <v>370</v>
      </c>
      <c r="B459" s="11">
        <v>3.1999999999999999E-6</v>
      </c>
      <c r="C459" t="s">
        <v>574</v>
      </c>
      <c r="D459" t="s">
        <v>21</v>
      </c>
      <c r="E459" t="s">
        <v>15</v>
      </c>
      <c r="G459" t="s">
        <v>25</v>
      </c>
      <c r="H459" t="s">
        <v>381</v>
      </c>
    </row>
    <row r="460" spans="1:8" x14ac:dyDescent="0.3">
      <c r="A460" s="9" t="s">
        <v>371</v>
      </c>
      <c r="B460" s="11">
        <v>6.9900000000000005E-5</v>
      </c>
      <c r="C460" t="s">
        <v>574</v>
      </c>
      <c r="D460" t="s">
        <v>21</v>
      </c>
      <c r="E460" t="s">
        <v>46</v>
      </c>
      <c r="G460" t="s">
        <v>25</v>
      </c>
      <c r="H460" t="s">
        <v>382</v>
      </c>
    </row>
    <row r="461" spans="1:8" x14ac:dyDescent="0.3">
      <c r="A461" s="9" t="s">
        <v>371</v>
      </c>
      <c r="B461" s="11">
        <v>3.2000000000000001E-7</v>
      </c>
      <c r="C461" t="s">
        <v>574</v>
      </c>
      <c r="D461" t="s">
        <v>21</v>
      </c>
      <c r="E461" t="s">
        <v>46</v>
      </c>
      <c r="G461" t="s">
        <v>25</v>
      </c>
      <c r="H461" t="s">
        <v>382</v>
      </c>
    </row>
    <row r="462" spans="1:8" x14ac:dyDescent="0.3">
      <c r="A462" s="9" t="s">
        <v>70</v>
      </c>
      <c r="B462" s="11">
        <v>-5.5799999999999999E-3</v>
      </c>
      <c r="C462" t="s">
        <v>574</v>
      </c>
      <c r="D462" t="s">
        <v>23</v>
      </c>
      <c r="E462" t="s">
        <v>15</v>
      </c>
      <c r="G462" t="s">
        <v>25</v>
      </c>
      <c r="H462" t="s">
        <v>71</v>
      </c>
    </row>
    <row r="463" spans="1:8" x14ac:dyDescent="0.3">
      <c r="A463" s="9" t="s">
        <v>372</v>
      </c>
      <c r="B463" s="11">
        <v>-1.7100000000000001E-4</v>
      </c>
      <c r="C463" t="s">
        <v>574</v>
      </c>
      <c r="D463" t="s">
        <v>23</v>
      </c>
      <c r="E463" t="s">
        <v>15</v>
      </c>
      <c r="G463" t="s">
        <v>25</v>
      </c>
      <c r="H463" t="s">
        <v>383</v>
      </c>
    </row>
    <row r="464" spans="1:8" x14ac:dyDescent="0.3">
      <c r="A464" s="9" t="s">
        <v>373</v>
      </c>
      <c r="B464" s="11">
        <v>-6.4899999999999997E-6</v>
      </c>
      <c r="C464" t="s">
        <v>574</v>
      </c>
      <c r="D464" t="s">
        <v>23</v>
      </c>
      <c r="E464" t="s">
        <v>15</v>
      </c>
      <c r="G464" t="s">
        <v>25</v>
      </c>
      <c r="H464" t="s">
        <v>384</v>
      </c>
    </row>
    <row r="465" spans="1:19" x14ac:dyDescent="0.3">
      <c r="A465" s="9" t="s">
        <v>374</v>
      </c>
      <c r="B465" s="11">
        <v>5.5799999999999999E-3</v>
      </c>
      <c r="C465" t="s">
        <v>574</v>
      </c>
      <c r="D465" t="s">
        <v>21</v>
      </c>
      <c r="E465" t="s">
        <v>15</v>
      </c>
      <c r="G465" t="s">
        <v>25</v>
      </c>
      <c r="H465" t="s">
        <v>385</v>
      </c>
    </row>
    <row r="466" spans="1:19" x14ac:dyDescent="0.3">
      <c r="A466" t="s">
        <v>50</v>
      </c>
      <c r="B466" s="12">
        <v>5.1999999999999997E-5</v>
      </c>
      <c r="C466" s="9" t="s">
        <v>16</v>
      </c>
      <c r="E466" t="s">
        <v>15</v>
      </c>
      <c r="F466" t="s">
        <v>51</v>
      </c>
      <c r="G466" t="s">
        <v>18</v>
      </c>
    </row>
    <row r="467" spans="1:19" x14ac:dyDescent="0.3">
      <c r="A467" t="s">
        <v>55</v>
      </c>
      <c r="B467" s="12">
        <v>4.2200000000000003E-6</v>
      </c>
      <c r="C467" s="9" t="s">
        <v>16</v>
      </c>
      <c r="E467" t="s">
        <v>56</v>
      </c>
      <c r="F467" t="s">
        <v>57</v>
      </c>
      <c r="G467" t="s">
        <v>18</v>
      </c>
    </row>
    <row r="468" spans="1:19" x14ac:dyDescent="0.3">
      <c r="A468" t="s">
        <v>386</v>
      </c>
      <c r="B468" s="12">
        <v>2.29E-8</v>
      </c>
      <c r="C468" s="9" t="s">
        <v>16</v>
      </c>
      <c r="E468" t="s">
        <v>56</v>
      </c>
      <c r="F468" t="s">
        <v>57</v>
      </c>
      <c r="G468" t="s">
        <v>18</v>
      </c>
    </row>
    <row r="469" spans="1:19" x14ac:dyDescent="0.3">
      <c r="A469" t="s">
        <v>386</v>
      </c>
      <c r="B469" s="12">
        <v>2.0599999999999999E-7</v>
      </c>
      <c r="C469" s="9" t="s">
        <v>16</v>
      </c>
      <c r="E469" t="s">
        <v>56</v>
      </c>
      <c r="F469" t="s">
        <v>57</v>
      </c>
      <c r="G469" t="s">
        <v>18</v>
      </c>
    </row>
    <row r="470" spans="1:19" x14ac:dyDescent="0.3">
      <c r="A470" t="s">
        <v>58</v>
      </c>
      <c r="B470" s="12">
        <v>2.5399999999999998E-6</v>
      </c>
      <c r="C470" s="9" t="s">
        <v>16</v>
      </c>
      <c r="E470" t="s">
        <v>59</v>
      </c>
      <c r="F470" t="s">
        <v>57</v>
      </c>
      <c r="G470" t="s">
        <v>18</v>
      </c>
    </row>
    <row r="471" spans="1:19" x14ac:dyDescent="0.3">
      <c r="A471" t="s">
        <v>387</v>
      </c>
      <c r="B471" s="12">
        <v>1.52E-8</v>
      </c>
      <c r="C471" s="9" t="s">
        <v>16</v>
      </c>
      <c r="E471" t="s">
        <v>59</v>
      </c>
      <c r="F471" t="s">
        <v>57</v>
      </c>
      <c r="G471" t="s">
        <v>18</v>
      </c>
    </row>
    <row r="472" spans="1:19" x14ac:dyDescent="0.3">
      <c r="A472" t="s">
        <v>60</v>
      </c>
      <c r="B472" s="12">
        <v>2.5399999999999998E-6</v>
      </c>
      <c r="C472" s="9" t="s">
        <v>16</v>
      </c>
      <c r="E472" t="s">
        <v>59</v>
      </c>
      <c r="F472" t="s">
        <v>57</v>
      </c>
      <c r="G472" t="s">
        <v>18</v>
      </c>
    </row>
    <row r="473" spans="1:19" x14ac:dyDescent="0.3">
      <c r="A473" t="s">
        <v>388</v>
      </c>
      <c r="B473" s="12">
        <v>1.5200000000000001E-7</v>
      </c>
      <c r="C473" s="9" t="s">
        <v>16</v>
      </c>
      <c r="E473" t="s">
        <v>59</v>
      </c>
      <c r="F473" t="s">
        <v>57</v>
      </c>
      <c r="G473" t="s">
        <v>18</v>
      </c>
    </row>
    <row r="474" spans="1:19" x14ac:dyDescent="0.3">
      <c r="A474" t="s">
        <v>388</v>
      </c>
      <c r="B474" s="12">
        <v>1.37E-8</v>
      </c>
      <c r="C474" s="9" t="s">
        <v>16</v>
      </c>
      <c r="E474" t="s">
        <v>59</v>
      </c>
      <c r="F474" t="s">
        <v>57</v>
      </c>
      <c r="G474" t="s">
        <v>18</v>
      </c>
    </row>
    <row r="475" spans="1:19" x14ac:dyDescent="0.3">
      <c r="A475" t="s">
        <v>389</v>
      </c>
      <c r="B475" s="12">
        <v>2.3699999999999999E-7</v>
      </c>
      <c r="C475" s="9" t="s">
        <v>16</v>
      </c>
      <c r="E475" t="s">
        <v>7</v>
      </c>
      <c r="F475" t="s">
        <v>82</v>
      </c>
      <c r="G475" t="s">
        <v>18</v>
      </c>
    </row>
    <row r="476" spans="1:19" x14ac:dyDescent="0.3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x14ac:dyDescent="0.3">
      <c r="A477" s="8" t="s">
        <v>1</v>
      </c>
      <c r="B477" s="8" t="s">
        <v>392</v>
      </c>
    </row>
    <row r="478" spans="1:19" x14ac:dyDescent="0.3">
      <c r="A478" s="9" t="s">
        <v>2</v>
      </c>
      <c r="B478" t="s">
        <v>401</v>
      </c>
    </row>
    <row r="479" spans="1:19" x14ac:dyDescent="0.3">
      <c r="A479" s="9" t="s">
        <v>3</v>
      </c>
      <c r="B479" s="9" t="s">
        <v>21</v>
      </c>
    </row>
    <row r="480" spans="1:19" x14ac:dyDescent="0.3">
      <c r="A480" s="9" t="s">
        <v>5</v>
      </c>
      <c r="B480" s="9">
        <v>1</v>
      </c>
    </row>
    <row r="481" spans="1:19" x14ac:dyDescent="0.3">
      <c r="A481" s="9" t="s">
        <v>4</v>
      </c>
      <c r="B481" t="s">
        <v>392</v>
      </c>
    </row>
    <row r="482" spans="1:19" x14ac:dyDescent="0.3">
      <c r="A482" s="9" t="s">
        <v>6</v>
      </c>
      <c r="B482" s="9" t="s">
        <v>15</v>
      </c>
    </row>
    <row r="483" spans="1:19" x14ac:dyDescent="0.3">
      <c r="A483" s="8" t="s">
        <v>8</v>
      </c>
    </row>
    <row r="484" spans="1:19" x14ac:dyDescent="0.3">
      <c r="A484" s="9" t="s">
        <v>9</v>
      </c>
      <c r="B484" s="9" t="s">
        <v>10</v>
      </c>
      <c r="C484" s="9" t="s">
        <v>11</v>
      </c>
      <c r="D484" s="9" t="s">
        <v>3</v>
      </c>
      <c r="E484" s="9" t="s">
        <v>6</v>
      </c>
      <c r="F484" s="9" t="s">
        <v>12</v>
      </c>
      <c r="G484" s="9" t="s">
        <v>13</v>
      </c>
      <c r="H484" s="9" t="s">
        <v>4</v>
      </c>
    </row>
    <row r="485" spans="1:19" x14ac:dyDescent="0.3">
      <c r="A485" s="9" t="s">
        <v>392</v>
      </c>
      <c r="B485" s="16">
        <v>1</v>
      </c>
      <c r="C485" s="9" t="s">
        <v>573</v>
      </c>
      <c r="D485" s="9" t="s">
        <v>21</v>
      </c>
      <c r="E485" s="9" t="s">
        <v>15</v>
      </c>
      <c r="G485" s="9" t="s">
        <v>14</v>
      </c>
      <c r="H485" t="s">
        <v>392</v>
      </c>
    </row>
    <row r="486" spans="1:19" x14ac:dyDescent="0.3">
      <c r="A486" t="s">
        <v>402</v>
      </c>
      <c r="B486" s="12">
        <v>5.7000000000000002E-3</v>
      </c>
      <c r="C486" t="s">
        <v>574</v>
      </c>
      <c r="D486" t="s">
        <v>23</v>
      </c>
      <c r="E486" s="9" t="s">
        <v>15</v>
      </c>
      <c r="F486"/>
      <c r="G486" t="s">
        <v>25</v>
      </c>
      <c r="H486" t="s">
        <v>404</v>
      </c>
    </row>
    <row r="487" spans="1:19" x14ac:dyDescent="0.3">
      <c r="A487" t="s">
        <v>403</v>
      </c>
      <c r="B487" s="12">
        <v>4.2599999999999999E-5</v>
      </c>
      <c r="C487" t="s">
        <v>574</v>
      </c>
      <c r="D487" t="s">
        <v>21</v>
      </c>
      <c r="E487" s="9" t="s">
        <v>15</v>
      </c>
      <c r="F487"/>
      <c r="G487" t="s">
        <v>25</v>
      </c>
      <c r="H487" t="s">
        <v>405</v>
      </c>
    </row>
    <row r="488" spans="1:19" x14ac:dyDescent="0.3">
      <c r="A488" t="s">
        <v>396</v>
      </c>
      <c r="B488" s="12">
        <v>3.0000000000000001E-3</v>
      </c>
      <c r="C488" t="s">
        <v>574</v>
      </c>
      <c r="D488" t="s">
        <v>23</v>
      </c>
      <c r="E488" s="9" t="s">
        <v>15</v>
      </c>
      <c r="F488"/>
      <c r="G488" t="s">
        <v>25</v>
      </c>
      <c r="H488" t="s">
        <v>28</v>
      </c>
    </row>
    <row r="489" spans="1:19" x14ac:dyDescent="0.3">
      <c r="A489" t="s">
        <v>152</v>
      </c>
      <c r="B489" s="12">
        <v>9.7000000000000003E-2</v>
      </c>
      <c r="C489" t="s">
        <v>574</v>
      </c>
      <c r="D489" t="s">
        <v>23</v>
      </c>
      <c r="E489" s="9" t="s">
        <v>15</v>
      </c>
      <c r="F489"/>
      <c r="G489" t="s">
        <v>25</v>
      </c>
      <c r="H489" t="s">
        <v>153</v>
      </c>
    </row>
    <row r="490" spans="1:19" x14ac:dyDescent="0.3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x14ac:dyDescent="0.3">
      <c r="A491" s="8" t="s">
        <v>1</v>
      </c>
      <c r="B491" s="8" t="s">
        <v>390</v>
      </c>
    </row>
    <row r="492" spans="1:19" x14ac:dyDescent="0.3">
      <c r="A492" s="9" t="s">
        <v>2</v>
      </c>
      <c r="B492" t="s">
        <v>391</v>
      </c>
    </row>
    <row r="493" spans="1:19" x14ac:dyDescent="0.3">
      <c r="A493" s="9" t="s">
        <v>3</v>
      </c>
      <c r="B493" s="9" t="s">
        <v>21</v>
      </c>
    </row>
    <row r="494" spans="1:19" x14ac:dyDescent="0.3">
      <c r="A494" s="9" t="s">
        <v>5</v>
      </c>
      <c r="B494" s="9">
        <v>1</v>
      </c>
    </row>
    <row r="495" spans="1:19" x14ac:dyDescent="0.3">
      <c r="A495" s="9" t="s">
        <v>4</v>
      </c>
      <c r="B495" t="s">
        <v>390</v>
      </c>
    </row>
    <row r="496" spans="1:19" x14ac:dyDescent="0.3">
      <c r="A496" s="9" t="s">
        <v>6</v>
      </c>
      <c r="B496" s="9" t="s">
        <v>15</v>
      </c>
    </row>
    <row r="497" spans="1:19" x14ac:dyDescent="0.3">
      <c r="A497" s="8" t="s">
        <v>8</v>
      </c>
    </row>
    <row r="498" spans="1:19" x14ac:dyDescent="0.3">
      <c r="A498" s="9" t="s">
        <v>9</v>
      </c>
      <c r="B498" s="9" t="s">
        <v>10</v>
      </c>
      <c r="C498" s="9" t="s">
        <v>11</v>
      </c>
      <c r="D498" s="9" t="s">
        <v>3</v>
      </c>
      <c r="E498" s="9" t="s">
        <v>6</v>
      </c>
      <c r="F498" s="9" t="s">
        <v>12</v>
      </c>
      <c r="G498" s="9" t="s">
        <v>13</v>
      </c>
      <c r="H498" s="9" t="s">
        <v>4</v>
      </c>
    </row>
    <row r="499" spans="1:19" x14ac:dyDescent="0.3">
      <c r="A499" s="9" t="s">
        <v>390</v>
      </c>
      <c r="B499" s="16">
        <v>1</v>
      </c>
      <c r="C499" s="9" t="s">
        <v>573</v>
      </c>
      <c r="D499" s="9" t="s">
        <v>21</v>
      </c>
      <c r="E499" s="9" t="s">
        <v>15</v>
      </c>
      <c r="G499" s="9" t="s">
        <v>14</v>
      </c>
      <c r="H499" t="s">
        <v>390</v>
      </c>
    </row>
    <row r="500" spans="1:19" x14ac:dyDescent="0.3">
      <c r="A500" t="s">
        <v>392</v>
      </c>
      <c r="B500" s="13">
        <v>0.85</v>
      </c>
      <c r="C500" s="9" t="s">
        <v>573</v>
      </c>
      <c r="D500" t="s">
        <v>21</v>
      </c>
      <c r="E500" t="s">
        <v>15</v>
      </c>
      <c r="G500" t="s">
        <v>25</v>
      </c>
      <c r="H500" t="s">
        <v>392</v>
      </c>
    </row>
    <row r="501" spans="1:19" x14ac:dyDescent="0.3">
      <c r="A501" t="s">
        <v>393</v>
      </c>
      <c r="B501" s="13">
        <v>0.75</v>
      </c>
      <c r="C501" t="s">
        <v>574</v>
      </c>
      <c r="D501" t="s">
        <v>23</v>
      </c>
      <c r="E501" t="s">
        <v>15</v>
      </c>
      <c r="G501" t="s">
        <v>25</v>
      </c>
      <c r="H501" t="s">
        <v>399</v>
      </c>
    </row>
    <row r="502" spans="1:19" x14ac:dyDescent="0.3">
      <c r="A502" t="s">
        <v>394</v>
      </c>
      <c r="B502" s="13">
        <v>0.71</v>
      </c>
      <c r="C502" t="s">
        <v>574</v>
      </c>
      <c r="D502" t="s">
        <v>23</v>
      </c>
      <c r="E502" t="s">
        <v>24</v>
      </c>
      <c r="G502" t="s">
        <v>25</v>
      </c>
      <c r="H502" t="s">
        <v>151</v>
      </c>
    </row>
    <row r="503" spans="1:19" x14ac:dyDescent="0.3">
      <c r="A503" t="s">
        <v>395</v>
      </c>
      <c r="B503" s="13">
        <v>0.18</v>
      </c>
      <c r="C503" t="s">
        <v>574</v>
      </c>
      <c r="D503" t="s">
        <v>23</v>
      </c>
      <c r="E503" t="s">
        <v>15</v>
      </c>
      <c r="G503" t="s">
        <v>25</v>
      </c>
      <c r="H503" t="s">
        <v>294</v>
      </c>
    </row>
    <row r="504" spans="1:19" x14ac:dyDescent="0.3">
      <c r="A504" t="s">
        <v>396</v>
      </c>
      <c r="B504" s="13">
        <v>0.75</v>
      </c>
      <c r="C504" t="s">
        <v>574</v>
      </c>
      <c r="D504" t="s">
        <v>23</v>
      </c>
      <c r="E504" t="s">
        <v>15</v>
      </c>
      <c r="G504" t="s">
        <v>25</v>
      </c>
      <c r="H504" t="s">
        <v>28</v>
      </c>
    </row>
    <row r="505" spans="1:19" x14ac:dyDescent="0.3">
      <c r="A505" t="s">
        <v>397</v>
      </c>
      <c r="B505" s="13">
        <v>0.31944444444444442</v>
      </c>
      <c r="C505" t="s">
        <v>574</v>
      </c>
      <c r="D505" t="s">
        <v>21</v>
      </c>
      <c r="E505" t="s">
        <v>76</v>
      </c>
      <c r="G505" t="s">
        <v>25</v>
      </c>
      <c r="H505" t="s">
        <v>184</v>
      </c>
    </row>
    <row r="506" spans="1:19" x14ac:dyDescent="0.3">
      <c r="A506" t="s">
        <v>284</v>
      </c>
      <c r="B506" s="13">
        <v>1.37</v>
      </c>
      <c r="C506" t="s">
        <v>574</v>
      </c>
      <c r="D506" t="s">
        <v>23</v>
      </c>
      <c r="E506" t="s">
        <v>15</v>
      </c>
      <c r="G506" t="s">
        <v>25</v>
      </c>
      <c r="H506" t="s">
        <v>285</v>
      </c>
    </row>
    <row r="507" spans="1:19" x14ac:dyDescent="0.3">
      <c r="A507" t="s">
        <v>398</v>
      </c>
      <c r="B507" s="13">
        <v>6.5500000000000003E-3</v>
      </c>
      <c r="C507" t="s">
        <v>574</v>
      </c>
      <c r="D507" t="s">
        <v>23</v>
      </c>
      <c r="E507" t="s">
        <v>15</v>
      </c>
      <c r="G507" t="s">
        <v>25</v>
      </c>
      <c r="H507" t="s">
        <v>400</v>
      </c>
    </row>
    <row r="508" spans="1:19" x14ac:dyDescent="0.3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x14ac:dyDescent="0.3">
      <c r="A509" s="8" t="s">
        <v>1</v>
      </c>
      <c r="B509" s="8" t="s">
        <v>423</v>
      </c>
    </row>
    <row r="510" spans="1:19" x14ac:dyDescent="0.3">
      <c r="A510" s="9" t="s">
        <v>2</v>
      </c>
      <c r="B510" t="s">
        <v>431</v>
      </c>
    </row>
    <row r="511" spans="1:19" x14ac:dyDescent="0.3">
      <c r="A511" s="9" t="s">
        <v>3</v>
      </c>
      <c r="B511" s="9" t="s">
        <v>21</v>
      </c>
    </row>
    <row r="512" spans="1:19" x14ac:dyDescent="0.3">
      <c r="A512" s="9" t="s">
        <v>5</v>
      </c>
      <c r="B512" s="9">
        <v>1</v>
      </c>
    </row>
    <row r="513" spans="1:19" x14ac:dyDescent="0.3">
      <c r="A513" s="9" t="s">
        <v>4</v>
      </c>
      <c r="B513" t="s">
        <v>423</v>
      </c>
    </row>
    <row r="514" spans="1:19" x14ac:dyDescent="0.3">
      <c r="A514" s="9" t="s">
        <v>6</v>
      </c>
      <c r="B514" s="9" t="s">
        <v>15</v>
      </c>
    </row>
    <row r="515" spans="1:19" x14ac:dyDescent="0.3">
      <c r="A515" s="8" t="s">
        <v>8</v>
      </c>
    </row>
    <row r="516" spans="1:19" x14ac:dyDescent="0.3">
      <c r="A516" s="9" t="s">
        <v>9</v>
      </c>
      <c r="B516" s="9" t="s">
        <v>10</v>
      </c>
      <c r="C516" s="9" t="s">
        <v>11</v>
      </c>
      <c r="D516" s="9" t="s">
        <v>3</v>
      </c>
      <c r="E516" s="9" t="s">
        <v>6</v>
      </c>
      <c r="F516" s="9" t="s">
        <v>12</v>
      </c>
      <c r="G516" s="9" t="s">
        <v>13</v>
      </c>
      <c r="H516" s="9" t="s">
        <v>4</v>
      </c>
    </row>
    <row r="517" spans="1:19" x14ac:dyDescent="0.3">
      <c r="A517" t="s">
        <v>423</v>
      </c>
      <c r="B517" s="16">
        <v>1</v>
      </c>
      <c r="C517" s="9" t="s">
        <v>573</v>
      </c>
      <c r="D517" s="9" t="s">
        <v>21</v>
      </c>
      <c r="E517" s="9" t="s">
        <v>15</v>
      </c>
      <c r="G517" s="9" t="s">
        <v>14</v>
      </c>
      <c r="H517" t="s">
        <v>423</v>
      </c>
    </row>
    <row r="518" spans="1:19" x14ac:dyDescent="0.3">
      <c r="A518" t="s">
        <v>193</v>
      </c>
      <c r="B518" s="13">
        <v>5.28E-2</v>
      </c>
      <c r="C518" t="s">
        <v>574</v>
      </c>
      <c r="D518" t="s">
        <v>23</v>
      </c>
      <c r="E518" t="s">
        <v>15</v>
      </c>
      <c r="G518" t="s">
        <v>25</v>
      </c>
      <c r="H518" t="s">
        <v>194</v>
      </c>
    </row>
    <row r="519" spans="1:19" x14ac:dyDescent="0.3">
      <c r="A519" t="s">
        <v>197</v>
      </c>
      <c r="B519" s="13">
        <v>4.7899999999999998E-2</v>
      </c>
      <c r="C519" t="s">
        <v>574</v>
      </c>
      <c r="D519" t="s">
        <v>23</v>
      </c>
      <c r="E519" t="s">
        <v>15</v>
      </c>
      <c r="G519" t="s">
        <v>25</v>
      </c>
      <c r="H519" t="s">
        <v>198</v>
      </c>
    </row>
    <row r="520" spans="1:19" x14ac:dyDescent="0.3">
      <c r="A520" t="s">
        <v>432</v>
      </c>
      <c r="B520" s="13">
        <v>0.156</v>
      </c>
      <c r="C520" t="s">
        <v>574</v>
      </c>
      <c r="D520" t="s">
        <v>21</v>
      </c>
      <c r="E520" t="s">
        <v>15</v>
      </c>
      <c r="G520" t="s">
        <v>25</v>
      </c>
      <c r="H520" t="s">
        <v>196</v>
      </c>
    </row>
    <row r="521" spans="1:19" x14ac:dyDescent="0.3">
      <c r="A521" t="s">
        <v>433</v>
      </c>
      <c r="B521" s="13">
        <v>0.42099999999999999</v>
      </c>
      <c r="C521" t="s">
        <v>574</v>
      </c>
      <c r="D521" t="s">
        <v>21</v>
      </c>
      <c r="E521" t="s">
        <v>15</v>
      </c>
      <c r="G521" t="s">
        <v>25</v>
      </c>
      <c r="H521" t="s">
        <v>200</v>
      </c>
    </row>
    <row r="522" spans="1:19" x14ac:dyDescent="0.3">
      <c r="A522" t="s">
        <v>434</v>
      </c>
      <c r="B522" s="13">
        <v>0.127</v>
      </c>
      <c r="C522" t="s">
        <v>574</v>
      </c>
      <c r="D522" t="s">
        <v>23</v>
      </c>
      <c r="E522" t="s">
        <v>15</v>
      </c>
      <c r="G522" t="s">
        <v>25</v>
      </c>
      <c r="H522" t="s">
        <v>202</v>
      </c>
    </row>
    <row r="523" spans="1:19" x14ac:dyDescent="0.3">
      <c r="A523" t="s">
        <v>435</v>
      </c>
      <c r="B523" s="12">
        <v>4.6900000000000002E-4</v>
      </c>
      <c r="C523" t="s">
        <v>574</v>
      </c>
      <c r="D523" t="s">
        <v>23</v>
      </c>
      <c r="E523" t="s">
        <v>15</v>
      </c>
      <c r="G523" t="s">
        <v>25</v>
      </c>
      <c r="H523" t="s">
        <v>204</v>
      </c>
    </row>
    <row r="524" spans="1:19" x14ac:dyDescent="0.3">
      <c r="A524" t="s">
        <v>436</v>
      </c>
      <c r="B524" s="13">
        <v>3.2300000000000002E-2</v>
      </c>
      <c r="C524" t="s">
        <v>574</v>
      </c>
      <c r="D524" t="s">
        <v>23</v>
      </c>
      <c r="E524" t="s">
        <v>15</v>
      </c>
      <c r="G524" t="s">
        <v>25</v>
      </c>
      <c r="H524" t="s">
        <v>206</v>
      </c>
    </row>
    <row r="525" spans="1:19" x14ac:dyDescent="0.3">
      <c r="A525" t="s">
        <v>437</v>
      </c>
      <c r="B525" s="13">
        <v>8.6099999999999996E-2</v>
      </c>
      <c r="C525" t="s">
        <v>574</v>
      </c>
      <c r="D525" t="s">
        <v>21</v>
      </c>
      <c r="E525" t="s">
        <v>15</v>
      </c>
      <c r="G525" t="s">
        <v>25</v>
      </c>
      <c r="H525" t="s">
        <v>208</v>
      </c>
    </row>
    <row r="526" spans="1:19" x14ac:dyDescent="0.3">
      <c r="A526" t="s">
        <v>438</v>
      </c>
      <c r="B526" s="13">
        <v>7.6300000000000007E-2</v>
      </c>
      <c r="C526" t="s">
        <v>574</v>
      </c>
      <c r="D526" t="s">
        <v>21</v>
      </c>
      <c r="E526" t="s">
        <v>15</v>
      </c>
      <c r="G526" t="s">
        <v>25</v>
      </c>
      <c r="H526" t="s">
        <v>153</v>
      </c>
    </row>
    <row r="527" spans="1:19" x14ac:dyDescent="0.3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x14ac:dyDescent="0.3">
      <c r="A528" s="8" t="s">
        <v>1</v>
      </c>
      <c r="B528" s="8" t="s">
        <v>406</v>
      </c>
    </row>
    <row r="529" spans="1:8" x14ac:dyDescent="0.3">
      <c r="A529" s="9" t="s">
        <v>2</v>
      </c>
      <c r="B529" t="s">
        <v>407</v>
      </c>
    </row>
    <row r="530" spans="1:8" x14ac:dyDescent="0.3">
      <c r="A530" s="9" t="s">
        <v>3</v>
      </c>
      <c r="B530" s="9" t="s">
        <v>21</v>
      </c>
    </row>
    <row r="531" spans="1:8" x14ac:dyDescent="0.3">
      <c r="A531" s="9" t="s">
        <v>5</v>
      </c>
      <c r="B531" s="9">
        <v>1</v>
      </c>
    </row>
    <row r="532" spans="1:8" x14ac:dyDescent="0.3">
      <c r="A532" s="9" t="s">
        <v>4</v>
      </c>
      <c r="B532" t="s">
        <v>406</v>
      </c>
    </row>
    <row r="533" spans="1:8" x14ac:dyDescent="0.3">
      <c r="A533" s="9" t="s">
        <v>6</v>
      </c>
      <c r="B533" s="9" t="s">
        <v>15</v>
      </c>
    </row>
    <row r="534" spans="1:8" x14ac:dyDescent="0.3">
      <c r="A534" s="8" t="s">
        <v>8</v>
      </c>
    </row>
    <row r="535" spans="1:8" x14ac:dyDescent="0.3">
      <c r="A535" s="9" t="s">
        <v>9</v>
      </c>
      <c r="B535" s="9" t="s">
        <v>10</v>
      </c>
      <c r="C535" s="9" t="s">
        <v>11</v>
      </c>
      <c r="D535" s="9" t="s">
        <v>3</v>
      </c>
      <c r="E535" s="9" t="s">
        <v>6</v>
      </c>
      <c r="F535" s="9" t="s">
        <v>12</v>
      </c>
      <c r="G535" s="9" t="s">
        <v>13</v>
      </c>
      <c r="H535" s="9" t="s">
        <v>4</v>
      </c>
    </row>
    <row r="536" spans="1:8" x14ac:dyDescent="0.3">
      <c r="A536" t="s">
        <v>406</v>
      </c>
      <c r="B536" s="16">
        <v>1</v>
      </c>
      <c r="C536" s="9" t="s">
        <v>573</v>
      </c>
      <c r="D536" s="9" t="s">
        <v>21</v>
      </c>
      <c r="E536" s="9" t="s">
        <v>15</v>
      </c>
      <c r="G536" s="9" t="s">
        <v>14</v>
      </c>
      <c r="H536" t="s">
        <v>406</v>
      </c>
    </row>
    <row r="537" spans="1:8" x14ac:dyDescent="0.3">
      <c r="A537" t="s">
        <v>408</v>
      </c>
      <c r="B537" s="12">
        <v>1.3100000000000001E-4</v>
      </c>
      <c r="C537" t="s">
        <v>574</v>
      </c>
      <c r="D537" t="s">
        <v>21</v>
      </c>
      <c r="E537" t="s">
        <v>15</v>
      </c>
      <c r="G537" t="s">
        <v>25</v>
      </c>
      <c r="H537" t="s">
        <v>424</v>
      </c>
    </row>
    <row r="538" spans="1:8" x14ac:dyDescent="0.3">
      <c r="A538" t="s">
        <v>409</v>
      </c>
      <c r="B538" s="12">
        <v>4.5200000000000001E-5</v>
      </c>
      <c r="C538" t="s">
        <v>574</v>
      </c>
      <c r="D538" t="s">
        <v>23</v>
      </c>
      <c r="E538" t="s">
        <v>15</v>
      </c>
      <c r="G538" t="s">
        <v>25</v>
      </c>
      <c r="H538" t="s">
        <v>144</v>
      </c>
    </row>
    <row r="539" spans="1:8" x14ac:dyDescent="0.3">
      <c r="A539" t="s">
        <v>410</v>
      </c>
      <c r="B539" s="12">
        <v>7.8300000000000006E-5</v>
      </c>
      <c r="C539" t="s">
        <v>574</v>
      </c>
      <c r="D539" t="s">
        <v>21</v>
      </c>
      <c r="E539" t="s">
        <v>15</v>
      </c>
      <c r="G539" t="s">
        <v>25</v>
      </c>
      <c r="H539" t="s">
        <v>145</v>
      </c>
    </row>
    <row r="540" spans="1:8" x14ac:dyDescent="0.3">
      <c r="A540" t="s">
        <v>411</v>
      </c>
      <c r="B540" s="12">
        <v>1.5099999999999999E-5</v>
      </c>
      <c r="C540" t="s">
        <v>574</v>
      </c>
      <c r="D540" t="s">
        <v>23</v>
      </c>
      <c r="E540" t="s">
        <v>15</v>
      </c>
      <c r="G540" t="s">
        <v>25</v>
      </c>
      <c r="H540" t="s">
        <v>425</v>
      </c>
    </row>
    <row r="541" spans="1:8" x14ac:dyDescent="0.3">
      <c r="A541" t="s">
        <v>412</v>
      </c>
      <c r="B541" s="12">
        <v>1E-4</v>
      </c>
      <c r="C541" t="s">
        <v>574</v>
      </c>
      <c r="D541" t="s">
        <v>21</v>
      </c>
      <c r="E541" t="s">
        <v>15</v>
      </c>
      <c r="G541" t="s">
        <v>25</v>
      </c>
      <c r="H541" t="s">
        <v>426</v>
      </c>
    </row>
    <row r="542" spans="1:8" x14ac:dyDescent="0.3">
      <c r="A542" t="s">
        <v>394</v>
      </c>
      <c r="B542" s="12">
        <v>7.0300000000000001E-5</v>
      </c>
      <c r="C542" t="s">
        <v>574</v>
      </c>
      <c r="D542" t="s">
        <v>23</v>
      </c>
      <c r="E542" t="s">
        <v>24</v>
      </c>
      <c r="G542" t="s">
        <v>25</v>
      </c>
      <c r="H542" t="s">
        <v>151</v>
      </c>
    </row>
    <row r="543" spans="1:8" x14ac:dyDescent="0.3">
      <c r="A543" t="s">
        <v>413</v>
      </c>
      <c r="B543" s="12">
        <v>1.6099999999999999E-8</v>
      </c>
      <c r="C543" t="s">
        <v>574</v>
      </c>
      <c r="D543" t="s">
        <v>23</v>
      </c>
      <c r="E543" t="s">
        <v>15</v>
      </c>
      <c r="G543" t="s">
        <v>25</v>
      </c>
      <c r="H543" t="s">
        <v>147</v>
      </c>
    </row>
    <row r="544" spans="1:8" x14ac:dyDescent="0.3">
      <c r="A544" t="s">
        <v>414</v>
      </c>
      <c r="B544" s="12">
        <v>1.91E-3</v>
      </c>
      <c r="C544" t="s">
        <v>574</v>
      </c>
      <c r="D544" t="s">
        <v>21</v>
      </c>
      <c r="E544" t="s">
        <v>15</v>
      </c>
      <c r="G544" t="s">
        <v>25</v>
      </c>
      <c r="H544" t="s">
        <v>427</v>
      </c>
    </row>
    <row r="545" spans="1:19" x14ac:dyDescent="0.3">
      <c r="A545" t="s">
        <v>415</v>
      </c>
      <c r="B545" s="11">
        <v>7.8300000000000006E-5</v>
      </c>
      <c r="C545" t="s">
        <v>574</v>
      </c>
      <c r="D545" t="s">
        <v>21</v>
      </c>
      <c r="E545" t="s">
        <v>15</v>
      </c>
      <c r="G545" t="s">
        <v>25</v>
      </c>
      <c r="H545" t="s">
        <v>149</v>
      </c>
    </row>
    <row r="546" spans="1:19" x14ac:dyDescent="0.3">
      <c r="A546" t="s">
        <v>416</v>
      </c>
      <c r="B546" s="11">
        <v>3.4100000000000002E-5</v>
      </c>
      <c r="C546" t="s">
        <v>574</v>
      </c>
      <c r="D546" t="s">
        <v>21</v>
      </c>
      <c r="E546" t="s">
        <v>15</v>
      </c>
      <c r="G546" t="s">
        <v>25</v>
      </c>
      <c r="H546" t="s">
        <v>428</v>
      </c>
    </row>
    <row r="547" spans="1:19" x14ac:dyDescent="0.3">
      <c r="A547" t="s">
        <v>417</v>
      </c>
      <c r="B547" s="11">
        <v>2.6100000000000001E-5</v>
      </c>
      <c r="C547" t="s">
        <v>574</v>
      </c>
      <c r="D547" t="s">
        <v>21</v>
      </c>
      <c r="E547" t="s">
        <v>15</v>
      </c>
      <c r="G547" t="s">
        <v>25</v>
      </c>
      <c r="H547" t="s">
        <v>429</v>
      </c>
    </row>
    <row r="548" spans="1:19" x14ac:dyDescent="0.3">
      <c r="A548" t="s">
        <v>418</v>
      </c>
      <c r="B548" s="11">
        <v>0.01</v>
      </c>
      <c r="C548" t="s">
        <v>574</v>
      </c>
      <c r="D548" t="s">
        <v>21</v>
      </c>
      <c r="E548" t="s">
        <v>15</v>
      </c>
      <c r="G548" t="s">
        <v>25</v>
      </c>
      <c r="H548" t="s">
        <v>42</v>
      </c>
    </row>
    <row r="549" spans="1:19" x14ac:dyDescent="0.3">
      <c r="A549" t="s">
        <v>419</v>
      </c>
      <c r="B549" s="11">
        <v>1.1000000000000001E-3</v>
      </c>
      <c r="C549" t="s">
        <v>574</v>
      </c>
      <c r="D549" t="s">
        <v>23</v>
      </c>
      <c r="E549" t="s">
        <v>15</v>
      </c>
      <c r="G549" t="s">
        <v>25</v>
      </c>
      <c r="H549" t="s">
        <v>159</v>
      </c>
    </row>
    <row r="550" spans="1:19" x14ac:dyDescent="0.3">
      <c r="A550" t="s">
        <v>396</v>
      </c>
      <c r="B550" s="11">
        <v>8.6300000000000005E-3</v>
      </c>
      <c r="C550" t="s">
        <v>574</v>
      </c>
      <c r="D550" t="s">
        <v>23</v>
      </c>
      <c r="E550" t="s">
        <v>15</v>
      </c>
      <c r="G550" t="s">
        <v>25</v>
      </c>
      <c r="H550" t="s">
        <v>28</v>
      </c>
    </row>
    <row r="551" spans="1:19" x14ac:dyDescent="0.3">
      <c r="A551" t="s">
        <v>420</v>
      </c>
      <c r="B551" s="11">
        <v>1.1E-4</v>
      </c>
      <c r="C551" t="s">
        <v>574</v>
      </c>
      <c r="D551" t="s">
        <v>21</v>
      </c>
      <c r="E551" t="s">
        <v>15</v>
      </c>
      <c r="G551" t="s">
        <v>25</v>
      </c>
      <c r="H551" t="s">
        <v>430</v>
      </c>
    </row>
    <row r="552" spans="1:19" x14ac:dyDescent="0.3">
      <c r="A552" t="s">
        <v>421</v>
      </c>
      <c r="B552" s="11">
        <v>1E-3</v>
      </c>
      <c r="C552" t="s">
        <v>574</v>
      </c>
      <c r="D552" t="s">
        <v>21</v>
      </c>
      <c r="E552" t="s">
        <v>76</v>
      </c>
      <c r="G552" t="s">
        <v>25</v>
      </c>
      <c r="H552" t="s">
        <v>77</v>
      </c>
    </row>
    <row r="553" spans="1:19" x14ac:dyDescent="0.3">
      <c r="A553" t="s">
        <v>422</v>
      </c>
      <c r="B553" s="11">
        <v>8.8400000000000006E-3</v>
      </c>
      <c r="C553" t="s">
        <v>574</v>
      </c>
      <c r="D553" t="s">
        <v>21</v>
      </c>
      <c r="E553" t="s">
        <v>24</v>
      </c>
      <c r="G553" t="s">
        <v>25</v>
      </c>
      <c r="H553" t="s">
        <v>26</v>
      </c>
    </row>
    <row r="554" spans="1:19" x14ac:dyDescent="0.3">
      <c r="A554" t="s">
        <v>423</v>
      </c>
      <c r="B554" s="11">
        <v>1.03E-4</v>
      </c>
      <c r="C554" s="9" t="s">
        <v>573</v>
      </c>
      <c r="D554" t="s">
        <v>21</v>
      </c>
      <c r="E554" t="s">
        <v>15</v>
      </c>
      <c r="G554" t="s">
        <v>25</v>
      </c>
      <c r="H554" t="s">
        <v>423</v>
      </c>
    </row>
    <row r="555" spans="1:19" x14ac:dyDescent="0.3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x14ac:dyDescent="0.3">
      <c r="A556" s="8" t="s">
        <v>1</v>
      </c>
      <c r="B556" s="8" t="s">
        <v>439</v>
      </c>
    </row>
    <row r="557" spans="1:19" x14ac:dyDescent="0.3">
      <c r="A557" s="9" t="s">
        <v>2</v>
      </c>
      <c r="B557" t="s">
        <v>440</v>
      </c>
    </row>
    <row r="558" spans="1:19" x14ac:dyDescent="0.3">
      <c r="A558" s="9" t="s">
        <v>3</v>
      </c>
      <c r="B558" s="9" t="s">
        <v>21</v>
      </c>
    </row>
    <row r="559" spans="1:19" x14ac:dyDescent="0.3">
      <c r="A559" s="9" t="s">
        <v>5</v>
      </c>
      <c r="B559" s="9">
        <v>1</v>
      </c>
    </row>
    <row r="560" spans="1:19" x14ac:dyDescent="0.3">
      <c r="A560" s="9" t="s">
        <v>4</v>
      </c>
      <c r="B560" t="s">
        <v>439</v>
      </c>
    </row>
    <row r="561" spans="1:8" x14ac:dyDescent="0.3">
      <c r="A561" s="9" t="s">
        <v>6</v>
      </c>
      <c r="B561" s="9" t="s">
        <v>76</v>
      </c>
    </row>
    <row r="562" spans="1:8" x14ac:dyDescent="0.3">
      <c r="A562" s="8" t="s">
        <v>8</v>
      </c>
    </row>
    <row r="563" spans="1:8" x14ac:dyDescent="0.3">
      <c r="A563" s="9" t="s">
        <v>9</v>
      </c>
      <c r="B563" s="9" t="s">
        <v>10</v>
      </c>
      <c r="C563" s="9" t="s">
        <v>11</v>
      </c>
      <c r="D563" s="9" t="s">
        <v>3</v>
      </c>
      <c r="E563" s="9" t="s">
        <v>6</v>
      </c>
      <c r="F563" s="9" t="s">
        <v>12</v>
      </c>
      <c r="G563" s="9" t="s">
        <v>13</v>
      </c>
      <c r="H563" s="9" t="s">
        <v>4</v>
      </c>
    </row>
    <row r="564" spans="1:8" x14ac:dyDescent="0.3">
      <c r="A564" t="s">
        <v>439</v>
      </c>
      <c r="B564" s="16">
        <v>1</v>
      </c>
      <c r="C564" s="9" t="s">
        <v>573</v>
      </c>
      <c r="D564" s="9" t="s">
        <v>21</v>
      </c>
      <c r="E564" s="9" t="s">
        <v>76</v>
      </c>
      <c r="G564" s="9" t="s">
        <v>14</v>
      </c>
      <c r="H564" t="s">
        <v>439</v>
      </c>
    </row>
    <row r="565" spans="1:8" x14ac:dyDescent="0.3">
      <c r="A565" t="s">
        <v>360</v>
      </c>
      <c r="B565" s="13">
        <v>1.69</v>
      </c>
      <c r="C565" s="9" t="s">
        <v>573</v>
      </c>
      <c r="D565" t="s">
        <v>21</v>
      </c>
      <c r="E565" t="s">
        <v>15</v>
      </c>
      <c r="F565"/>
      <c r="G565" t="s">
        <v>25</v>
      </c>
      <c r="H565" t="s">
        <v>362</v>
      </c>
    </row>
    <row r="566" spans="1:8" x14ac:dyDescent="0.3">
      <c r="A566" t="s">
        <v>63</v>
      </c>
      <c r="B566" s="12">
        <v>5.3600000000000002E-5</v>
      </c>
      <c r="C566" t="s">
        <v>574</v>
      </c>
      <c r="D566" t="s">
        <v>21</v>
      </c>
      <c r="E566" t="s">
        <v>24</v>
      </c>
      <c r="G566" t="s">
        <v>25</v>
      </c>
      <c r="H566" t="s">
        <v>63</v>
      </c>
    </row>
    <row r="567" spans="1:8" x14ac:dyDescent="0.3">
      <c r="A567" t="s">
        <v>63</v>
      </c>
      <c r="B567" s="12">
        <v>5.3600000000000002E-5</v>
      </c>
      <c r="C567" t="s">
        <v>574</v>
      </c>
      <c r="D567" t="s">
        <v>21</v>
      </c>
      <c r="E567" t="s">
        <v>24</v>
      </c>
      <c r="G567" t="s">
        <v>25</v>
      </c>
      <c r="H567" t="s">
        <v>63</v>
      </c>
    </row>
    <row r="568" spans="1:8" x14ac:dyDescent="0.3">
      <c r="A568" t="s">
        <v>321</v>
      </c>
      <c r="B568" s="12">
        <v>1.23</v>
      </c>
      <c r="C568" t="s">
        <v>574</v>
      </c>
      <c r="D568" t="s">
        <v>23</v>
      </c>
      <c r="E568" t="s">
        <v>76</v>
      </c>
      <c r="G568" t="s">
        <v>25</v>
      </c>
      <c r="H568" t="s">
        <v>77</v>
      </c>
    </row>
    <row r="569" spans="1:8" x14ac:dyDescent="0.3">
      <c r="A569" t="s">
        <v>321</v>
      </c>
      <c r="B569" s="12">
        <v>1.23</v>
      </c>
      <c r="C569" t="s">
        <v>574</v>
      </c>
      <c r="D569" t="s">
        <v>23</v>
      </c>
      <c r="E569" t="s">
        <v>76</v>
      </c>
      <c r="G569" t="s">
        <v>25</v>
      </c>
      <c r="H569" t="s">
        <v>77</v>
      </c>
    </row>
    <row r="570" spans="1:8" x14ac:dyDescent="0.3">
      <c r="A570" t="s">
        <v>441</v>
      </c>
      <c r="B570" s="12">
        <v>4.06E-8</v>
      </c>
      <c r="C570" t="s">
        <v>574</v>
      </c>
      <c r="D570" t="s">
        <v>23</v>
      </c>
      <c r="E570" t="s">
        <v>7</v>
      </c>
      <c r="G570" t="s">
        <v>25</v>
      </c>
      <c r="H570" t="s">
        <v>447</v>
      </c>
    </row>
    <row r="571" spans="1:8" x14ac:dyDescent="0.3">
      <c r="A571" t="s">
        <v>441</v>
      </c>
      <c r="B571" s="12">
        <v>1.7599999999999999E-9</v>
      </c>
      <c r="C571" t="s">
        <v>574</v>
      </c>
      <c r="D571" t="s">
        <v>23</v>
      </c>
      <c r="E571" t="s">
        <v>7</v>
      </c>
      <c r="G571" t="s">
        <v>25</v>
      </c>
      <c r="H571" t="s">
        <v>447</v>
      </c>
    </row>
    <row r="572" spans="1:8" x14ac:dyDescent="0.3">
      <c r="A572" t="s">
        <v>442</v>
      </c>
      <c r="B572" s="12">
        <v>1.8900000000000001E-7</v>
      </c>
      <c r="C572" t="s">
        <v>574</v>
      </c>
      <c r="D572" t="s">
        <v>21</v>
      </c>
      <c r="E572" t="s">
        <v>15</v>
      </c>
      <c r="G572" t="s">
        <v>25</v>
      </c>
      <c r="H572" t="s">
        <v>187</v>
      </c>
    </row>
    <row r="573" spans="1:8" x14ac:dyDescent="0.3">
      <c r="A573" t="s">
        <v>442</v>
      </c>
      <c r="B573" s="12">
        <v>1.8900000000000001E-7</v>
      </c>
      <c r="C573" t="s">
        <v>574</v>
      </c>
      <c r="D573" t="s">
        <v>21</v>
      </c>
      <c r="E573" t="s">
        <v>15</v>
      </c>
      <c r="G573" t="s">
        <v>25</v>
      </c>
      <c r="H573" t="s">
        <v>187</v>
      </c>
    </row>
    <row r="574" spans="1:8" x14ac:dyDescent="0.3">
      <c r="A574" t="s">
        <v>443</v>
      </c>
      <c r="B574" s="12">
        <v>5.3199999999999999E-6</v>
      </c>
      <c r="C574" t="s">
        <v>574</v>
      </c>
      <c r="D574" t="s">
        <v>21</v>
      </c>
      <c r="E574" t="s">
        <v>15</v>
      </c>
      <c r="G574" t="s">
        <v>25</v>
      </c>
      <c r="H574" t="s">
        <v>448</v>
      </c>
    </row>
    <row r="575" spans="1:8" x14ac:dyDescent="0.3">
      <c r="A575" t="s">
        <v>443</v>
      </c>
      <c r="B575" s="12">
        <v>1.7600000000000001E-6</v>
      </c>
      <c r="C575" t="s">
        <v>574</v>
      </c>
      <c r="D575" t="s">
        <v>21</v>
      </c>
      <c r="E575" t="s">
        <v>15</v>
      </c>
      <c r="G575" t="s">
        <v>25</v>
      </c>
      <c r="H575" t="s">
        <v>448</v>
      </c>
    </row>
    <row r="576" spans="1:8" x14ac:dyDescent="0.3">
      <c r="A576" t="s">
        <v>444</v>
      </c>
      <c r="B576" s="12">
        <v>6.7299999999999999E-3</v>
      </c>
      <c r="C576" t="s">
        <v>574</v>
      </c>
      <c r="D576" t="s">
        <v>21</v>
      </c>
      <c r="E576" t="s">
        <v>15</v>
      </c>
      <c r="G576" t="s">
        <v>25</v>
      </c>
      <c r="H576" t="s">
        <v>290</v>
      </c>
    </row>
    <row r="577" spans="1:8" x14ac:dyDescent="0.3">
      <c r="A577" t="s">
        <v>445</v>
      </c>
      <c r="B577" s="12">
        <v>5.4099999999999999E-7</v>
      </c>
      <c r="C577" t="s">
        <v>574</v>
      </c>
      <c r="D577" t="s">
        <v>21</v>
      </c>
      <c r="E577" t="s">
        <v>15</v>
      </c>
      <c r="G577" t="s">
        <v>25</v>
      </c>
      <c r="H577" t="s">
        <v>449</v>
      </c>
    </row>
    <row r="578" spans="1:8" x14ac:dyDescent="0.3">
      <c r="A578" t="s">
        <v>445</v>
      </c>
      <c r="B578" s="12">
        <v>5.4099999999999999E-7</v>
      </c>
      <c r="C578" t="s">
        <v>574</v>
      </c>
      <c r="D578" t="s">
        <v>21</v>
      </c>
      <c r="E578" t="s">
        <v>15</v>
      </c>
      <c r="G578" t="s">
        <v>25</v>
      </c>
      <c r="H578" t="s">
        <v>449</v>
      </c>
    </row>
    <row r="579" spans="1:8" x14ac:dyDescent="0.3">
      <c r="A579" t="s">
        <v>397</v>
      </c>
      <c r="B579" s="12">
        <v>1.6500000000000001E-6</v>
      </c>
      <c r="C579" t="s">
        <v>574</v>
      </c>
      <c r="D579" t="s">
        <v>21</v>
      </c>
      <c r="E579" t="s">
        <v>76</v>
      </c>
      <c r="G579" t="s">
        <v>25</v>
      </c>
      <c r="H579" t="s">
        <v>184</v>
      </c>
    </row>
    <row r="580" spans="1:8" x14ac:dyDescent="0.3">
      <c r="A580" t="s">
        <v>397</v>
      </c>
      <c r="B580" s="12">
        <v>1.6500000000000001E-6</v>
      </c>
      <c r="C580" t="s">
        <v>574</v>
      </c>
      <c r="D580" t="s">
        <v>21</v>
      </c>
      <c r="E580" t="s">
        <v>76</v>
      </c>
      <c r="G580" t="s">
        <v>25</v>
      </c>
      <c r="H580" t="s">
        <v>184</v>
      </c>
    </row>
    <row r="581" spans="1:8" x14ac:dyDescent="0.3">
      <c r="A581" t="s">
        <v>446</v>
      </c>
      <c r="B581" s="12">
        <v>6.7299999999999999E-3</v>
      </c>
      <c r="C581" t="s">
        <v>574</v>
      </c>
      <c r="D581" t="s">
        <v>23</v>
      </c>
      <c r="E581" t="s">
        <v>15</v>
      </c>
      <c r="G581" t="s">
        <v>25</v>
      </c>
      <c r="H581" t="s">
        <v>450</v>
      </c>
    </row>
    <row r="582" spans="1:8" x14ac:dyDescent="0.3">
      <c r="A582" t="s">
        <v>451</v>
      </c>
      <c r="B582" s="12">
        <v>6.0000000000000002E-6</v>
      </c>
      <c r="C582" t="s">
        <v>16</v>
      </c>
      <c r="E582" t="s">
        <v>15</v>
      </c>
      <c r="F582" t="s">
        <v>359</v>
      </c>
      <c r="G582" t="s">
        <v>18</v>
      </c>
      <c r="H582"/>
    </row>
    <row r="583" spans="1:8" x14ac:dyDescent="0.3">
      <c r="A583" t="s">
        <v>452</v>
      </c>
      <c r="B583" s="12">
        <v>2.1500000000000001E-7</v>
      </c>
      <c r="C583" t="s">
        <v>16</v>
      </c>
      <c r="E583" t="s">
        <v>15</v>
      </c>
      <c r="F583" t="s">
        <v>359</v>
      </c>
      <c r="G583" t="s">
        <v>18</v>
      </c>
    </row>
    <row r="584" spans="1:8" x14ac:dyDescent="0.3">
      <c r="A584" t="s">
        <v>453</v>
      </c>
      <c r="B584" s="12">
        <v>1.5200000000000001E-6</v>
      </c>
      <c r="C584" t="s">
        <v>16</v>
      </c>
      <c r="E584" t="s">
        <v>15</v>
      </c>
      <c r="F584" t="s">
        <v>359</v>
      </c>
      <c r="G584" t="s">
        <v>18</v>
      </c>
    </row>
    <row r="585" spans="1:8" x14ac:dyDescent="0.3">
      <c r="A585" t="s">
        <v>211</v>
      </c>
      <c r="B585" s="12">
        <v>9.6500000000000001E-5</v>
      </c>
      <c r="C585" t="s">
        <v>16</v>
      </c>
      <c r="E585" t="s">
        <v>15</v>
      </c>
      <c r="F585" t="s">
        <v>359</v>
      </c>
      <c r="G585" t="s">
        <v>18</v>
      </c>
    </row>
    <row r="586" spans="1:8" x14ac:dyDescent="0.3">
      <c r="A586" t="s">
        <v>50</v>
      </c>
      <c r="B586" s="12">
        <v>-1.69</v>
      </c>
      <c r="C586" t="s">
        <v>16</v>
      </c>
      <c r="E586" t="s">
        <v>15</v>
      </c>
      <c r="F586" t="s">
        <v>359</v>
      </c>
      <c r="G586" t="s">
        <v>18</v>
      </c>
    </row>
    <row r="587" spans="1:8" x14ac:dyDescent="0.3">
      <c r="A587" t="s">
        <v>75</v>
      </c>
      <c r="B587" s="12">
        <v>4.8999999999999998E-4</v>
      </c>
      <c r="C587" t="s">
        <v>16</v>
      </c>
      <c r="E587" t="s">
        <v>15</v>
      </c>
      <c r="F587" t="s">
        <v>359</v>
      </c>
      <c r="G587" t="s">
        <v>18</v>
      </c>
    </row>
    <row r="588" spans="1:8" x14ac:dyDescent="0.3">
      <c r="A588" t="s">
        <v>454</v>
      </c>
      <c r="B588" s="12">
        <v>6.41E-9</v>
      </c>
      <c r="C588" t="s">
        <v>16</v>
      </c>
      <c r="E588" t="s">
        <v>15</v>
      </c>
      <c r="F588" t="s">
        <v>359</v>
      </c>
      <c r="G588" t="s">
        <v>18</v>
      </c>
    </row>
    <row r="589" spans="1:8" x14ac:dyDescent="0.3">
      <c r="A589" t="s">
        <v>455</v>
      </c>
      <c r="B589" s="12">
        <v>1.3200000000000001E-8</v>
      </c>
      <c r="C589" t="s">
        <v>16</v>
      </c>
      <c r="E589" t="s">
        <v>15</v>
      </c>
      <c r="F589" t="s">
        <v>359</v>
      </c>
      <c r="G589" t="s">
        <v>18</v>
      </c>
    </row>
    <row r="590" spans="1:8" x14ac:dyDescent="0.3">
      <c r="A590" t="s">
        <v>456</v>
      </c>
      <c r="B590" s="12">
        <v>1.3200000000000001E-8</v>
      </c>
      <c r="C590" t="s">
        <v>16</v>
      </c>
      <c r="E590" t="s">
        <v>15</v>
      </c>
      <c r="F590" t="s">
        <v>359</v>
      </c>
      <c r="G590" t="s">
        <v>18</v>
      </c>
    </row>
    <row r="591" spans="1:8" x14ac:dyDescent="0.3">
      <c r="A591" t="s">
        <v>457</v>
      </c>
      <c r="B591" s="12">
        <v>3.9000000000000002E-7</v>
      </c>
      <c r="C591" t="s">
        <v>16</v>
      </c>
      <c r="E591" t="s">
        <v>15</v>
      </c>
      <c r="F591" t="s">
        <v>359</v>
      </c>
      <c r="G591" t="s">
        <v>18</v>
      </c>
    </row>
    <row r="592" spans="1:8" x14ac:dyDescent="0.3">
      <c r="A592" t="s">
        <v>458</v>
      </c>
      <c r="B592" s="12">
        <v>1.7599999999999999E-7</v>
      </c>
      <c r="C592" t="s">
        <v>16</v>
      </c>
      <c r="E592" t="s">
        <v>15</v>
      </c>
      <c r="F592" t="s">
        <v>359</v>
      </c>
      <c r="G592" t="s">
        <v>18</v>
      </c>
    </row>
    <row r="593" spans="1:19" x14ac:dyDescent="0.3">
      <c r="A593" t="s">
        <v>459</v>
      </c>
      <c r="B593" s="12">
        <v>-1.86E-6</v>
      </c>
      <c r="C593" t="s">
        <v>16</v>
      </c>
      <c r="E593" t="s">
        <v>15</v>
      </c>
      <c r="F593" t="s">
        <v>359</v>
      </c>
      <c r="G593" t="s">
        <v>18</v>
      </c>
    </row>
    <row r="594" spans="1:19" x14ac:dyDescent="0.3">
      <c r="A594" t="s">
        <v>460</v>
      </c>
      <c r="B594" s="12">
        <v>-2.0299999999999999E-5</v>
      </c>
      <c r="C594" t="s">
        <v>16</v>
      </c>
      <c r="E594" t="s">
        <v>15</v>
      </c>
      <c r="F594" t="s">
        <v>359</v>
      </c>
      <c r="G594" t="s">
        <v>18</v>
      </c>
    </row>
    <row r="595" spans="1:19" x14ac:dyDescent="0.3">
      <c r="A595" t="s">
        <v>461</v>
      </c>
      <c r="B595" s="12">
        <v>1.81E-8</v>
      </c>
      <c r="C595" t="s">
        <v>16</v>
      </c>
      <c r="E595" t="s">
        <v>15</v>
      </c>
      <c r="F595" t="s">
        <v>359</v>
      </c>
      <c r="G595" t="s">
        <v>18</v>
      </c>
    </row>
    <row r="596" spans="1:19" x14ac:dyDescent="0.3">
      <c r="A596" t="s">
        <v>346</v>
      </c>
      <c r="B596" s="12">
        <v>8.9200000000000005E-8</v>
      </c>
      <c r="C596" t="s">
        <v>16</v>
      </c>
      <c r="E596" t="s">
        <v>15</v>
      </c>
      <c r="F596" t="s">
        <v>359</v>
      </c>
      <c r="G596" t="s">
        <v>18</v>
      </c>
    </row>
    <row r="597" spans="1:19" x14ac:dyDescent="0.3">
      <c r="A597" t="s">
        <v>91</v>
      </c>
      <c r="B597" s="12">
        <v>-2.0299999999999999E-5</v>
      </c>
      <c r="C597" t="s">
        <v>16</v>
      </c>
      <c r="E597" t="s">
        <v>15</v>
      </c>
      <c r="F597" t="s">
        <v>359</v>
      </c>
      <c r="G597" t="s">
        <v>18</v>
      </c>
    </row>
    <row r="598" spans="1:19" x14ac:dyDescent="0.3">
      <c r="A598" t="s">
        <v>115</v>
      </c>
      <c r="B598" s="12">
        <v>-2.87E-5</v>
      </c>
      <c r="C598" t="s">
        <v>16</v>
      </c>
      <c r="E598" t="s">
        <v>15</v>
      </c>
      <c r="F598" t="s">
        <v>359</v>
      </c>
      <c r="G598" t="s">
        <v>18</v>
      </c>
    </row>
    <row r="599" spans="1:19" x14ac:dyDescent="0.3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x14ac:dyDescent="0.3">
      <c r="A600" s="8" t="s">
        <v>1</v>
      </c>
      <c r="B600" s="8" t="s">
        <v>462</v>
      </c>
    </row>
    <row r="601" spans="1:19" x14ac:dyDescent="0.3">
      <c r="A601" s="9" t="s">
        <v>2</v>
      </c>
      <c r="B601" t="s">
        <v>463</v>
      </c>
    </row>
    <row r="602" spans="1:19" x14ac:dyDescent="0.3">
      <c r="A602" s="9" t="s">
        <v>3</v>
      </c>
      <c r="B602" s="9" t="s">
        <v>21</v>
      </c>
    </row>
    <row r="603" spans="1:19" x14ac:dyDescent="0.3">
      <c r="A603" s="9" t="s">
        <v>5</v>
      </c>
      <c r="B603" s="9">
        <v>1</v>
      </c>
    </row>
    <row r="604" spans="1:19" x14ac:dyDescent="0.3">
      <c r="A604" s="9" t="s">
        <v>4</v>
      </c>
      <c r="B604" t="s">
        <v>462</v>
      </c>
    </row>
    <row r="605" spans="1:19" x14ac:dyDescent="0.3">
      <c r="A605" s="9" t="s">
        <v>6</v>
      </c>
      <c r="B605" t="s">
        <v>15</v>
      </c>
    </row>
    <row r="606" spans="1:19" x14ac:dyDescent="0.3">
      <c r="A606" s="8" t="s">
        <v>8</v>
      </c>
    </row>
    <row r="607" spans="1:19" x14ac:dyDescent="0.3">
      <c r="A607" s="9" t="s">
        <v>9</v>
      </c>
      <c r="B607" s="9" t="s">
        <v>10</v>
      </c>
      <c r="C607" s="9" t="s">
        <v>11</v>
      </c>
      <c r="D607" s="9" t="s">
        <v>3</v>
      </c>
      <c r="E607" s="9" t="s">
        <v>6</v>
      </c>
      <c r="F607" s="9" t="s">
        <v>12</v>
      </c>
      <c r="G607" s="9" t="s">
        <v>13</v>
      </c>
      <c r="H607" s="9" t="s">
        <v>4</v>
      </c>
    </row>
    <row r="608" spans="1:19" x14ac:dyDescent="0.3">
      <c r="A608" t="s">
        <v>462</v>
      </c>
      <c r="B608" s="16">
        <v>1</v>
      </c>
      <c r="C608" s="9" t="s">
        <v>573</v>
      </c>
      <c r="D608" s="9" t="s">
        <v>21</v>
      </c>
      <c r="E608" t="s">
        <v>15</v>
      </c>
      <c r="G608" s="9" t="s">
        <v>14</v>
      </c>
      <c r="H608" t="s">
        <v>462</v>
      </c>
    </row>
    <row r="609" spans="1:19" x14ac:dyDescent="0.3">
      <c r="A609" t="s">
        <v>193</v>
      </c>
      <c r="B609" s="13">
        <v>5.28E-2</v>
      </c>
      <c r="C609" t="s">
        <v>574</v>
      </c>
      <c r="D609" t="s">
        <v>23</v>
      </c>
      <c r="E609" t="s">
        <v>15</v>
      </c>
      <c r="G609" t="s">
        <v>25</v>
      </c>
      <c r="H609" t="s">
        <v>194</v>
      </c>
    </row>
    <row r="610" spans="1:19" x14ac:dyDescent="0.3">
      <c r="A610" t="s">
        <v>432</v>
      </c>
      <c r="B610" s="13">
        <v>0.156</v>
      </c>
      <c r="C610" t="s">
        <v>574</v>
      </c>
      <c r="D610" t="s">
        <v>21</v>
      </c>
      <c r="E610" t="s">
        <v>15</v>
      </c>
      <c r="G610" t="s">
        <v>25</v>
      </c>
      <c r="H610" t="s">
        <v>196</v>
      </c>
    </row>
    <row r="611" spans="1:19" x14ac:dyDescent="0.3">
      <c r="A611" t="s">
        <v>464</v>
      </c>
      <c r="B611" s="13">
        <v>4.7899999999999998E-2</v>
      </c>
      <c r="C611" t="s">
        <v>574</v>
      </c>
      <c r="D611" t="s">
        <v>23</v>
      </c>
      <c r="E611" t="s">
        <v>15</v>
      </c>
      <c r="G611" t="s">
        <v>25</v>
      </c>
      <c r="H611" t="s">
        <v>198</v>
      </c>
    </row>
    <row r="612" spans="1:19" x14ac:dyDescent="0.3">
      <c r="A612" t="s">
        <v>433</v>
      </c>
      <c r="B612" s="13">
        <v>0.42099999999999999</v>
      </c>
      <c r="C612" t="s">
        <v>574</v>
      </c>
      <c r="D612" t="s">
        <v>21</v>
      </c>
      <c r="E612" t="s">
        <v>15</v>
      </c>
      <c r="G612" t="s">
        <v>25</v>
      </c>
      <c r="H612" t="s">
        <v>200</v>
      </c>
    </row>
    <row r="613" spans="1:19" x14ac:dyDescent="0.3">
      <c r="A613" t="s">
        <v>434</v>
      </c>
      <c r="B613" s="13">
        <v>0.127</v>
      </c>
      <c r="C613" t="s">
        <v>574</v>
      </c>
      <c r="D613" t="s">
        <v>23</v>
      </c>
      <c r="E613" t="s">
        <v>15</v>
      </c>
      <c r="G613" t="s">
        <v>25</v>
      </c>
      <c r="H613" t="s">
        <v>202</v>
      </c>
    </row>
    <row r="614" spans="1:19" x14ac:dyDescent="0.3">
      <c r="A614" t="s">
        <v>435</v>
      </c>
      <c r="B614" s="12">
        <v>4.6900000000000002E-4</v>
      </c>
      <c r="C614" t="s">
        <v>574</v>
      </c>
      <c r="D614" t="s">
        <v>23</v>
      </c>
      <c r="E614" t="s">
        <v>15</v>
      </c>
      <c r="G614" t="s">
        <v>25</v>
      </c>
      <c r="H614" t="s">
        <v>204</v>
      </c>
    </row>
    <row r="615" spans="1:19" x14ac:dyDescent="0.3">
      <c r="A615" t="s">
        <v>436</v>
      </c>
      <c r="B615" s="13">
        <v>3.2300000000000002E-2</v>
      </c>
      <c r="C615" t="s">
        <v>574</v>
      </c>
      <c r="D615" t="s">
        <v>23</v>
      </c>
      <c r="E615" t="s">
        <v>15</v>
      </c>
      <c r="G615" t="s">
        <v>25</v>
      </c>
      <c r="H615" t="s">
        <v>206</v>
      </c>
    </row>
    <row r="616" spans="1:19" x14ac:dyDescent="0.3">
      <c r="A616" t="s">
        <v>437</v>
      </c>
      <c r="B616" s="13">
        <v>8.6099999999999996E-2</v>
      </c>
      <c r="C616" t="s">
        <v>574</v>
      </c>
      <c r="D616" t="s">
        <v>21</v>
      </c>
      <c r="E616" t="s">
        <v>15</v>
      </c>
      <c r="G616" t="s">
        <v>25</v>
      </c>
      <c r="H616" t="s">
        <v>208</v>
      </c>
    </row>
    <row r="617" spans="1:19" x14ac:dyDescent="0.3">
      <c r="A617" t="s">
        <v>152</v>
      </c>
      <c r="B617" s="13">
        <v>0.85</v>
      </c>
      <c r="C617" t="s">
        <v>574</v>
      </c>
      <c r="D617" t="s">
        <v>23</v>
      </c>
      <c r="E617" t="s">
        <v>15</v>
      </c>
      <c r="G617" t="s">
        <v>25</v>
      </c>
      <c r="H617" t="s">
        <v>153</v>
      </c>
    </row>
    <row r="618" spans="1:19" x14ac:dyDescent="0.3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x14ac:dyDescent="0.3">
      <c r="A619" s="8" t="s">
        <v>1</v>
      </c>
      <c r="B619" s="8" t="s">
        <v>465</v>
      </c>
    </row>
    <row r="620" spans="1:19" x14ac:dyDescent="0.3">
      <c r="A620" s="9" t="s">
        <v>2</v>
      </c>
      <c r="B620" t="s">
        <v>466</v>
      </c>
    </row>
    <row r="621" spans="1:19" x14ac:dyDescent="0.3">
      <c r="A621" s="9" t="s">
        <v>3</v>
      </c>
      <c r="B621" s="9" t="s">
        <v>21</v>
      </c>
    </row>
    <row r="622" spans="1:19" x14ac:dyDescent="0.3">
      <c r="A622" s="9" t="s">
        <v>5</v>
      </c>
      <c r="B622" s="9">
        <v>1</v>
      </c>
    </row>
    <row r="623" spans="1:19" x14ac:dyDescent="0.3">
      <c r="A623" s="9" t="s">
        <v>4</v>
      </c>
      <c r="B623" t="s">
        <v>465</v>
      </c>
    </row>
    <row r="624" spans="1:19" x14ac:dyDescent="0.3">
      <c r="A624" s="9" t="s">
        <v>6</v>
      </c>
      <c r="B624" t="s">
        <v>15</v>
      </c>
    </row>
    <row r="625" spans="1:19" x14ac:dyDescent="0.3">
      <c r="A625" s="8" t="s">
        <v>8</v>
      </c>
    </row>
    <row r="626" spans="1:19" x14ac:dyDescent="0.3">
      <c r="A626" s="9" t="s">
        <v>9</v>
      </c>
      <c r="B626" s="9" t="s">
        <v>10</v>
      </c>
      <c r="C626" s="9" t="s">
        <v>11</v>
      </c>
      <c r="D626" s="9" t="s">
        <v>3</v>
      </c>
      <c r="E626" s="9" t="s">
        <v>6</v>
      </c>
      <c r="F626" s="9" t="s">
        <v>12</v>
      </c>
      <c r="G626" s="9" t="s">
        <v>13</v>
      </c>
      <c r="H626" s="9" t="s">
        <v>4</v>
      </c>
    </row>
    <row r="627" spans="1:19" x14ac:dyDescent="0.3">
      <c r="A627" t="s">
        <v>465</v>
      </c>
      <c r="B627" s="16">
        <v>1</v>
      </c>
      <c r="C627" s="9" t="s">
        <v>573</v>
      </c>
      <c r="D627" s="9" t="s">
        <v>21</v>
      </c>
      <c r="E627" t="s">
        <v>15</v>
      </c>
      <c r="G627" s="9" t="s">
        <v>14</v>
      </c>
      <c r="H627" t="s">
        <v>465</v>
      </c>
    </row>
    <row r="628" spans="1:19" x14ac:dyDescent="0.3">
      <c r="A628" t="s">
        <v>467</v>
      </c>
      <c r="B628" s="12">
        <v>7.0999999999999998E-6</v>
      </c>
      <c r="C628" t="s">
        <v>574</v>
      </c>
      <c r="D628" t="s">
        <v>21</v>
      </c>
      <c r="E628" t="s">
        <v>15</v>
      </c>
      <c r="G628" t="s">
        <v>25</v>
      </c>
      <c r="H628" t="s">
        <v>471</v>
      </c>
    </row>
    <row r="629" spans="1:19" x14ac:dyDescent="0.3">
      <c r="A629" t="s">
        <v>468</v>
      </c>
      <c r="B629" s="12">
        <v>1.2849999999999999E-3</v>
      </c>
      <c r="C629" t="s">
        <v>574</v>
      </c>
      <c r="D629" t="s">
        <v>23</v>
      </c>
      <c r="E629" t="s">
        <v>15</v>
      </c>
      <c r="G629" t="s">
        <v>25</v>
      </c>
      <c r="H629" t="s">
        <v>298</v>
      </c>
    </row>
    <row r="630" spans="1:19" x14ac:dyDescent="0.3">
      <c r="A630" t="s">
        <v>242</v>
      </c>
      <c r="B630" s="12">
        <v>4.6349999999999997E-6</v>
      </c>
      <c r="C630" t="s">
        <v>574</v>
      </c>
      <c r="D630" t="s">
        <v>21</v>
      </c>
      <c r="E630" t="s">
        <v>15</v>
      </c>
      <c r="G630" t="s">
        <v>25</v>
      </c>
      <c r="H630" t="s">
        <v>243</v>
      </c>
    </row>
    <row r="631" spans="1:19" x14ac:dyDescent="0.3">
      <c r="A631" t="s">
        <v>469</v>
      </c>
      <c r="B631" s="12">
        <v>1.7650000000000001E-3</v>
      </c>
      <c r="C631" t="s">
        <v>574</v>
      </c>
      <c r="D631" t="s">
        <v>21</v>
      </c>
      <c r="E631" t="s">
        <v>15</v>
      </c>
      <c r="G631" t="s">
        <v>25</v>
      </c>
      <c r="H631" t="s">
        <v>472</v>
      </c>
    </row>
    <row r="632" spans="1:19" x14ac:dyDescent="0.3">
      <c r="A632" t="s">
        <v>470</v>
      </c>
      <c r="B632" s="12">
        <v>7.7999999999999999E-4</v>
      </c>
      <c r="C632" t="s">
        <v>574</v>
      </c>
      <c r="D632" t="s">
        <v>21</v>
      </c>
      <c r="E632" t="s">
        <v>15</v>
      </c>
      <c r="G632" t="s">
        <v>25</v>
      </c>
      <c r="H632" t="s">
        <v>252</v>
      </c>
    </row>
    <row r="633" spans="1:19" x14ac:dyDescent="0.3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x14ac:dyDescent="0.3">
      <c r="A634" s="8" t="s">
        <v>1</v>
      </c>
      <c r="B634" s="8" t="s">
        <v>488</v>
      </c>
    </row>
    <row r="635" spans="1:19" x14ac:dyDescent="0.3">
      <c r="A635" s="9" t="s">
        <v>2</v>
      </c>
      <c r="B635" t="s">
        <v>489</v>
      </c>
    </row>
    <row r="636" spans="1:19" x14ac:dyDescent="0.3">
      <c r="A636" s="9" t="s">
        <v>3</v>
      </c>
      <c r="B636" s="9" t="s">
        <v>21</v>
      </c>
    </row>
    <row r="637" spans="1:19" x14ac:dyDescent="0.3">
      <c r="A637" s="9" t="s">
        <v>5</v>
      </c>
      <c r="B637" s="9">
        <v>1</v>
      </c>
    </row>
    <row r="638" spans="1:19" x14ac:dyDescent="0.3">
      <c r="A638" s="9" t="s">
        <v>4</v>
      </c>
      <c r="B638" t="s">
        <v>488</v>
      </c>
    </row>
    <row r="639" spans="1:19" x14ac:dyDescent="0.3">
      <c r="A639" s="9" t="s">
        <v>6</v>
      </c>
      <c r="B639" t="s">
        <v>15</v>
      </c>
    </row>
    <row r="640" spans="1:19" x14ac:dyDescent="0.3">
      <c r="A640" s="8" t="s">
        <v>8</v>
      </c>
    </row>
    <row r="641" spans="1:8" x14ac:dyDescent="0.3">
      <c r="A641" s="9" t="s">
        <v>9</v>
      </c>
      <c r="B641" s="9" t="s">
        <v>10</v>
      </c>
      <c r="C641" s="9" t="s">
        <v>11</v>
      </c>
      <c r="D641" s="9" t="s">
        <v>3</v>
      </c>
      <c r="E641" s="9" t="s">
        <v>6</v>
      </c>
      <c r="F641" s="9" t="s">
        <v>12</v>
      </c>
      <c r="G641" s="9" t="s">
        <v>13</v>
      </c>
      <c r="H641" s="9" t="s">
        <v>4</v>
      </c>
    </row>
    <row r="642" spans="1:8" x14ac:dyDescent="0.3">
      <c r="A642" t="s">
        <v>488</v>
      </c>
      <c r="B642" s="16">
        <v>1</v>
      </c>
      <c r="C642" s="9" t="s">
        <v>573</v>
      </c>
      <c r="D642" s="9" t="s">
        <v>21</v>
      </c>
      <c r="E642" t="s">
        <v>15</v>
      </c>
      <c r="G642" s="9" t="s">
        <v>14</v>
      </c>
      <c r="H642" t="s">
        <v>488</v>
      </c>
    </row>
    <row r="643" spans="1:8" x14ac:dyDescent="0.3">
      <c r="A643" s="9" t="s">
        <v>390</v>
      </c>
      <c r="B643" s="11">
        <v>1.4814799999999999E-5</v>
      </c>
      <c r="C643" s="9" t="s">
        <v>573</v>
      </c>
      <c r="D643" s="9" t="s">
        <v>21</v>
      </c>
      <c r="E643" s="9" t="s">
        <v>15</v>
      </c>
      <c r="G643" t="s">
        <v>25</v>
      </c>
      <c r="H643" t="s">
        <v>390</v>
      </c>
    </row>
    <row r="644" spans="1:8" x14ac:dyDescent="0.3">
      <c r="A644" t="s">
        <v>462</v>
      </c>
      <c r="B644" s="11">
        <v>1.13E-4</v>
      </c>
      <c r="C644" s="9" t="s">
        <v>573</v>
      </c>
      <c r="D644" s="9" t="s">
        <v>21</v>
      </c>
      <c r="E644" t="s">
        <v>15</v>
      </c>
      <c r="G644" t="s">
        <v>25</v>
      </c>
      <c r="H644" t="s">
        <v>462</v>
      </c>
    </row>
    <row r="645" spans="1:8" x14ac:dyDescent="0.3">
      <c r="A645" t="s">
        <v>143</v>
      </c>
      <c r="B645" s="12">
        <v>2.5000000000000001E-5</v>
      </c>
      <c r="C645" t="s">
        <v>574</v>
      </c>
      <c r="D645" t="s">
        <v>23</v>
      </c>
      <c r="E645" t="s">
        <v>15</v>
      </c>
      <c r="G645" t="s">
        <v>25</v>
      </c>
      <c r="H645" t="s">
        <v>144</v>
      </c>
    </row>
    <row r="646" spans="1:8" x14ac:dyDescent="0.3">
      <c r="A646" t="s">
        <v>143</v>
      </c>
      <c r="B646" s="12">
        <v>3.17098E-8</v>
      </c>
      <c r="C646" t="s">
        <v>574</v>
      </c>
      <c r="D646" t="s">
        <v>23</v>
      </c>
      <c r="E646" t="s">
        <v>15</v>
      </c>
      <c r="G646" t="s">
        <v>25</v>
      </c>
      <c r="H646" t="s">
        <v>144</v>
      </c>
    </row>
    <row r="647" spans="1:8" x14ac:dyDescent="0.3">
      <c r="A647" t="s">
        <v>490</v>
      </c>
      <c r="B647" s="12">
        <v>8.3333300000000007E-6</v>
      </c>
      <c r="C647" t="s">
        <v>574</v>
      </c>
      <c r="D647" t="s">
        <v>21</v>
      </c>
      <c r="E647" t="s">
        <v>15</v>
      </c>
      <c r="G647" t="s">
        <v>25</v>
      </c>
      <c r="H647" t="s">
        <v>142</v>
      </c>
    </row>
    <row r="648" spans="1:8" x14ac:dyDescent="0.3">
      <c r="A648" s="9" t="s">
        <v>491</v>
      </c>
      <c r="B648" s="11">
        <v>5.1851900000000001E-6</v>
      </c>
      <c r="C648" t="s">
        <v>574</v>
      </c>
      <c r="D648" t="s">
        <v>23</v>
      </c>
      <c r="E648" t="s">
        <v>15</v>
      </c>
      <c r="G648" t="s">
        <v>25</v>
      </c>
      <c r="H648" t="s">
        <v>493</v>
      </c>
    </row>
    <row r="649" spans="1:8" x14ac:dyDescent="0.3">
      <c r="A649" s="9" t="s">
        <v>442</v>
      </c>
      <c r="B649" s="11">
        <v>4.1666699999999999E-6</v>
      </c>
      <c r="C649" t="s">
        <v>574</v>
      </c>
      <c r="D649" t="s">
        <v>21</v>
      </c>
      <c r="E649" t="s">
        <v>15</v>
      </c>
      <c r="G649" t="s">
        <v>25</v>
      </c>
      <c r="H649" t="s">
        <v>187</v>
      </c>
    </row>
    <row r="650" spans="1:8" x14ac:dyDescent="0.3">
      <c r="A650" s="9" t="s">
        <v>442</v>
      </c>
      <c r="B650" s="11">
        <v>3.17098E-8</v>
      </c>
      <c r="C650" t="s">
        <v>574</v>
      </c>
      <c r="D650" t="s">
        <v>21</v>
      </c>
      <c r="E650" t="s">
        <v>15</v>
      </c>
      <c r="G650" t="s">
        <v>25</v>
      </c>
      <c r="H650" t="s">
        <v>187</v>
      </c>
    </row>
    <row r="651" spans="1:8" x14ac:dyDescent="0.3">
      <c r="A651" s="9" t="s">
        <v>492</v>
      </c>
      <c r="B651" s="11">
        <v>1.01852E-6</v>
      </c>
      <c r="C651" t="s">
        <v>574</v>
      </c>
      <c r="D651" t="s">
        <v>21</v>
      </c>
      <c r="E651" t="s">
        <v>15</v>
      </c>
      <c r="G651" t="s">
        <v>25</v>
      </c>
      <c r="H651" t="s">
        <v>494</v>
      </c>
    </row>
    <row r="652" spans="1:8" x14ac:dyDescent="0.3">
      <c r="A652" s="9" t="s">
        <v>435</v>
      </c>
      <c r="B652" s="11">
        <v>1.85185E-7</v>
      </c>
      <c r="C652" t="s">
        <v>574</v>
      </c>
      <c r="D652" t="s">
        <v>23</v>
      </c>
      <c r="E652" t="s">
        <v>15</v>
      </c>
      <c r="G652" t="s">
        <v>25</v>
      </c>
      <c r="H652" t="s">
        <v>204</v>
      </c>
    </row>
    <row r="653" spans="1:8" x14ac:dyDescent="0.3">
      <c r="A653" s="9" t="s">
        <v>415</v>
      </c>
      <c r="B653" s="11">
        <v>2.7777799999999999E-7</v>
      </c>
      <c r="C653" t="s">
        <v>574</v>
      </c>
      <c r="D653" t="s">
        <v>21</v>
      </c>
      <c r="E653" t="s">
        <v>15</v>
      </c>
      <c r="G653" t="s">
        <v>25</v>
      </c>
      <c r="H653" t="s">
        <v>149</v>
      </c>
    </row>
    <row r="654" spans="1:8" x14ac:dyDescent="0.3">
      <c r="A654" s="9" t="s">
        <v>365</v>
      </c>
      <c r="B654" s="11">
        <v>2.1245600000000001E-6</v>
      </c>
      <c r="C654" t="s">
        <v>574</v>
      </c>
      <c r="D654" t="s">
        <v>21</v>
      </c>
      <c r="E654" t="s">
        <v>15</v>
      </c>
      <c r="G654" t="s">
        <v>25</v>
      </c>
      <c r="H654" t="s">
        <v>44</v>
      </c>
    </row>
    <row r="655" spans="1:8" x14ac:dyDescent="0.3">
      <c r="A655" s="9" t="s">
        <v>41</v>
      </c>
      <c r="B655" s="11">
        <v>9.2592599999999998E-5</v>
      </c>
      <c r="C655" t="s">
        <v>574</v>
      </c>
      <c r="D655" t="s">
        <v>23</v>
      </c>
      <c r="E655" t="s">
        <v>15</v>
      </c>
      <c r="G655" t="s">
        <v>25</v>
      </c>
      <c r="H655" t="s">
        <v>42</v>
      </c>
    </row>
    <row r="656" spans="1:8" x14ac:dyDescent="0.3">
      <c r="A656" s="9" t="s">
        <v>154</v>
      </c>
      <c r="B656" s="11">
        <v>4.8888899999999995E-4</v>
      </c>
      <c r="C656" t="s">
        <v>574</v>
      </c>
      <c r="D656" t="s">
        <v>21</v>
      </c>
      <c r="E656" t="s">
        <v>15</v>
      </c>
      <c r="G656" t="s">
        <v>25</v>
      </c>
      <c r="H656" t="s">
        <v>155</v>
      </c>
    </row>
    <row r="657" spans="1:19" x14ac:dyDescent="0.3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x14ac:dyDescent="0.3">
      <c r="A658" s="8" t="s">
        <v>1</v>
      </c>
      <c r="B658" s="8" t="s">
        <v>507</v>
      </c>
    </row>
    <row r="659" spans="1:19" x14ac:dyDescent="0.3">
      <c r="A659" s="9" t="s">
        <v>2</v>
      </c>
      <c r="B659" t="s">
        <v>508</v>
      </c>
    </row>
    <row r="660" spans="1:19" x14ac:dyDescent="0.3">
      <c r="A660" s="9" t="s">
        <v>3</v>
      </c>
      <c r="B660" s="9" t="s">
        <v>21</v>
      </c>
    </row>
    <row r="661" spans="1:19" x14ac:dyDescent="0.3">
      <c r="A661" s="9" t="s">
        <v>5</v>
      </c>
      <c r="B661" s="9">
        <v>1</v>
      </c>
    </row>
    <row r="662" spans="1:19" x14ac:dyDescent="0.3">
      <c r="A662" s="9" t="s">
        <v>4</v>
      </c>
      <c r="B662" t="s">
        <v>507</v>
      </c>
    </row>
    <row r="663" spans="1:19" x14ac:dyDescent="0.3">
      <c r="A663" s="9" t="s">
        <v>6</v>
      </c>
      <c r="B663" s="9" t="s">
        <v>15</v>
      </c>
    </row>
    <row r="664" spans="1:19" x14ac:dyDescent="0.3">
      <c r="A664" s="8" t="s">
        <v>8</v>
      </c>
    </row>
    <row r="665" spans="1:19" x14ac:dyDescent="0.3">
      <c r="A665" s="9" t="s">
        <v>9</v>
      </c>
      <c r="B665" s="9" t="s">
        <v>10</v>
      </c>
      <c r="C665" s="9" t="s">
        <v>11</v>
      </c>
      <c r="D665" s="9" t="s">
        <v>3</v>
      </c>
      <c r="E665" s="9" t="s">
        <v>6</v>
      </c>
      <c r="F665" s="9" t="s">
        <v>12</v>
      </c>
      <c r="G665" s="9" t="s">
        <v>13</v>
      </c>
      <c r="H665" s="9" t="s">
        <v>4</v>
      </c>
    </row>
    <row r="666" spans="1:19" x14ac:dyDescent="0.3">
      <c r="A666" s="9" t="s">
        <v>507</v>
      </c>
      <c r="B666" s="16">
        <v>1</v>
      </c>
      <c r="C666" s="9" t="s">
        <v>573</v>
      </c>
      <c r="D666" s="9" t="s">
        <v>21</v>
      </c>
      <c r="E666" s="9" t="s">
        <v>15</v>
      </c>
      <c r="G666" s="9" t="s">
        <v>14</v>
      </c>
      <c r="H666" t="s">
        <v>507</v>
      </c>
    </row>
    <row r="667" spans="1:19" x14ac:dyDescent="0.3">
      <c r="A667" t="s">
        <v>421</v>
      </c>
      <c r="B667" s="11">
        <v>5.5500500000000002E-5</v>
      </c>
      <c r="C667" t="s">
        <v>574</v>
      </c>
      <c r="D667" t="s">
        <v>21</v>
      </c>
      <c r="E667" t="s">
        <v>76</v>
      </c>
      <c r="G667" t="s">
        <v>25</v>
      </c>
      <c r="H667" t="s">
        <v>77</v>
      </c>
    </row>
    <row r="668" spans="1:19" x14ac:dyDescent="0.3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x14ac:dyDescent="0.3">
      <c r="A669" s="8" t="s">
        <v>1</v>
      </c>
      <c r="B669" s="8" t="s">
        <v>568</v>
      </c>
    </row>
    <row r="670" spans="1:19" x14ac:dyDescent="0.3">
      <c r="A670" s="9" t="s">
        <v>2</v>
      </c>
      <c r="B670" t="s">
        <v>569</v>
      </c>
    </row>
    <row r="671" spans="1:19" x14ac:dyDescent="0.3">
      <c r="A671" s="9" t="s">
        <v>3</v>
      </c>
      <c r="B671" s="9" t="s">
        <v>21</v>
      </c>
    </row>
    <row r="672" spans="1:19" x14ac:dyDescent="0.3">
      <c r="A672" s="9" t="s">
        <v>5</v>
      </c>
      <c r="B672" s="9">
        <v>1</v>
      </c>
    </row>
    <row r="673" spans="1:19" x14ac:dyDescent="0.3">
      <c r="A673" s="9" t="s">
        <v>4</v>
      </c>
      <c r="B673" t="s">
        <v>570</v>
      </c>
    </row>
    <row r="674" spans="1:19" x14ac:dyDescent="0.3">
      <c r="A674" s="9" t="s">
        <v>6</v>
      </c>
      <c r="B674" s="9" t="s">
        <v>15</v>
      </c>
    </row>
    <row r="675" spans="1:19" x14ac:dyDescent="0.3">
      <c r="A675" s="8" t="s">
        <v>8</v>
      </c>
    </row>
    <row r="676" spans="1:19" x14ac:dyDescent="0.3">
      <c r="A676" s="9" t="s">
        <v>9</v>
      </c>
      <c r="B676" s="9" t="s">
        <v>10</v>
      </c>
      <c r="C676" s="9" t="s">
        <v>11</v>
      </c>
      <c r="D676" s="9" t="s">
        <v>3</v>
      </c>
      <c r="E676" s="9" t="s">
        <v>6</v>
      </c>
      <c r="F676" s="9" t="s">
        <v>12</v>
      </c>
      <c r="G676" s="9" t="s">
        <v>13</v>
      </c>
      <c r="H676" s="9" t="s">
        <v>4</v>
      </c>
    </row>
    <row r="677" spans="1:19" x14ac:dyDescent="0.3">
      <c r="A677" s="9" t="s">
        <v>568</v>
      </c>
      <c r="B677" s="16">
        <v>1</v>
      </c>
      <c r="C677" s="9" t="s">
        <v>573</v>
      </c>
      <c r="D677" s="9" t="s">
        <v>21</v>
      </c>
      <c r="E677" s="9" t="s">
        <v>15</v>
      </c>
      <c r="G677" s="9" t="s">
        <v>14</v>
      </c>
      <c r="H677" t="s">
        <v>570</v>
      </c>
    </row>
    <row r="678" spans="1:19" x14ac:dyDescent="0.3">
      <c r="A678" s="7" t="s">
        <v>571</v>
      </c>
      <c r="B678" s="23">
        <v>4.4321789115451698E-10</v>
      </c>
      <c r="C678" t="s">
        <v>574</v>
      </c>
      <c r="D678" t="s">
        <v>23</v>
      </c>
      <c r="E678" s="7" t="s">
        <v>6</v>
      </c>
      <c r="G678" t="s">
        <v>25</v>
      </c>
      <c r="H678" s="20" t="s">
        <v>572</v>
      </c>
    </row>
    <row r="679" spans="1:19" x14ac:dyDescent="0.3">
      <c r="A679" s="20" t="s">
        <v>81</v>
      </c>
      <c r="B679" s="23">
        <v>4.0000000000000001E-3</v>
      </c>
      <c r="C679" t="s">
        <v>16</v>
      </c>
      <c r="E679" s="7" t="s">
        <v>7</v>
      </c>
      <c r="F679" s="7" t="s">
        <v>82</v>
      </c>
      <c r="G679" t="s">
        <v>18</v>
      </c>
    </row>
    <row r="680" spans="1:19" x14ac:dyDescent="0.3">
      <c r="A680" s="7" t="s">
        <v>92</v>
      </c>
      <c r="B680" s="23">
        <f>2.45/997</f>
        <v>2.4573721163490474E-3</v>
      </c>
      <c r="C680" t="s">
        <v>16</v>
      </c>
      <c r="E680" s="7" t="s">
        <v>7</v>
      </c>
      <c r="F680" s="7" t="s">
        <v>93</v>
      </c>
      <c r="G680" t="s">
        <v>18</v>
      </c>
    </row>
    <row r="681" spans="1:19" x14ac:dyDescent="0.3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x14ac:dyDescent="0.3">
      <c r="A682" s="30" t="s">
        <v>1</v>
      </c>
      <c r="B682" s="30" t="s">
        <v>519</v>
      </c>
      <c r="C682" s="19"/>
      <c r="D682" s="7"/>
      <c r="E682" s="7"/>
      <c r="F682" s="7"/>
      <c r="G682" s="7"/>
      <c r="H682" s="7"/>
    </row>
    <row r="683" spans="1:19" x14ac:dyDescent="0.3">
      <c r="A683" s="30" t="s">
        <v>2</v>
      </c>
      <c r="B683" s="7" t="s">
        <v>577</v>
      </c>
      <c r="C683" s="19"/>
      <c r="D683" s="7"/>
      <c r="E683" s="7"/>
      <c r="F683" s="7"/>
      <c r="G683" s="7"/>
      <c r="H683" s="7"/>
    </row>
    <row r="684" spans="1:19" x14ac:dyDescent="0.3">
      <c r="A684" s="30" t="s">
        <v>3</v>
      </c>
      <c r="B684" s="21" t="s">
        <v>21</v>
      </c>
      <c r="C684" s="19"/>
      <c r="D684" s="7"/>
      <c r="E684" s="7"/>
      <c r="F684" s="7"/>
      <c r="G684" s="7"/>
      <c r="H684" s="7"/>
    </row>
    <row r="685" spans="1:19" x14ac:dyDescent="0.3">
      <c r="A685" s="8" t="s">
        <v>4</v>
      </c>
      <c r="B685" s="7" t="s">
        <v>519</v>
      </c>
      <c r="C685" s="19"/>
      <c r="D685" s="7"/>
      <c r="E685" s="7"/>
      <c r="F685" s="7"/>
      <c r="G685" s="7"/>
      <c r="H685" s="7"/>
    </row>
    <row r="686" spans="1:19" x14ac:dyDescent="0.3">
      <c r="A686" s="30" t="s">
        <v>5</v>
      </c>
      <c r="B686" s="20">
        <v>1</v>
      </c>
      <c r="C686" s="19"/>
      <c r="D686" s="31"/>
      <c r="E686" s="7"/>
      <c r="F686" s="7"/>
      <c r="G686" s="7"/>
      <c r="H686" s="7"/>
    </row>
    <row r="687" spans="1:19" x14ac:dyDescent="0.3">
      <c r="A687" s="30" t="s">
        <v>6</v>
      </c>
      <c r="B687" s="7" t="s">
        <v>15</v>
      </c>
      <c r="C687" s="19"/>
      <c r="D687" s="31"/>
      <c r="E687" s="7"/>
      <c r="F687" s="7"/>
      <c r="G687" s="7"/>
      <c r="H687" s="7"/>
    </row>
    <row r="688" spans="1:19" x14ac:dyDescent="0.3">
      <c r="A688" s="30" t="s">
        <v>8</v>
      </c>
      <c r="B688" s="7"/>
      <c r="C688" s="19"/>
      <c r="D688" s="31"/>
      <c r="E688" s="7"/>
      <c r="F688" s="7"/>
      <c r="G688" s="7"/>
      <c r="H688" s="7"/>
    </row>
    <row r="689" spans="1:8" x14ac:dyDescent="0.3">
      <c r="A689" s="7" t="s">
        <v>9</v>
      </c>
      <c r="B689" s="19" t="s">
        <v>10</v>
      </c>
      <c r="C689" s="7" t="s">
        <v>11</v>
      </c>
      <c r="D689" s="7" t="s">
        <v>3</v>
      </c>
      <c r="E689" s="7" t="s">
        <v>6</v>
      </c>
      <c r="F689" s="7" t="s">
        <v>12</v>
      </c>
      <c r="G689" s="7" t="s">
        <v>13</v>
      </c>
      <c r="H689" s="7" t="s">
        <v>4</v>
      </c>
    </row>
    <row r="690" spans="1:8" x14ac:dyDescent="0.3">
      <c r="A690" s="21" t="s">
        <v>519</v>
      </c>
      <c r="B690" s="22">
        <v>1</v>
      </c>
      <c r="C690" s="9" t="s">
        <v>573</v>
      </c>
      <c r="D690" s="21" t="s">
        <v>21</v>
      </c>
      <c r="E690" t="s">
        <v>15</v>
      </c>
      <c r="F690" s="21"/>
      <c r="G690" s="21" t="s">
        <v>14</v>
      </c>
      <c r="H690" s="21" t="s">
        <v>519</v>
      </c>
    </row>
    <row r="691" spans="1:8" x14ac:dyDescent="0.3">
      <c r="A691" t="s">
        <v>421</v>
      </c>
      <c r="B691" s="22">
        <v>0.38400000000000001</v>
      </c>
      <c r="C691" t="s">
        <v>574</v>
      </c>
      <c r="D691" t="s">
        <v>21</v>
      </c>
      <c r="E691" t="s">
        <v>76</v>
      </c>
      <c r="F691" s="21"/>
      <c r="G691" s="21" t="s">
        <v>25</v>
      </c>
      <c r="H691" t="s">
        <v>77</v>
      </c>
    </row>
    <row r="692" spans="1:8" x14ac:dyDescent="0.3">
      <c r="A692" t="s">
        <v>578</v>
      </c>
      <c r="B692" s="12">
        <v>8.2699999999999996E-11</v>
      </c>
      <c r="C692" t="s">
        <v>574</v>
      </c>
      <c r="D692" t="s">
        <v>23</v>
      </c>
      <c r="E692" t="s">
        <v>6</v>
      </c>
      <c r="F692"/>
      <c r="G692" s="21" t="s">
        <v>25</v>
      </c>
      <c r="H692" t="s">
        <v>579</v>
      </c>
    </row>
    <row r="693" spans="1:8" x14ac:dyDescent="0.3">
      <c r="A693" t="s">
        <v>580</v>
      </c>
      <c r="B693" s="12">
        <v>7.4400000000000002E-10</v>
      </c>
      <c r="C693" t="s">
        <v>574</v>
      </c>
      <c r="D693" t="s">
        <v>21</v>
      </c>
      <c r="E693" t="s">
        <v>6</v>
      </c>
      <c r="F693"/>
      <c r="G693" s="21" t="s">
        <v>25</v>
      </c>
      <c r="H693" t="s">
        <v>581</v>
      </c>
    </row>
    <row r="694" spans="1:8" x14ac:dyDescent="0.3">
      <c r="A694" t="s">
        <v>582</v>
      </c>
      <c r="B694" s="12">
        <v>8.2600000000000002E-5</v>
      </c>
      <c r="C694" t="s">
        <v>574</v>
      </c>
      <c r="D694" t="s">
        <v>21</v>
      </c>
      <c r="E694" t="s">
        <v>15</v>
      </c>
      <c r="F694"/>
      <c r="G694" s="21" t="s">
        <v>25</v>
      </c>
      <c r="H694" t="s">
        <v>583</v>
      </c>
    </row>
    <row r="695" spans="1:8" x14ac:dyDescent="0.3">
      <c r="A695" t="s">
        <v>584</v>
      </c>
      <c r="B695" s="12">
        <v>3.3099999999999999E-10</v>
      </c>
      <c r="C695" t="s">
        <v>574</v>
      </c>
      <c r="D695" t="s">
        <v>21</v>
      </c>
      <c r="E695" t="s">
        <v>6</v>
      </c>
      <c r="F695"/>
      <c r="G695" s="21" t="s">
        <v>25</v>
      </c>
      <c r="H695" t="s">
        <v>585</v>
      </c>
    </row>
    <row r="696" spans="1:8" x14ac:dyDescent="0.3">
      <c r="A696" t="s">
        <v>586</v>
      </c>
      <c r="B696" s="12">
        <v>5.1400000000000003E-12</v>
      </c>
      <c r="C696" t="s">
        <v>574</v>
      </c>
      <c r="D696" t="s">
        <v>21</v>
      </c>
      <c r="E696" t="s">
        <v>6</v>
      </c>
      <c r="F696"/>
      <c r="G696" s="21" t="s">
        <v>25</v>
      </c>
      <c r="H696" t="s">
        <v>587</v>
      </c>
    </row>
    <row r="697" spans="1:8" x14ac:dyDescent="0.3">
      <c r="A697" t="s">
        <v>444</v>
      </c>
      <c r="B697" s="12">
        <v>2.8400000000000002E-4</v>
      </c>
      <c r="C697" t="s">
        <v>574</v>
      </c>
      <c r="D697" t="s">
        <v>21</v>
      </c>
      <c r="E697" t="s">
        <v>15</v>
      </c>
      <c r="F697"/>
      <c r="G697" s="21" t="s">
        <v>25</v>
      </c>
      <c r="H697" t="s">
        <v>290</v>
      </c>
    </row>
    <row r="698" spans="1:8" x14ac:dyDescent="0.3">
      <c r="A698" t="s">
        <v>588</v>
      </c>
      <c r="B698" s="12">
        <v>5.7899999999999997E-10</v>
      </c>
      <c r="C698" t="s">
        <v>574</v>
      </c>
      <c r="D698" t="s">
        <v>21</v>
      </c>
      <c r="E698" t="s">
        <v>6</v>
      </c>
      <c r="F698"/>
      <c r="G698" s="21" t="s">
        <v>25</v>
      </c>
      <c r="H698" t="s">
        <v>589</v>
      </c>
    </row>
    <row r="699" spans="1:8" x14ac:dyDescent="0.3">
      <c r="A699" t="s">
        <v>590</v>
      </c>
      <c r="B699" s="12">
        <v>3.0400000000000002E-4</v>
      </c>
      <c r="C699" t="s">
        <v>574</v>
      </c>
      <c r="D699" t="s">
        <v>21</v>
      </c>
      <c r="E699" t="s">
        <v>15</v>
      </c>
      <c r="F699"/>
      <c r="G699" s="21" t="s">
        <v>25</v>
      </c>
      <c r="H699" t="s">
        <v>288</v>
      </c>
    </row>
    <row r="700" spans="1:8" x14ac:dyDescent="0.3">
      <c r="A700" t="s">
        <v>446</v>
      </c>
      <c r="B700" s="12">
        <v>-2.2699999999999999E-4</v>
      </c>
      <c r="C700" t="s">
        <v>574</v>
      </c>
      <c r="D700" t="s">
        <v>591</v>
      </c>
      <c r="E700" t="s">
        <v>15</v>
      </c>
      <c r="F700"/>
      <c r="G700" s="21" t="s">
        <v>25</v>
      </c>
      <c r="H700" t="s">
        <v>450</v>
      </c>
    </row>
    <row r="701" spans="1:8" x14ac:dyDescent="0.3">
      <c r="A701" s="5"/>
      <c r="B701" s="5"/>
      <c r="C701" s="6"/>
      <c r="D701" s="5"/>
      <c r="E701" s="5"/>
      <c r="F701" s="5"/>
      <c r="G701" s="5"/>
      <c r="H701" s="5"/>
    </row>
    <row r="702" spans="1:8" x14ac:dyDescent="0.3">
      <c r="A702" s="30" t="s">
        <v>1</v>
      </c>
      <c r="B702" s="30" t="s">
        <v>550</v>
      </c>
      <c r="C702" s="19"/>
      <c r="D702" s="7"/>
      <c r="E702" s="7"/>
      <c r="F702" s="7"/>
      <c r="G702" s="7"/>
      <c r="H702" s="7"/>
    </row>
    <row r="703" spans="1:8" x14ac:dyDescent="0.3">
      <c r="A703" s="30" t="s">
        <v>2</v>
      </c>
      <c r="B703" s="7" t="s">
        <v>592</v>
      </c>
      <c r="C703" s="19"/>
      <c r="D703" s="7"/>
      <c r="E703" s="7"/>
      <c r="F703" s="7"/>
      <c r="G703" s="7"/>
      <c r="H703" s="7"/>
    </row>
    <row r="704" spans="1:8" x14ac:dyDescent="0.3">
      <c r="A704" s="30" t="s">
        <v>3</v>
      </c>
      <c r="B704" s="7" t="s">
        <v>21</v>
      </c>
      <c r="C704" s="19"/>
      <c r="D704" s="7"/>
      <c r="E704" s="7"/>
      <c r="F704" s="7"/>
      <c r="G704" s="7"/>
      <c r="H704" s="7"/>
    </row>
    <row r="705" spans="1:8" x14ac:dyDescent="0.3">
      <c r="A705" s="8" t="s">
        <v>4</v>
      </c>
      <c r="B705" s="21" t="s">
        <v>551</v>
      </c>
      <c r="C705" s="19"/>
      <c r="D705" s="7"/>
      <c r="E705" s="7"/>
      <c r="F705" s="7"/>
      <c r="G705" s="7"/>
      <c r="H705" s="7"/>
    </row>
    <row r="706" spans="1:8" x14ac:dyDescent="0.3">
      <c r="A706" s="30" t="s">
        <v>5</v>
      </c>
      <c r="B706" s="20">
        <v>1</v>
      </c>
      <c r="C706" s="19"/>
      <c r="D706" s="31"/>
      <c r="E706" s="7"/>
      <c r="F706" s="7"/>
      <c r="G706" s="7"/>
      <c r="H706" s="7"/>
    </row>
    <row r="707" spans="1:8" x14ac:dyDescent="0.3">
      <c r="A707" s="30" t="s">
        <v>6</v>
      </c>
      <c r="B707" s="7" t="s">
        <v>24</v>
      </c>
      <c r="C707" s="19"/>
      <c r="D707" s="31"/>
      <c r="E707" s="7"/>
      <c r="F707" s="7"/>
      <c r="G707" s="7"/>
      <c r="H707" s="7"/>
    </row>
    <row r="708" spans="1:8" x14ac:dyDescent="0.3">
      <c r="A708" s="30" t="s">
        <v>593</v>
      </c>
      <c r="B708" s="7"/>
      <c r="C708" s="19"/>
      <c r="D708" s="31"/>
      <c r="E708" s="7"/>
      <c r="F708" s="7"/>
      <c r="G708" s="7"/>
      <c r="H708" s="7"/>
    </row>
    <row r="709" spans="1:8" x14ac:dyDescent="0.3">
      <c r="A709" s="30" t="s">
        <v>8</v>
      </c>
      <c r="B709" s="7"/>
      <c r="C709" s="19"/>
      <c r="D709" s="7"/>
      <c r="E709" s="7"/>
      <c r="F709" s="7"/>
      <c r="G709" s="7"/>
      <c r="H709" s="7"/>
    </row>
    <row r="710" spans="1:8" x14ac:dyDescent="0.3">
      <c r="A710" s="7" t="s">
        <v>9</v>
      </c>
      <c r="B710" s="19" t="s">
        <v>10</v>
      </c>
      <c r="C710" s="7" t="s">
        <v>11</v>
      </c>
      <c r="D710" s="7" t="s">
        <v>3</v>
      </c>
      <c r="E710" s="7" t="s">
        <v>6</v>
      </c>
      <c r="F710" s="7" t="s">
        <v>12</v>
      </c>
      <c r="G710" s="7" t="s">
        <v>13</v>
      </c>
      <c r="H710" s="7" t="s">
        <v>4</v>
      </c>
    </row>
    <row r="711" spans="1:8" x14ac:dyDescent="0.3">
      <c r="A711" s="21" t="s">
        <v>550</v>
      </c>
      <c r="B711" s="22">
        <v>1</v>
      </c>
      <c r="C711" s="9" t="s">
        <v>573</v>
      </c>
      <c r="D711" s="21" t="s">
        <v>21</v>
      </c>
      <c r="E711" s="7" t="s">
        <v>24</v>
      </c>
      <c r="F711" s="21"/>
      <c r="G711" s="21" t="s">
        <v>14</v>
      </c>
      <c r="H711" s="21" t="s">
        <v>551</v>
      </c>
    </row>
    <row r="712" spans="1:8" x14ac:dyDescent="0.3">
      <c r="A712" s="7" t="s">
        <v>505</v>
      </c>
      <c r="B712" s="32">
        <v>2.8998115122517001E-2</v>
      </c>
      <c r="C712" t="s">
        <v>574</v>
      </c>
      <c r="D712" s="21" t="s">
        <v>21</v>
      </c>
      <c r="E712" s="7" t="s">
        <v>7</v>
      </c>
      <c r="F712" s="21"/>
      <c r="G712" s="21" t="s">
        <v>25</v>
      </c>
      <c r="H712" s="7" t="s">
        <v>123</v>
      </c>
    </row>
    <row r="713" spans="1:8" x14ac:dyDescent="0.3">
      <c r="A713" s="21" t="s">
        <v>397</v>
      </c>
      <c r="B713" s="23">
        <v>1.1684210526315801E-3</v>
      </c>
      <c r="C713" t="s">
        <v>574</v>
      </c>
      <c r="D713" s="21" t="s">
        <v>21</v>
      </c>
      <c r="E713" s="21" t="s">
        <v>76</v>
      </c>
      <c r="F713" s="21"/>
      <c r="G713" s="21" t="s">
        <v>25</v>
      </c>
      <c r="H713" s="27" t="s">
        <v>184</v>
      </c>
    </row>
    <row r="714" spans="1:8" x14ac:dyDescent="0.3">
      <c r="A714" s="21" t="s">
        <v>594</v>
      </c>
      <c r="B714" s="23">
        <v>2.9473684210526402E-9</v>
      </c>
      <c r="C714" t="s">
        <v>574</v>
      </c>
      <c r="D714" s="21" t="s">
        <v>23</v>
      </c>
      <c r="E714" s="21" t="s">
        <v>6</v>
      </c>
      <c r="F714" s="21"/>
      <c r="G714" s="21" t="s">
        <v>25</v>
      </c>
      <c r="H714" s="27" t="s">
        <v>595</v>
      </c>
    </row>
    <row r="715" spans="1:8" x14ac:dyDescent="0.3">
      <c r="A715" s="21" t="s">
        <v>519</v>
      </c>
      <c r="B715" s="33">
        <v>5.3052631578947428E-2</v>
      </c>
      <c r="C715" s="9" t="s">
        <v>573</v>
      </c>
      <c r="D715" s="21" t="s">
        <v>21</v>
      </c>
      <c r="E715" t="s">
        <v>15</v>
      </c>
      <c r="F715" s="24"/>
      <c r="G715" t="s">
        <v>25</v>
      </c>
      <c r="H715" s="21" t="s">
        <v>519</v>
      </c>
    </row>
    <row r="716" spans="1:8" x14ac:dyDescent="0.3">
      <c r="A716" t="s">
        <v>50</v>
      </c>
      <c r="B716" s="33">
        <v>5.8947368421052686E-3</v>
      </c>
      <c r="C716" s="21" t="s">
        <v>16</v>
      </c>
      <c r="D716" s="7"/>
      <c r="E716" t="s">
        <v>15</v>
      </c>
      <c r="F716" s="25" t="s">
        <v>512</v>
      </c>
      <c r="G716" s="7" t="s">
        <v>18</v>
      </c>
    </row>
    <row r="717" spans="1:8" x14ac:dyDescent="0.3">
      <c r="A717" t="s">
        <v>104</v>
      </c>
      <c r="B717" s="12">
        <v>2.2105263157894801E-6</v>
      </c>
      <c r="C717" s="21" t="s">
        <v>16</v>
      </c>
      <c r="D717" s="21"/>
      <c r="E717" s="21" t="s">
        <v>15</v>
      </c>
      <c r="F717" s="25" t="s">
        <v>512</v>
      </c>
      <c r="G717" s="7" t="s">
        <v>18</v>
      </c>
    </row>
    <row r="718" spans="1:8" x14ac:dyDescent="0.3">
      <c r="A718" t="s">
        <v>111</v>
      </c>
      <c r="B718" s="12">
        <v>2.10526315789474E-6</v>
      </c>
      <c r="C718" s="21" t="s">
        <v>16</v>
      </c>
      <c r="D718" s="21"/>
      <c r="E718" s="21" t="s">
        <v>15</v>
      </c>
      <c r="F718" s="25" t="s">
        <v>512</v>
      </c>
      <c r="G718" s="7" t="s">
        <v>18</v>
      </c>
    </row>
    <row r="719" spans="1:8" x14ac:dyDescent="0.3">
      <c r="A719" s="27" t="s">
        <v>107</v>
      </c>
      <c r="B719" s="12">
        <v>1.05263157894737E-7</v>
      </c>
      <c r="C719" s="21" t="s">
        <v>16</v>
      </c>
      <c r="D719" s="21"/>
      <c r="E719" s="21" t="s">
        <v>15</v>
      </c>
      <c r="F719" s="21" t="s">
        <v>512</v>
      </c>
      <c r="G719" s="7" t="s">
        <v>18</v>
      </c>
    </row>
    <row r="720" spans="1:8" x14ac:dyDescent="0.3">
      <c r="A720" t="s">
        <v>91</v>
      </c>
      <c r="B720" s="12">
        <v>1.8842105263157901E-5</v>
      </c>
      <c r="C720" s="21" t="s">
        <v>16</v>
      </c>
      <c r="D720" s="21"/>
      <c r="E720" t="s">
        <v>15</v>
      </c>
      <c r="F720" s="25" t="s">
        <v>512</v>
      </c>
      <c r="G720" s="7" t="s">
        <v>18</v>
      </c>
    </row>
    <row r="721" spans="1:7" x14ac:dyDescent="0.3">
      <c r="A721" s="27" t="s">
        <v>513</v>
      </c>
      <c r="B721" s="12">
        <v>5.7894736842105305E-7</v>
      </c>
      <c r="C721" s="21" t="s">
        <v>16</v>
      </c>
      <c r="D721" s="21"/>
      <c r="E721" s="21" t="s">
        <v>15</v>
      </c>
      <c r="F721" s="25" t="s">
        <v>512</v>
      </c>
      <c r="G721" s="7" t="s">
        <v>18</v>
      </c>
    </row>
    <row r="722" spans="1:7" x14ac:dyDescent="0.3">
      <c r="A722" s="27" t="s">
        <v>115</v>
      </c>
      <c r="B722" s="12">
        <v>2.1052631578947401E-7</v>
      </c>
      <c r="C722" s="21" t="s">
        <v>16</v>
      </c>
      <c r="D722" s="21"/>
      <c r="E722" s="21" t="s">
        <v>15</v>
      </c>
      <c r="F722" s="21" t="s">
        <v>512</v>
      </c>
      <c r="G722" s="7" t="s">
        <v>18</v>
      </c>
    </row>
    <row r="723" spans="1:7" x14ac:dyDescent="0.3">
      <c r="A723" s="27" t="s">
        <v>451</v>
      </c>
      <c r="B723" s="12">
        <v>1.05263157894737E-9</v>
      </c>
      <c r="C723" s="21" t="s">
        <v>16</v>
      </c>
      <c r="D723" s="21"/>
      <c r="E723" s="21" t="s">
        <v>15</v>
      </c>
      <c r="F723" s="21" t="s">
        <v>512</v>
      </c>
      <c r="G723" s="7" t="s">
        <v>18</v>
      </c>
    </row>
    <row r="724" spans="1:7" x14ac:dyDescent="0.3">
      <c r="A724" s="27" t="s">
        <v>452</v>
      </c>
      <c r="B724" s="12">
        <v>1.5789473684210501E-7</v>
      </c>
      <c r="C724" s="21" t="s">
        <v>16</v>
      </c>
      <c r="D724" s="21"/>
      <c r="E724" s="21" t="s">
        <v>15</v>
      </c>
      <c r="F724" s="21" t="s">
        <v>512</v>
      </c>
      <c r="G724" s="7" t="s">
        <v>18</v>
      </c>
    </row>
    <row r="725" spans="1:7" x14ac:dyDescent="0.3">
      <c r="A725" s="27" t="s">
        <v>596</v>
      </c>
      <c r="B725" s="12">
        <v>4.2105263157894802E-7</v>
      </c>
      <c r="C725" s="21" t="s">
        <v>16</v>
      </c>
      <c r="D725" s="21"/>
      <c r="E725" s="21" t="s">
        <v>15</v>
      </c>
      <c r="F725" s="21" t="s">
        <v>512</v>
      </c>
      <c r="G725" s="7" t="s">
        <v>18</v>
      </c>
    </row>
    <row r="726" spans="1:7" x14ac:dyDescent="0.3">
      <c r="A726" s="27" t="s">
        <v>100</v>
      </c>
      <c r="B726" s="12">
        <v>1.0526315789473699E-11</v>
      </c>
      <c r="C726" s="21" t="s">
        <v>16</v>
      </c>
      <c r="D726" s="21"/>
      <c r="E726" s="21" t="s">
        <v>15</v>
      </c>
      <c r="F726" s="21" t="s">
        <v>512</v>
      </c>
      <c r="G726" s="7" t="s">
        <v>18</v>
      </c>
    </row>
    <row r="727" spans="1:7" x14ac:dyDescent="0.3">
      <c r="A727" s="27" t="s">
        <v>597</v>
      </c>
      <c r="B727" s="12">
        <v>7.3684210526315899E-7</v>
      </c>
      <c r="C727" s="21" t="s">
        <v>16</v>
      </c>
      <c r="D727" s="21"/>
      <c r="E727" s="21" t="s">
        <v>15</v>
      </c>
      <c r="F727" s="21" t="s">
        <v>512</v>
      </c>
      <c r="G727" s="7" t="s">
        <v>18</v>
      </c>
    </row>
    <row r="728" spans="1:7" x14ac:dyDescent="0.3">
      <c r="A728" s="27" t="s">
        <v>598</v>
      </c>
      <c r="B728" s="23">
        <v>0</v>
      </c>
      <c r="C728" s="21" t="s">
        <v>16</v>
      </c>
      <c r="D728"/>
      <c r="E728" s="21" t="s">
        <v>15</v>
      </c>
      <c r="F728" s="21" t="s">
        <v>512</v>
      </c>
      <c r="G728" s="7" t="s">
        <v>18</v>
      </c>
    </row>
    <row r="729" spans="1:7" x14ac:dyDescent="0.3">
      <c r="A729" s="27" t="s">
        <v>457</v>
      </c>
      <c r="B729" s="12">
        <v>1.05263157894737E-7</v>
      </c>
      <c r="C729" s="21" t="s">
        <v>16</v>
      </c>
      <c r="D729"/>
      <c r="E729" s="21" t="s">
        <v>15</v>
      </c>
      <c r="F729" s="21" t="s">
        <v>512</v>
      </c>
      <c r="G729" s="7" t="s">
        <v>18</v>
      </c>
    </row>
    <row r="730" spans="1:7" x14ac:dyDescent="0.3">
      <c r="A730" s="27" t="s">
        <v>110</v>
      </c>
      <c r="B730" s="12">
        <v>3.1578947368421103E-11</v>
      </c>
      <c r="C730" s="21" t="s">
        <v>16</v>
      </c>
      <c r="D730"/>
      <c r="E730" s="21" t="s">
        <v>15</v>
      </c>
      <c r="F730" s="21" t="s">
        <v>512</v>
      </c>
      <c r="G730" s="7" t="s">
        <v>18</v>
      </c>
    </row>
    <row r="731" spans="1:7" x14ac:dyDescent="0.3">
      <c r="A731" s="27" t="s">
        <v>114</v>
      </c>
      <c r="B731" s="12">
        <v>1.0526315789473701E-8</v>
      </c>
      <c r="C731" s="21" t="s">
        <v>16</v>
      </c>
      <c r="D731"/>
      <c r="E731" s="21" t="s">
        <v>15</v>
      </c>
      <c r="F731" s="21" t="s">
        <v>512</v>
      </c>
      <c r="G731" s="7" t="s">
        <v>18</v>
      </c>
    </row>
    <row r="732" spans="1:7" x14ac:dyDescent="0.3">
      <c r="A732" s="27" t="s">
        <v>599</v>
      </c>
      <c r="B732" s="12">
        <v>1.2631578947368401E-6</v>
      </c>
      <c r="C732" s="21" t="s">
        <v>16</v>
      </c>
      <c r="D732"/>
      <c r="E732" s="21" t="s">
        <v>15</v>
      </c>
      <c r="F732" s="21" t="s">
        <v>512</v>
      </c>
      <c r="G732" s="7" t="s">
        <v>18</v>
      </c>
    </row>
    <row r="733" spans="1:7" x14ac:dyDescent="0.3">
      <c r="A733" s="27" t="s">
        <v>600</v>
      </c>
      <c r="B733" s="12">
        <v>2.1052631578947401E-7</v>
      </c>
      <c r="C733" s="21" t="s">
        <v>16</v>
      </c>
      <c r="D733"/>
      <c r="E733" s="21" t="s">
        <v>15</v>
      </c>
      <c r="F733" s="21" t="s">
        <v>512</v>
      </c>
      <c r="G733" s="7" t="s">
        <v>18</v>
      </c>
    </row>
    <row r="734" spans="1:7" x14ac:dyDescent="0.3">
      <c r="A734" s="27" t="s">
        <v>601</v>
      </c>
      <c r="B734" s="12">
        <v>2.1052631578947401E-8</v>
      </c>
      <c r="C734" s="21" t="s">
        <v>16</v>
      </c>
      <c r="D734"/>
      <c r="E734" s="21" t="s">
        <v>15</v>
      </c>
      <c r="F734" s="21" t="s">
        <v>512</v>
      </c>
      <c r="G734" s="7" t="s">
        <v>18</v>
      </c>
    </row>
    <row r="735" spans="1:7" x14ac:dyDescent="0.3">
      <c r="A735" s="27" t="s">
        <v>602</v>
      </c>
      <c r="B735" s="12">
        <v>2.1052631578947401E-7</v>
      </c>
      <c r="C735" s="7" t="s">
        <v>16</v>
      </c>
      <c r="D735"/>
      <c r="E735" s="21" t="s">
        <v>15</v>
      </c>
      <c r="F735" s="21" t="s">
        <v>512</v>
      </c>
      <c r="G735" s="7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D9F0-647D-4328-84BF-928C713A3CCF}">
  <sheetPr codeName="Sheet2"/>
  <dimension ref="A1:S43"/>
  <sheetViews>
    <sheetView workbookViewId="0">
      <selection activeCell="E37" sqref="E37"/>
    </sheetView>
  </sheetViews>
  <sheetFormatPr defaultColWidth="8.77734375" defaultRowHeight="14.4" x14ac:dyDescent="0.3"/>
  <cols>
    <col min="1" max="1" width="65.6640625" bestFit="1" customWidth="1"/>
    <col min="3" max="3" width="17.6640625" bestFit="1" customWidth="1"/>
    <col min="4" max="4" width="7.6640625" bestFit="1" customWidth="1"/>
    <col min="5" max="5" width="11.77734375" bestFit="1" customWidth="1"/>
    <col min="6" max="6" width="9.44140625" bestFit="1" customWidth="1"/>
    <col min="7" max="7" width="12.109375" bestFit="1" customWidth="1"/>
    <col min="8" max="8" width="19.44140625" bestFit="1" customWidth="1"/>
  </cols>
  <sheetData>
    <row r="1" spans="1:19" x14ac:dyDescent="0.3">
      <c r="A1" s="8" t="s">
        <v>1</v>
      </c>
      <c r="B1" s="8" t="s">
        <v>525</v>
      </c>
      <c r="C1" s="9"/>
      <c r="D1" s="9"/>
      <c r="E1" s="9"/>
      <c r="F1" s="9"/>
      <c r="G1" s="9"/>
      <c r="H1" s="9"/>
      <c r="I1" s="9"/>
    </row>
    <row r="2" spans="1:19" x14ac:dyDescent="0.3">
      <c r="A2" s="9" t="s">
        <v>2</v>
      </c>
      <c r="B2" t="s">
        <v>527</v>
      </c>
      <c r="C2" s="9"/>
      <c r="D2" s="9"/>
      <c r="E2" s="9"/>
      <c r="F2" s="9"/>
      <c r="G2" s="9"/>
      <c r="H2" s="9"/>
      <c r="I2" s="9"/>
    </row>
    <row r="3" spans="1:19" x14ac:dyDescent="0.3">
      <c r="A3" s="9" t="s">
        <v>3</v>
      </c>
      <c r="B3" s="9" t="s">
        <v>21</v>
      </c>
      <c r="C3" s="9"/>
      <c r="D3" s="9"/>
      <c r="E3" s="9"/>
      <c r="F3" s="9"/>
      <c r="G3" s="9"/>
      <c r="H3" s="9"/>
      <c r="I3" s="9"/>
    </row>
    <row r="4" spans="1:19" x14ac:dyDescent="0.3">
      <c r="A4" s="9" t="s">
        <v>5</v>
      </c>
      <c r="B4" s="9">
        <v>1</v>
      </c>
      <c r="C4" s="9"/>
      <c r="D4" s="9"/>
      <c r="E4" s="9"/>
      <c r="F4" s="9"/>
      <c r="G4" s="9"/>
      <c r="H4" s="9"/>
      <c r="I4" s="9"/>
    </row>
    <row r="5" spans="1:19" x14ac:dyDescent="0.3">
      <c r="A5" s="9" t="s">
        <v>4</v>
      </c>
      <c r="B5" t="s">
        <v>526</v>
      </c>
      <c r="C5" s="9"/>
      <c r="D5" s="9"/>
      <c r="E5" s="9"/>
      <c r="F5" s="9"/>
      <c r="G5" s="9"/>
      <c r="H5" s="9"/>
      <c r="I5" s="9"/>
    </row>
    <row r="6" spans="1:19" x14ac:dyDescent="0.3">
      <c r="A6" s="9" t="s">
        <v>6</v>
      </c>
      <c r="B6" t="s">
        <v>76</v>
      </c>
      <c r="C6" s="9"/>
      <c r="D6" s="9"/>
      <c r="E6" s="9"/>
      <c r="F6" s="9"/>
      <c r="G6" s="9"/>
      <c r="H6" s="9"/>
      <c r="I6" s="9"/>
    </row>
    <row r="7" spans="1:19" x14ac:dyDescent="0.3">
      <c r="A7" s="8" t="s">
        <v>8</v>
      </c>
      <c r="B7" s="9"/>
      <c r="C7" s="9"/>
      <c r="D7" s="9"/>
      <c r="E7" s="9"/>
      <c r="F7" s="9"/>
      <c r="G7" s="9"/>
      <c r="H7" s="9"/>
      <c r="I7" s="9"/>
    </row>
    <row r="8" spans="1:19" x14ac:dyDescent="0.3">
      <c r="A8" s="9" t="s">
        <v>9</v>
      </c>
      <c r="B8" s="9" t="s">
        <v>10</v>
      </c>
      <c r="C8" s="9" t="s">
        <v>11</v>
      </c>
      <c r="D8" s="9" t="s">
        <v>3</v>
      </c>
      <c r="E8" s="9" t="s">
        <v>6</v>
      </c>
      <c r="F8" s="9" t="s">
        <v>12</v>
      </c>
      <c r="G8" s="9" t="s">
        <v>13</v>
      </c>
      <c r="H8" s="9" t="s">
        <v>4</v>
      </c>
      <c r="I8" s="9"/>
    </row>
    <row r="9" spans="1:19" x14ac:dyDescent="0.3">
      <c r="A9" t="s">
        <v>525</v>
      </c>
      <c r="B9" s="16">
        <v>1</v>
      </c>
      <c r="C9" s="9" t="s">
        <v>573</v>
      </c>
      <c r="D9" s="9" t="s">
        <v>21</v>
      </c>
      <c r="E9" t="s">
        <v>76</v>
      </c>
      <c r="F9" s="9"/>
      <c r="G9" s="9" t="s">
        <v>14</v>
      </c>
      <c r="H9" t="s">
        <v>526</v>
      </c>
      <c r="I9" s="9"/>
    </row>
    <row r="10" spans="1:19" x14ac:dyDescent="0.3">
      <c r="A10" t="s">
        <v>397</v>
      </c>
      <c r="B10" s="13">
        <v>1</v>
      </c>
      <c r="C10" t="s">
        <v>574</v>
      </c>
      <c r="D10" s="9" t="s">
        <v>21</v>
      </c>
      <c r="E10" t="s">
        <v>76</v>
      </c>
      <c r="G10" t="s">
        <v>25</v>
      </c>
      <c r="H10" t="s">
        <v>184</v>
      </c>
      <c r="I10" s="9"/>
    </row>
    <row r="11" spans="1:19" x14ac:dyDescent="0.3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8" t="s">
        <v>1</v>
      </c>
      <c r="B12" s="8" t="s">
        <v>529</v>
      </c>
      <c r="C12" s="9"/>
      <c r="D12" s="9"/>
      <c r="E12" s="9"/>
      <c r="F12" s="9"/>
      <c r="G12" s="9"/>
      <c r="H12" s="9"/>
      <c r="I12" s="9"/>
    </row>
    <row r="13" spans="1:19" x14ac:dyDescent="0.3">
      <c r="A13" s="9" t="s">
        <v>2</v>
      </c>
      <c r="B13" t="s">
        <v>528</v>
      </c>
      <c r="C13" s="9"/>
      <c r="D13" s="9"/>
      <c r="E13" s="9"/>
      <c r="F13" s="9"/>
      <c r="G13" s="9"/>
      <c r="H13" s="9"/>
      <c r="I13" s="9"/>
    </row>
    <row r="14" spans="1:19" x14ac:dyDescent="0.3">
      <c r="A14" s="9" t="s">
        <v>3</v>
      </c>
      <c r="B14" s="9" t="s">
        <v>21</v>
      </c>
      <c r="C14" s="9"/>
      <c r="D14" s="9"/>
      <c r="E14" s="9"/>
      <c r="F14" s="9"/>
      <c r="G14" s="9"/>
      <c r="H14" s="9"/>
      <c r="I14" s="9"/>
    </row>
    <row r="15" spans="1:19" x14ac:dyDescent="0.3">
      <c r="A15" s="9" t="s">
        <v>5</v>
      </c>
      <c r="B15" s="9">
        <v>1</v>
      </c>
      <c r="C15" s="9"/>
      <c r="D15" s="9"/>
      <c r="E15" s="9"/>
      <c r="F15" s="9"/>
      <c r="G15" s="9"/>
      <c r="H15" s="9"/>
      <c r="I15" s="9"/>
    </row>
    <row r="16" spans="1:19" x14ac:dyDescent="0.3">
      <c r="A16" s="9" t="s">
        <v>4</v>
      </c>
      <c r="B16" t="s">
        <v>526</v>
      </c>
      <c r="C16" s="9"/>
      <c r="D16" s="9"/>
      <c r="E16" s="9"/>
      <c r="F16" s="9"/>
      <c r="G16" s="9"/>
      <c r="H16" s="9"/>
      <c r="I16" s="9"/>
    </row>
    <row r="17" spans="1:19" x14ac:dyDescent="0.3">
      <c r="A17" s="9" t="s">
        <v>6</v>
      </c>
      <c r="B17" t="s">
        <v>76</v>
      </c>
      <c r="C17" s="9"/>
      <c r="D17" s="9"/>
      <c r="E17" s="9"/>
      <c r="F17" s="9"/>
      <c r="G17" s="9"/>
      <c r="H17" s="9"/>
      <c r="I17" s="9"/>
    </row>
    <row r="18" spans="1:19" x14ac:dyDescent="0.3">
      <c r="A18" s="8" t="s">
        <v>8</v>
      </c>
      <c r="B18" s="9"/>
      <c r="C18" s="9"/>
      <c r="D18" s="9"/>
      <c r="E18" s="9"/>
      <c r="F18" s="9"/>
      <c r="G18" s="9"/>
      <c r="H18" s="9"/>
      <c r="I18" s="9"/>
    </row>
    <row r="19" spans="1:19" x14ac:dyDescent="0.3">
      <c r="A19" s="9" t="s">
        <v>9</v>
      </c>
      <c r="B19" s="9" t="s">
        <v>10</v>
      </c>
      <c r="C19" s="9" t="s">
        <v>11</v>
      </c>
      <c r="D19" s="9" t="s">
        <v>3</v>
      </c>
      <c r="E19" s="9" t="s">
        <v>6</v>
      </c>
      <c r="F19" s="9" t="s">
        <v>12</v>
      </c>
      <c r="G19" s="9" t="s">
        <v>13</v>
      </c>
      <c r="H19" s="9" t="s">
        <v>4</v>
      </c>
      <c r="I19" s="9"/>
    </row>
    <row r="20" spans="1:19" x14ac:dyDescent="0.3">
      <c r="A20" t="s">
        <v>529</v>
      </c>
      <c r="B20" s="16">
        <v>1</v>
      </c>
      <c r="C20" s="9" t="s">
        <v>573</v>
      </c>
      <c r="D20" s="9" t="s">
        <v>21</v>
      </c>
      <c r="E20" t="s">
        <v>76</v>
      </c>
      <c r="F20" s="9"/>
      <c r="G20" s="9" t="s">
        <v>14</v>
      </c>
      <c r="H20" t="s">
        <v>526</v>
      </c>
      <c r="I20" s="9"/>
    </row>
    <row r="21" spans="1:19" x14ac:dyDescent="0.3">
      <c r="A21" t="s">
        <v>322</v>
      </c>
      <c r="B21" s="16">
        <v>1</v>
      </c>
      <c r="C21" t="s">
        <v>574</v>
      </c>
      <c r="D21" t="s">
        <v>23</v>
      </c>
      <c r="E21" t="s">
        <v>76</v>
      </c>
      <c r="G21" t="s">
        <v>25</v>
      </c>
      <c r="H21" t="s">
        <v>77</v>
      </c>
      <c r="I21" s="9"/>
    </row>
    <row r="22" spans="1:19" x14ac:dyDescent="0.3">
      <c r="A22" s="5"/>
      <c r="B22" s="5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8" t="s">
        <v>1</v>
      </c>
      <c r="B23" s="8" t="s">
        <v>530</v>
      </c>
      <c r="C23" s="9"/>
      <c r="D23" s="9"/>
      <c r="E23" s="9"/>
      <c r="F23" s="9"/>
      <c r="G23" s="9"/>
      <c r="H23" s="9"/>
      <c r="I23" s="9"/>
    </row>
    <row r="24" spans="1:19" x14ac:dyDescent="0.3">
      <c r="A24" s="9" t="s">
        <v>2</v>
      </c>
      <c r="B24" t="s">
        <v>531</v>
      </c>
      <c r="C24" s="9"/>
      <c r="D24" s="9"/>
      <c r="E24" s="9"/>
      <c r="F24" s="9"/>
      <c r="G24" s="9"/>
      <c r="H24" s="9"/>
      <c r="I24" s="9"/>
    </row>
    <row r="25" spans="1:19" x14ac:dyDescent="0.3">
      <c r="A25" s="9" t="s">
        <v>3</v>
      </c>
      <c r="B25" s="9" t="s">
        <v>21</v>
      </c>
      <c r="C25" s="9"/>
      <c r="D25" s="9"/>
      <c r="E25" s="9"/>
      <c r="F25" s="9"/>
      <c r="G25" s="9"/>
      <c r="H25" s="9"/>
      <c r="I25" s="9"/>
    </row>
    <row r="26" spans="1:19" x14ac:dyDescent="0.3">
      <c r="A26" s="9" t="s">
        <v>5</v>
      </c>
      <c r="B26" s="9">
        <v>1</v>
      </c>
      <c r="C26" s="9"/>
      <c r="D26" s="9"/>
      <c r="E26" s="9"/>
      <c r="F26" s="9"/>
      <c r="G26" s="9"/>
      <c r="H26" s="9"/>
      <c r="I26" s="9"/>
    </row>
    <row r="27" spans="1:19" x14ac:dyDescent="0.3">
      <c r="A27" s="9" t="s">
        <v>4</v>
      </c>
      <c r="B27" t="s">
        <v>526</v>
      </c>
      <c r="C27" s="9"/>
      <c r="D27" s="9"/>
      <c r="E27" s="9"/>
      <c r="F27" s="9"/>
      <c r="G27" s="9"/>
      <c r="H27" s="9"/>
      <c r="I27" s="9"/>
    </row>
    <row r="28" spans="1:19" x14ac:dyDescent="0.3">
      <c r="A28" s="9" t="s">
        <v>6</v>
      </c>
      <c r="B28" t="s">
        <v>76</v>
      </c>
      <c r="C28" s="9"/>
      <c r="D28" s="9"/>
      <c r="E28" s="9"/>
      <c r="F28" s="9"/>
      <c r="G28" s="9"/>
      <c r="H28" s="9"/>
      <c r="I28" s="9"/>
    </row>
    <row r="29" spans="1:19" x14ac:dyDescent="0.3">
      <c r="A29" s="8" t="s">
        <v>8</v>
      </c>
      <c r="B29" s="9"/>
      <c r="C29" s="9"/>
      <c r="D29" s="9"/>
      <c r="E29" s="9"/>
      <c r="F29" s="9"/>
      <c r="G29" s="9"/>
      <c r="H29" s="9"/>
      <c r="I29" s="9"/>
    </row>
    <row r="30" spans="1:19" x14ac:dyDescent="0.3">
      <c r="A30" s="9" t="s">
        <v>9</v>
      </c>
      <c r="B30" s="9" t="s">
        <v>10</v>
      </c>
      <c r="C30" s="9" t="s">
        <v>11</v>
      </c>
      <c r="D30" s="9" t="s">
        <v>3</v>
      </c>
      <c r="E30" s="9" t="s">
        <v>6</v>
      </c>
      <c r="F30" s="9" t="s">
        <v>12</v>
      </c>
      <c r="G30" s="9" t="s">
        <v>13</v>
      </c>
      <c r="H30" s="9" t="s">
        <v>4</v>
      </c>
      <c r="I30" s="9"/>
    </row>
    <row r="31" spans="1:19" x14ac:dyDescent="0.3">
      <c r="A31" t="s">
        <v>530</v>
      </c>
      <c r="B31" s="16">
        <v>1</v>
      </c>
      <c r="C31" s="9" t="s">
        <v>573</v>
      </c>
      <c r="D31" s="9" t="s">
        <v>21</v>
      </c>
      <c r="E31" t="s">
        <v>76</v>
      </c>
      <c r="F31" s="9"/>
      <c r="G31" s="9" t="s">
        <v>14</v>
      </c>
      <c r="H31" t="s">
        <v>526</v>
      </c>
      <c r="I31" s="9"/>
    </row>
    <row r="32" spans="1:19" x14ac:dyDescent="0.3">
      <c r="A32" t="s">
        <v>183</v>
      </c>
      <c r="B32" s="16">
        <v>1</v>
      </c>
      <c r="C32" t="s">
        <v>574</v>
      </c>
      <c r="D32" t="s">
        <v>23</v>
      </c>
      <c r="E32" t="s">
        <v>76</v>
      </c>
      <c r="G32" t="s">
        <v>25</v>
      </c>
      <c r="H32" t="s">
        <v>184</v>
      </c>
      <c r="I32" s="9"/>
    </row>
    <row r="33" spans="1:19" x14ac:dyDescent="0.3">
      <c r="A33" s="5"/>
      <c r="B33" s="5"/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3">
      <c r="A34" s="8" t="s">
        <v>1</v>
      </c>
      <c r="B34" s="8" t="s">
        <v>533</v>
      </c>
      <c r="C34" s="9"/>
      <c r="D34" s="9"/>
      <c r="E34" s="9"/>
      <c r="F34" s="9"/>
      <c r="G34" s="9"/>
      <c r="H34" s="9"/>
      <c r="I34" s="9"/>
    </row>
    <row r="35" spans="1:19" x14ac:dyDescent="0.3">
      <c r="A35" s="9" t="s">
        <v>2</v>
      </c>
      <c r="B35" t="s">
        <v>532</v>
      </c>
      <c r="C35" s="9"/>
      <c r="D35" s="9"/>
      <c r="E35" s="9"/>
      <c r="F35" s="9"/>
      <c r="G35" s="9"/>
      <c r="H35" s="9"/>
      <c r="I35" s="9"/>
    </row>
    <row r="36" spans="1:19" x14ac:dyDescent="0.3">
      <c r="A36" s="9" t="s">
        <v>3</v>
      </c>
      <c r="B36" s="9" t="s">
        <v>21</v>
      </c>
      <c r="C36" s="9"/>
      <c r="D36" s="9"/>
      <c r="E36" s="9"/>
      <c r="F36" s="9"/>
      <c r="G36" s="9"/>
      <c r="H36" s="9"/>
      <c r="I36" s="9"/>
    </row>
    <row r="37" spans="1:19" x14ac:dyDescent="0.3">
      <c r="A37" s="9" t="s">
        <v>5</v>
      </c>
      <c r="B37" s="9">
        <v>1</v>
      </c>
      <c r="C37" s="9"/>
      <c r="D37" s="9"/>
      <c r="E37" s="9"/>
      <c r="F37" s="9"/>
      <c r="G37" s="9"/>
      <c r="H37" s="9"/>
      <c r="I37" s="9"/>
    </row>
    <row r="38" spans="1:19" x14ac:dyDescent="0.3">
      <c r="A38" s="9" t="s">
        <v>4</v>
      </c>
      <c r="B38" t="s">
        <v>526</v>
      </c>
      <c r="C38" s="9"/>
      <c r="D38" s="9"/>
      <c r="E38" s="9"/>
      <c r="F38" s="9"/>
      <c r="G38" s="9"/>
      <c r="H38" s="9"/>
      <c r="I38" s="9"/>
    </row>
    <row r="39" spans="1:19" x14ac:dyDescent="0.3">
      <c r="A39" s="9" t="s">
        <v>6</v>
      </c>
      <c r="B39" t="s">
        <v>76</v>
      </c>
      <c r="C39" s="9"/>
      <c r="D39" s="9"/>
      <c r="E39" s="9"/>
      <c r="F39" s="9"/>
      <c r="G39" s="9"/>
      <c r="H39" s="9"/>
      <c r="I39" s="9"/>
    </row>
    <row r="40" spans="1:19" x14ac:dyDescent="0.3">
      <c r="A40" s="8" t="s">
        <v>8</v>
      </c>
      <c r="B40" s="9"/>
      <c r="C40" s="9"/>
      <c r="D40" s="9"/>
      <c r="E40" s="9"/>
      <c r="F40" s="9"/>
      <c r="G40" s="9"/>
      <c r="H40" s="9"/>
      <c r="I40" s="9"/>
    </row>
    <row r="41" spans="1:19" x14ac:dyDescent="0.3">
      <c r="A41" s="9" t="s">
        <v>9</v>
      </c>
      <c r="B41" s="9" t="s">
        <v>10</v>
      </c>
      <c r="C41" s="9" t="s">
        <v>11</v>
      </c>
      <c r="D41" s="9" t="s">
        <v>3</v>
      </c>
      <c r="E41" s="9" t="s">
        <v>6</v>
      </c>
      <c r="F41" s="9" t="s">
        <v>12</v>
      </c>
      <c r="G41" s="9" t="s">
        <v>13</v>
      </c>
      <c r="H41" s="9" t="s">
        <v>4</v>
      </c>
      <c r="I41" s="9"/>
    </row>
    <row r="42" spans="1:19" x14ac:dyDescent="0.3">
      <c r="A42" t="s">
        <v>533</v>
      </c>
      <c r="B42" s="16">
        <v>1</v>
      </c>
      <c r="C42" s="9" t="s">
        <v>573</v>
      </c>
      <c r="D42" s="9" t="s">
        <v>21</v>
      </c>
      <c r="E42" t="s">
        <v>76</v>
      </c>
      <c r="F42" s="9"/>
      <c r="G42" s="9" t="s">
        <v>14</v>
      </c>
      <c r="H42" t="s">
        <v>526</v>
      </c>
      <c r="I42" s="9"/>
    </row>
    <row r="43" spans="1:19" x14ac:dyDescent="0.3">
      <c r="A43" t="s">
        <v>484</v>
      </c>
      <c r="B43" s="16">
        <v>1</v>
      </c>
      <c r="C43" t="s">
        <v>574</v>
      </c>
      <c r="D43" t="s">
        <v>23</v>
      </c>
      <c r="E43" t="s">
        <v>76</v>
      </c>
      <c r="G43" t="s">
        <v>25</v>
      </c>
      <c r="H43" t="s">
        <v>77</v>
      </c>
      <c r="I4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0220-AAE9-4AF8-AB91-5609A5FE117F}">
  <sheetPr codeName="Sheet4"/>
  <dimension ref="A1:S120"/>
  <sheetViews>
    <sheetView zoomScaleNormal="100" workbookViewId="0">
      <selection activeCell="B1" sqref="B1"/>
    </sheetView>
  </sheetViews>
  <sheetFormatPr defaultColWidth="8.77734375" defaultRowHeight="14.4" x14ac:dyDescent="0.3"/>
  <cols>
    <col min="1" max="1" width="77.109375" bestFit="1" customWidth="1"/>
    <col min="2" max="2" width="11.6640625" bestFit="1" customWidth="1"/>
    <col min="3" max="3" width="17.6640625" bestFit="1" customWidth="1"/>
    <col min="6" max="6" width="23.33203125" bestFit="1" customWidth="1"/>
    <col min="7" max="7" width="14.77734375" customWidth="1"/>
    <col min="15" max="15" width="10" bestFit="1" customWidth="1"/>
  </cols>
  <sheetData>
    <row r="1" spans="1:8" x14ac:dyDescent="0.3">
      <c r="A1" s="8" t="s">
        <v>1</v>
      </c>
      <c r="B1" s="8" t="s">
        <v>97</v>
      </c>
    </row>
    <row r="2" spans="1:8" x14ac:dyDescent="0.3">
      <c r="A2" t="s">
        <v>2</v>
      </c>
      <c r="B2" t="s">
        <v>98</v>
      </c>
    </row>
    <row r="3" spans="1:8" x14ac:dyDescent="0.3">
      <c r="A3" t="s">
        <v>3</v>
      </c>
      <c r="B3" t="s">
        <v>21</v>
      </c>
    </row>
    <row r="4" spans="1:8" x14ac:dyDescent="0.3">
      <c r="A4" t="s">
        <v>5</v>
      </c>
      <c r="B4">
        <v>1</v>
      </c>
    </row>
    <row r="5" spans="1:8" x14ac:dyDescent="0.3">
      <c r="A5" t="s">
        <v>4</v>
      </c>
      <c r="B5" t="s">
        <v>503</v>
      </c>
    </row>
    <row r="6" spans="1:8" x14ac:dyDescent="0.3">
      <c r="A6" t="s">
        <v>6</v>
      </c>
      <c r="B6" t="s">
        <v>15</v>
      </c>
    </row>
    <row r="7" spans="1:8" x14ac:dyDescent="0.3">
      <c r="A7" s="8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3</v>
      </c>
      <c r="E8" t="s">
        <v>6</v>
      </c>
      <c r="F8" t="s">
        <v>12</v>
      </c>
      <c r="G8" t="s">
        <v>13</v>
      </c>
      <c r="H8" t="s">
        <v>4</v>
      </c>
    </row>
    <row r="9" spans="1:8" x14ac:dyDescent="0.3">
      <c r="A9" t="s">
        <v>99</v>
      </c>
      <c r="B9" s="12">
        <v>1.0600000000000001E-9</v>
      </c>
      <c r="C9" t="s">
        <v>16</v>
      </c>
      <c r="E9" t="s">
        <v>15</v>
      </c>
      <c r="F9" t="s">
        <v>51</v>
      </c>
      <c r="G9" t="s">
        <v>18</v>
      </c>
    </row>
    <row r="10" spans="1:8" x14ac:dyDescent="0.3">
      <c r="A10" t="s">
        <v>100</v>
      </c>
      <c r="B10" s="12">
        <v>4.9300000000000002E-12</v>
      </c>
      <c r="C10" t="s">
        <v>16</v>
      </c>
      <c r="E10" t="s">
        <v>15</v>
      </c>
      <c r="F10" t="s">
        <v>51</v>
      </c>
      <c r="G10" t="s">
        <v>18</v>
      </c>
    </row>
    <row r="11" spans="1:8" x14ac:dyDescent="0.3">
      <c r="A11" t="s">
        <v>101</v>
      </c>
      <c r="B11" s="12">
        <v>9.4899999999999993E-12</v>
      </c>
      <c r="C11" t="s">
        <v>16</v>
      </c>
      <c r="E11" t="s">
        <v>15</v>
      </c>
      <c r="F11" t="s">
        <v>51</v>
      </c>
      <c r="G11" t="s">
        <v>18</v>
      </c>
    </row>
    <row r="12" spans="1:8" x14ac:dyDescent="0.3">
      <c r="A12" t="s">
        <v>102</v>
      </c>
      <c r="B12" s="12">
        <v>8.1599999999999992E-12</v>
      </c>
      <c r="C12" t="s">
        <v>16</v>
      </c>
      <c r="E12" t="s">
        <v>15</v>
      </c>
      <c r="F12" t="s">
        <v>51</v>
      </c>
      <c r="G12" t="s">
        <v>18</v>
      </c>
    </row>
    <row r="13" spans="1:8" x14ac:dyDescent="0.3">
      <c r="A13" t="s">
        <v>103</v>
      </c>
      <c r="B13" s="12">
        <v>2.1999999999999999E-12</v>
      </c>
      <c r="C13" t="s">
        <v>16</v>
      </c>
      <c r="E13" t="s">
        <v>15</v>
      </c>
      <c r="F13" t="s">
        <v>51</v>
      </c>
      <c r="G13" t="s">
        <v>18</v>
      </c>
    </row>
    <row r="14" spans="1:8" x14ac:dyDescent="0.3">
      <c r="A14" t="s">
        <v>50</v>
      </c>
      <c r="B14" s="13">
        <v>5.2299999999999999E-2</v>
      </c>
      <c r="C14" t="s">
        <v>16</v>
      </c>
      <c r="E14" t="s">
        <v>15</v>
      </c>
      <c r="F14" t="s">
        <v>51</v>
      </c>
      <c r="G14" t="s">
        <v>18</v>
      </c>
    </row>
    <row r="15" spans="1:8" x14ac:dyDescent="0.3">
      <c r="A15" t="s">
        <v>104</v>
      </c>
      <c r="B15" s="12">
        <v>2.4899999999999998E-4</v>
      </c>
      <c r="C15" t="s">
        <v>16</v>
      </c>
      <c r="E15" t="s">
        <v>15</v>
      </c>
      <c r="F15" t="s">
        <v>51</v>
      </c>
      <c r="G15" t="s">
        <v>18</v>
      </c>
    </row>
    <row r="16" spans="1:8" x14ac:dyDescent="0.3">
      <c r="A16" t="s">
        <v>105</v>
      </c>
      <c r="B16" s="12">
        <v>6.6999999999999993E-12</v>
      </c>
      <c r="C16" t="s">
        <v>16</v>
      </c>
      <c r="E16" t="s">
        <v>15</v>
      </c>
      <c r="F16" t="s">
        <v>51</v>
      </c>
      <c r="G16" t="s">
        <v>18</v>
      </c>
    </row>
    <row r="17" spans="1:8" x14ac:dyDescent="0.3">
      <c r="A17" t="s">
        <v>106</v>
      </c>
      <c r="B17" s="12">
        <v>6.6999999999999997E-13</v>
      </c>
      <c r="C17" t="s">
        <v>16</v>
      </c>
      <c r="E17" t="s">
        <v>15</v>
      </c>
      <c r="F17" t="s">
        <v>51</v>
      </c>
      <c r="G17" t="s">
        <v>18</v>
      </c>
    </row>
    <row r="18" spans="1:8" x14ac:dyDescent="0.3">
      <c r="A18" t="s">
        <v>107</v>
      </c>
      <c r="B18" s="12">
        <v>8.8099999999999991E-7</v>
      </c>
      <c r="C18" t="s">
        <v>16</v>
      </c>
      <c r="E18" t="s">
        <v>15</v>
      </c>
      <c r="F18" t="s">
        <v>51</v>
      </c>
      <c r="G18" t="s">
        <v>18</v>
      </c>
    </row>
    <row r="19" spans="1:8" x14ac:dyDescent="0.3">
      <c r="A19" t="s">
        <v>108</v>
      </c>
      <c r="B19" s="12">
        <v>2.86E-11</v>
      </c>
      <c r="C19" t="s">
        <v>16</v>
      </c>
      <c r="E19" t="s">
        <v>15</v>
      </c>
      <c r="F19" t="s">
        <v>51</v>
      </c>
      <c r="G19" t="s">
        <v>18</v>
      </c>
    </row>
    <row r="20" spans="1:8" x14ac:dyDescent="0.3">
      <c r="A20" t="s">
        <v>109</v>
      </c>
      <c r="B20" s="12">
        <v>1.32E-11</v>
      </c>
      <c r="C20" t="s">
        <v>16</v>
      </c>
      <c r="E20" t="s">
        <v>15</v>
      </c>
      <c r="F20" t="s">
        <v>51</v>
      </c>
      <c r="G20" t="s">
        <v>18</v>
      </c>
    </row>
    <row r="21" spans="1:8" x14ac:dyDescent="0.3">
      <c r="A21" t="s">
        <v>110</v>
      </c>
      <c r="B21" s="12">
        <v>8.8100000000000006E-10</v>
      </c>
      <c r="C21" t="s">
        <v>16</v>
      </c>
      <c r="E21" t="s">
        <v>15</v>
      </c>
      <c r="F21" t="s">
        <v>51</v>
      </c>
      <c r="G21" t="s">
        <v>18</v>
      </c>
    </row>
    <row r="22" spans="1:8" x14ac:dyDescent="0.3">
      <c r="A22" t="s">
        <v>111</v>
      </c>
      <c r="B22" s="12">
        <v>8.8100000000000004E-6</v>
      </c>
      <c r="C22" t="s">
        <v>16</v>
      </c>
      <c r="E22" t="s">
        <v>15</v>
      </c>
      <c r="F22" t="s">
        <v>51</v>
      </c>
      <c r="G22" t="s">
        <v>18</v>
      </c>
    </row>
    <row r="23" spans="1:8" x14ac:dyDescent="0.3">
      <c r="A23" t="s">
        <v>112</v>
      </c>
      <c r="B23" s="12">
        <v>2.0000000000000002E-5</v>
      </c>
      <c r="C23" t="s">
        <v>16</v>
      </c>
      <c r="E23" t="s">
        <v>15</v>
      </c>
      <c r="F23" t="s">
        <v>51</v>
      </c>
      <c r="G23" t="s">
        <v>18</v>
      </c>
    </row>
    <row r="24" spans="1:8" x14ac:dyDescent="0.3">
      <c r="A24" t="s">
        <v>113</v>
      </c>
      <c r="B24" s="12">
        <v>4.4899999999999996E-12</v>
      </c>
      <c r="C24" t="s">
        <v>16</v>
      </c>
      <c r="E24" t="s">
        <v>15</v>
      </c>
      <c r="F24" t="s">
        <v>51</v>
      </c>
      <c r="G24" t="s">
        <v>18</v>
      </c>
    </row>
    <row r="25" spans="1:8" x14ac:dyDescent="0.3">
      <c r="A25" t="s">
        <v>91</v>
      </c>
      <c r="B25" s="12">
        <v>5.13E-4</v>
      </c>
      <c r="C25" t="s">
        <v>16</v>
      </c>
      <c r="E25" t="s">
        <v>15</v>
      </c>
      <c r="F25" t="s">
        <v>51</v>
      </c>
      <c r="G25" t="s">
        <v>18</v>
      </c>
    </row>
    <row r="26" spans="1:8" x14ac:dyDescent="0.3">
      <c r="A26" t="s">
        <v>114</v>
      </c>
      <c r="B26" s="12">
        <v>4.7300000000000001E-7</v>
      </c>
      <c r="C26" t="s">
        <v>16</v>
      </c>
      <c r="E26" t="s">
        <v>15</v>
      </c>
      <c r="F26" t="s">
        <v>51</v>
      </c>
      <c r="G26" t="s">
        <v>18</v>
      </c>
    </row>
    <row r="27" spans="1:8" x14ac:dyDescent="0.3">
      <c r="A27" t="s">
        <v>115</v>
      </c>
      <c r="B27" s="12">
        <v>5.9000000000000003E-6</v>
      </c>
      <c r="C27" t="s">
        <v>16</v>
      </c>
      <c r="E27" t="s">
        <v>15</v>
      </c>
      <c r="F27" t="s">
        <v>51</v>
      </c>
      <c r="G27" t="s">
        <v>18</v>
      </c>
    </row>
    <row r="28" spans="1:8" x14ac:dyDescent="0.3">
      <c r="A28" t="s">
        <v>116</v>
      </c>
      <c r="B28" s="12">
        <v>5.9000000000000003E-6</v>
      </c>
      <c r="C28" t="s">
        <v>16</v>
      </c>
      <c r="E28" t="s">
        <v>15</v>
      </c>
      <c r="F28" t="s">
        <v>51</v>
      </c>
      <c r="G28" t="s">
        <v>18</v>
      </c>
    </row>
    <row r="29" spans="1:8" x14ac:dyDescent="0.3">
      <c r="A29" t="s">
        <v>117</v>
      </c>
      <c r="B29" s="12">
        <v>9.8700000000000006E-11</v>
      </c>
      <c r="C29" t="s">
        <v>16</v>
      </c>
      <c r="E29" t="s">
        <v>15</v>
      </c>
      <c r="F29" t="s">
        <v>51</v>
      </c>
      <c r="G29" t="s">
        <v>18</v>
      </c>
    </row>
    <row r="30" spans="1:8" x14ac:dyDescent="0.3">
      <c r="A30" t="s">
        <v>118</v>
      </c>
      <c r="B30" s="12">
        <v>2.48E-6</v>
      </c>
      <c r="C30" t="s">
        <v>16</v>
      </c>
      <c r="E30" t="s">
        <v>15</v>
      </c>
      <c r="F30" t="s">
        <v>51</v>
      </c>
      <c r="G30" t="s">
        <v>18</v>
      </c>
    </row>
    <row r="31" spans="1:8" x14ac:dyDescent="0.3">
      <c r="A31" t="s">
        <v>119</v>
      </c>
      <c r="B31" s="12">
        <v>1.32E-11</v>
      </c>
      <c r="C31" t="s">
        <v>16</v>
      </c>
      <c r="E31" t="s">
        <v>15</v>
      </c>
      <c r="F31" t="s">
        <v>51</v>
      </c>
      <c r="G31" t="s">
        <v>18</v>
      </c>
    </row>
    <row r="32" spans="1:8" x14ac:dyDescent="0.3">
      <c r="A32" t="s">
        <v>97</v>
      </c>
      <c r="B32" s="13">
        <v>1</v>
      </c>
      <c r="C32" t="s">
        <v>573</v>
      </c>
      <c r="D32" t="s">
        <v>21</v>
      </c>
      <c r="E32" t="s">
        <v>15</v>
      </c>
      <c r="G32" t="s">
        <v>14</v>
      </c>
      <c r="H32" t="s">
        <v>503</v>
      </c>
    </row>
    <row r="33" spans="1:19" x14ac:dyDescent="0.3">
      <c r="A33" t="s">
        <v>29</v>
      </c>
      <c r="B33" s="13">
        <v>1</v>
      </c>
      <c r="C33" t="s">
        <v>573</v>
      </c>
      <c r="D33" t="s">
        <v>21</v>
      </c>
      <c r="E33" t="s">
        <v>15</v>
      </c>
      <c r="G33" t="s">
        <v>25</v>
      </c>
      <c r="H33" t="s">
        <v>31</v>
      </c>
    </row>
    <row r="34" spans="1:19" x14ac:dyDescent="0.3">
      <c r="A34" t="s">
        <v>47</v>
      </c>
      <c r="B34" s="13">
        <v>1</v>
      </c>
      <c r="C34" t="s">
        <v>573</v>
      </c>
      <c r="D34" t="s">
        <v>21</v>
      </c>
      <c r="E34" t="s">
        <v>15</v>
      </c>
      <c r="G34" t="s">
        <v>25</v>
      </c>
      <c r="H34" t="s">
        <v>49</v>
      </c>
    </row>
    <row r="35" spans="1:19" x14ac:dyDescent="0.3">
      <c r="A35" t="s">
        <v>120</v>
      </c>
      <c r="B35" s="13">
        <v>3.0300000000000001E-2</v>
      </c>
      <c r="C35" t="s">
        <v>574</v>
      </c>
      <c r="D35" t="s">
        <v>23</v>
      </c>
      <c r="E35" t="s">
        <v>15</v>
      </c>
      <c r="G35" t="s">
        <v>25</v>
      </c>
      <c r="H35" t="s">
        <v>121</v>
      </c>
    </row>
    <row r="36" spans="1:19" x14ac:dyDescent="0.3">
      <c r="A36" t="s">
        <v>122</v>
      </c>
      <c r="B36" s="13">
        <v>0.25</v>
      </c>
      <c r="C36" t="s">
        <v>574</v>
      </c>
      <c r="D36" t="s">
        <v>23</v>
      </c>
      <c r="E36" t="s">
        <v>7</v>
      </c>
      <c r="G36" t="s">
        <v>25</v>
      </c>
      <c r="H36" t="s">
        <v>123</v>
      </c>
    </row>
    <row r="37" spans="1:19" x14ac:dyDescent="0.3">
      <c r="A37" t="s">
        <v>124</v>
      </c>
      <c r="B37" s="13">
        <v>4.7300000000000004</v>
      </c>
      <c r="C37" t="s">
        <v>574</v>
      </c>
      <c r="D37" t="s">
        <v>23</v>
      </c>
      <c r="E37" t="s">
        <v>15</v>
      </c>
      <c r="G37" t="s">
        <v>25</v>
      </c>
      <c r="H37" t="s">
        <v>125</v>
      </c>
    </row>
    <row r="38" spans="1:19" x14ac:dyDescent="0.3">
      <c r="A38" t="s">
        <v>350</v>
      </c>
      <c r="B38" s="13">
        <v>-3.0300000000000001E-2</v>
      </c>
      <c r="C38" t="s">
        <v>574</v>
      </c>
      <c r="D38" t="s">
        <v>23</v>
      </c>
      <c r="E38" t="s">
        <v>15</v>
      </c>
      <c r="G38" t="s">
        <v>25</v>
      </c>
      <c r="H38" t="s">
        <v>351</v>
      </c>
    </row>
    <row r="39" spans="1:19" s="9" customFormat="1" x14ac:dyDescent="0.3">
      <c r="A39" s="5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3">
      <c r="A40" s="8" t="s">
        <v>1</v>
      </c>
      <c r="B40" s="8" t="s">
        <v>126</v>
      </c>
    </row>
    <row r="41" spans="1:19" x14ac:dyDescent="0.3">
      <c r="A41" t="s">
        <v>2</v>
      </c>
      <c r="B41" t="s">
        <v>127</v>
      </c>
    </row>
    <row r="42" spans="1:19" x14ac:dyDescent="0.3">
      <c r="A42" t="s">
        <v>3</v>
      </c>
      <c r="B42" t="s">
        <v>21</v>
      </c>
    </row>
    <row r="43" spans="1:19" x14ac:dyDescent="0.3">
      <c r="A43" t="s">
        <v>5</v>
      </c>
      <c r="B43">
        <v>1</v>
      </c>
    </row>
    <row r="44" spans="1:19" x14ac:dyDescent="0.3">
      <c r="A44" t="s">
        <v>4</v>
      </c>
      <c r="B44" t="s">
        <v>503</v>
      </c>
    </row>
    <row r="45" spans="1:19" x14ac:dyDescent="0.3">
      <c r="A45" t="s">
        <v>6</v>
      </c>
      <c r="B45" t="s">
        <v>15</v>
      </c>
    </row>
    <row r="46" spans="1:19" x14ac:dyDescent="0.3">
      <c r="A46" s="8" t="s">
        <v>8</v>
      </c>
    </row>
    <row r="47" spans="1:19" x14ac:dyDescent="0.3">
      <c r="A47" t="s">
        <v>9</v>
      </c>
      <c r="B47" t="s">
        <v>10</v>
      </c>
      <c r="C47" t="s">
        <v>11</v>
      </c>
      <c r="D47" t="s">
        <v>3</v>
      </c>
      <c r="E47" t="s">
        <v>6</v>
      </c>
      <c r="F47" t="s">
        <v>12</v>
      </c>
      <c r="G47" t="s">
        <v>13</v>
      </c>
      <c r="H47" t="s">
        <v>4</v>
      </c>
    </row>
    <row r="48" spans="1:19" x14ac:dyDescent="0.3">
      <c r="A48" t="s">
        <v>99</v>
      </c>
      <c r="B48" s="12">
        <v>6.3023949100658253E-10</v>
      </c>
      <c r="C48" t="s">
        <v>16</v>
      </c>
      <c r="E48" t="s">
        <v>15</v>
      </c>
      <c r="F48" t="s">
        <v>51</v>
      </c>
      <c r="G48" t="s">
        <v>18</v>
      </c>
    </row>
    <row r="49" spans="1:7" x14ac:dyDescent="0.3">
      <c r="A49" t="s">
        <v>100</v>
      </c>
      <c r="B49" s="12">
        <v>2.9411176246973849E-12</v>
      </c>
      <c r="C49" t="s">
        <v>16</v>
      </c>
      <c r="E49" t="s">
        <v>15</v>
      </c>
      <c r="F49" t="s">
        <v>51</v>
      </c>
      <c r="G49" t="s">
        <v>18</v>
      </c>
    </row>
    <row r="50" spans="1:7" x14ac:dyDescent="0.3">
      <c r="A50" t="s">
        <v>101</v>
      </c>
      <c r="B50" s="12">
        <v>4.4116764370460778E-12</v>
      </c>
      <c r="C50" t="s">
        <v>16</v>
      </c>
      <c r="E50" t="s">
        <v>15</v>
      </c>
      <c r="F50" t="s">
        <v>51</v>
      </c>
      <c r="G50" t="s">
        <v>18</v>
      </c>
    </row>
    <row r="51" spans="1:7" x14ac:dyDescent="0.3">
      <c r="A51" t="s">
        <v>102</v>
      </c>
      <c r="B51" s="12">
        <v>4.4116764370460778E-12</v>
      </c>
      <c r="C51" t="s">
        <v>16</v>
      </c>
      <c r="E51" t="s">
        <v>15</v>
      </c>
      <c r="F51" t="s">
        <v>51</v>
      </c>
      <c r="G51" t="s">
        <v>18</v>
      </c>
    </row>
    <row r="52" spans="1:7" x14ac:dyDescent="0.3">
      <c r="A52" t="s">
        <v>103</v>
      </c>
      <c r="B52" s="12">
        <v>1.31049798923591E-12</v>
      </c>
      <c r="C52" t="s">
        <v>16</v>
      </c>
      <c r="E52" t="s">
        <v>15</v>
      </c>
      <c r="F52" t="s">
        <v>51</v>
      </c>
      <c r="G52" t="s">
        <v>18</v>
      </c>
    </row>
    <row r="53" spans="1:7" x14ac:dyDescent="0.3">
      <c r="A53" t="s">
        <v>50</v>
      </c>
      <c r="B53" s="12">
        <v>1.1304295632340291E-4</v>
      </c>
      <c r="C53" t="s">
        <v>16</v>
      </c>
      <c r="E53" t="s">
        <v>15</v>
      </c>
      <c r="F53" t="s">
        <v>51</v>
      </c>
      <c r="G53" t="s">
        <v>18</v>
      </c>
    </row>
    <row r="54" spans="1:7" x14ac:dyDescent="0.3">
      <c r="A54" t="s">
        <v>104</v>
      </c>
      <c r="B54" s="12">
        <v>2.060783097577079E-4</v>
      </c>
      <c r="C54" t="s">
        <v>16</v>
      </c>
      <c r="E54" t="s">
        <v>15</v>
      </c>
      <c r="F54" t="s">
        <v>51</v>
      </c>
      <c r="G54" t="s">
        <v>18</v>
      </c>
    </row>
    <row r="55" spans="1:7" x14ac:dyDescent="0.3">
      <c r="A55" t="s">
        <v>105</v>
      </c>
      <c r="B55" s="12">
        <v>3.9915167763750219E-12</v>
      </c>
      <c r="C55" t="s">
        <v>16</v>
      </c>
      <c r="E55" t="s">
        <v>15</v>
      </c>
      <c r="F55" t="s">
        <v>51</v>
      </c>
      <c r="G55" t="s">
        <v>18</v>
      </c>
    </row>
    <row r="56" spans="1:7" x14ac:dyDescent="0.3">
      <c r="A56" t="s">
        <v>106</v>
      </c>
      <c r="B56" s="12">
        <v>3.9915167763750232E-13</v>
      </c>
      <c r="C56" t="s">
        <v>16</v>
      </c>
      <c r="E56" t="s">
        <v>15</v>
      </c>
      <c r="F56" t="s">
        <v>51</v>
      </c>
      <c r="G56" t="s">
        <v>18</v>
      </c>
    </row>
    <row r="57" spans="1:7" x14ac:dyDescent="0.3">
      <c r="A57" t="s">
        <v>107</v>
      </c>
      <c r="B57" s="12">
        <v>5.2519957583881875E-7</v>
      </c>
      <c r="C57" t="s">
        <v>16</v>
      </c>
      <c r="E57" t="s">
        <v>15</v>
      </c>
      <c r="F57" t="s">
        <v>51</v>
      </c>
      <c r="G57" t="s">
        <v>18</v>
      </c>
    </row>
    <row r="58" spans="1:7" x14ac:dyDescent="0.3">
      <c r="A58" t="s">
        <v>108</v>
      </c>
      <c r="B58" s="12">
        <v>4.4116764370460778E-12</v>
      </c>
      <c r="C58" t="s">
        <v>16</v>
      </c>
      <c r="E58" t="s">
        <v>15</v>
      </c>
      <c r="F58" t="s">
        <v>51</v>
      </c>
      <c r="G58" t="s">
        <v>18</v>
      </c>
    </row>
    <row r="59" spans="1:7" x14ac:dyDescent="0.3">
      <c r="A59" t="s">
        <v>109</v>
      </c>
      <c r="B59" s="12">
        <v>7.8829955383045564E-12</v>
      </c>
      <c r="C59" t="s">
        <v>16</v>
      </c>
      <c r="E59" t="s">
        <v>15</v>
      </c>
      <c r="F59" t="s">
        <v>51</v>
      </c>
      <c r="G59" t="s">
        <v>18</v>
      </c>
    </row>
    <row r="60" spans="1:7" x14ac:dyDescent="0.3">
      <c r="A60" t="s">
        <v>110</v>
      </c>
      <c r="B60" s="12">
        <v>5.2519957583881871E-10</v>
      </c>
      <c r="C60" t="s">
        <v>16</v>
      </c>
      <c r="E60" t="s">
        <v>15</v>
      </c>
      <c r="F60" t="s">
        <v>51</v>
      </c>
      <c r="G60" t="s">
        <v>18</v>
      </c>
    </row>
    <row r="61" spans="1:7" x14ac:dyDescent="0.3">
      <c r="A61" t="s">
        <v>111</v>
      </c>
      <c r="B61" s="12">
        <v>5.2519957583881884E-6</v>
      </c>
      <c r="C61" t="s">
        <v>16</v>
      </c>
      <c r="E61" t="s">
        <v>15</v>
      </c>
      <c r="F61" t="s">
        <v>51</v>
      </c>
      <c r="G61" t="s">
        <v>18</v>
      </c>
    </row>
    <row r="62" spans="1:7" x14ac:dyDescent="0.3">
      <c r="A62" t="s">
        <v>112</v>
      </c>
      <c r="B62" s="12">
        <v>1.350513195014106E-5</v>
      </c>
      <c r="C62" t="s">
        <v>16</v>
      </c>
      <c r="E62" t="s">
        <v>15</v>
      </c>
      <c r="F62" t="s">
        <v>51</v>
      </c>
      <c r="G62" t="s">
        <v>18</v>
      </c>
    </row>
    <row r="63" spans="1:7" x14ac:dyDescent="0.3">
      <c r="A63" t="s">
        <v>113</v>
      </c>
      <c r="B63" s="12">
        <v>2.6810187871391129E-12</v>
      </c>
      <c r="C63" t="s">
        <v>16</v>
      </c>
      <c r="E63" t="s">
        <v>15</v>
      </c>
      <c r="F63" t="s">
        <v>51</v>
      </c>
      <c r="G63" t="s">
        <v>18</v>
      </c>
    </row>
    <row r="64" spans="1:7" x14ac:dyDescent="0.3">
      <c r="A64" t="s">
        <v>91</v>
      </c>
      <c r="B64" s="12">
        <v>3.3112582781456948E-4</v>
      </c>
      <c r="C64" t="s">
        <v>16</v>
      </c>
      <c r="E64" t="s">
        <v>15</v>
      </c>
      <c r="F64" t="s">
        <v>51</v>
      </c>
      <c r="G64" t="s">
        <v>18</v>
      </c>
    </row>
    <row r="65" spans="1:19" x14ac:dyDescent="0.3">
      <c r="A65" t="s">
        <v>114</v>
      </c>
      <c r="B65" s="12">
        <v>4.02152818070867E-7</v>
      </c>
      <c r="C65" t="s">
        <v>16</v>
      </c>
      <c r="E65" t="s">
        <v>15</v>
      </c>
      <c r="F65" t="s">
        <v>51</v>
      </c>
      <c r="G65" t="s">
        <v>18</v>
      </c>
    </row>
    <row r="66" spans="1:19" x14ac:dyDescent="0.3">
      <c r="A66" t="s">
        <v>115</v>
      </c>
      <c r="B66" s="12">
        <v>4.6717752746043493E-6</v>
      </c>
      <c r="C66" t="s">
        <v>16</v>
      </c>
      <c r="E66" t="s">
        <v>15</v>
      </c>
      <c r="F66" t="s">
        <v>51</v>
      </c>
      <c r="G66" t="s">
        <v>18</v>
      </c>
    </row>
    <row r="67" spans="1:19" x14ac:dyDescent="0.3">
      <c r="A67" t="s">
        <v>116</v>
      </c>
      <c r="B67" s="12">
        <v>4.6717752746043493E-6</v>
      </c>
      <c r="C67" t="s">
        <v>16</v>
      </c>
      <c r="E67" t="s">
        <v>15</v>
      </c>
      <c r="F67" t="s">
        <v>51</v>
      </c>
      <c r="G67" t="s">
        <v>18</v>
      </c>
    </row>
    <row r="68" spans="1:19" x14ac:dyDescent="0.3">
      <c r="A68" t="s">
        <v>117</v>
      </c>
      <c r="B68" s="12">
        <v>5.8822352493947708E-11</v>
      </c>
      <c r="C68" t="s">
        <v>16</v>
      </c>
      <c r="E68" t="s">
        <v>15</v>
      </c>
      <c r="F68" t="s">
        <v>51</v>
      </c>
      <c r="G68" t="s">
        <v>18</v>
      </c>
    </row>
    <row r="69" spans="1:19" x14ac:dyDescent="0.3">
      <c r="A69" t="s">
        <v>118</v>
      </c>
      <c r="B69" s="12">
        <v>1.4805626137932409E-6</v>
      </c>
      <c r="C69" t="s">
        <v>16</v>
      </c>
      <c r="E69" t="s">
        <v>15</v>
      </c>
      <c r="F69" t="s">
        <v>51</v>
      </c>
      <c r="G69" t="s">
        <v>18</v>
      </c>
    </row>
    <row r="70" spans="1:19" x14ac:dyDescent="0.3">
      <c r="A70" t="s">
        <v>119</v>
      </c>
      <c r="B70" s="12">
        <v>7.8829955383045564E-12</v>
      </c>
      <c r="C70" t="s">
        <v>16</v>
      </c>
      <c r="E70" t="s">
        <v>15</v>
      </c>
      <c r="F70" t="s">
        <v>51</v>
      </c>
      <c r="G70" t="s">
        <v>18</v>
      </c>
    </row>
    <row r="71" spans="1:19" x14ac:dyDescent="0.3">
      <c r="A71" t="s">
        <v>126</v>
      </c>
      <c r="B71" s="13">
        <v>1</v>
      </c>
      <c r="C71" t="s">
        <v>573</v>
      </c>
      <c r="D71" t="s">
        <v>21</v>
      </c>
      <c r="E71" t="s">
        <v>15</v>
      </c>
      <c r="G71" t="s">
        <v>14</v>
      </c>
      <c r="H71" t="s">
        <v>503</v>
      </c>
    </row>
    <row r="72" spans="1:19" x14ac:dyDescent="0.3">
      <c r="A72" t="s">
        <v>29</v>
      </c>
      <c r="B72" s="13">
        <v>1</v>
      </c>
      <c r="C72" t="s">
        <v>573</v>
      </c>
      <c r="D72" t="s">
        <v>21</v>
      </c>
      <c r="E72" t="s">
        <v>15</v>
      </c>
      <c r="G72" t="s">
        <v>25</v>
      </c>
      <c r="H72" t="s">
        <v>31</v>
      </c>
    </row>
    <row r="73" spans="1:19" x14ac:dyDescent="0.3">
      <c r="A73" t="s">
        <v>47</v>
      </c>
      <c r="B73" s="13">
        <v>1</v>
      </c>
      <c r="C73" t="s">
        <v>573</v>
      </c>
      <c r="D73" t="s">
        <v>21</v>
      </c>
      <c r="E73" t="s">
        <v>15</v>
      </c>
      <c r="G73" t="s">
        <v>25</v>
      </c>
      <c r="H73" t="s">
        <v>49</v>
      </c>
    </row>
    <row r="74" spans="1:19" x14ac:dyDescent="0.3">
      <c r="A74" t="s">
        <v>128</v>
      </c>
      <c r="B74" s="13">
        <v>0.36599999999999999</v>
      </c>
      <c r="C74" t="s">
        <v>574</v>
      </c>
      <c r="D74" t="s">
        <v>23</v>
      </c>
      <c r="E74" t="s">
        <v>76</v>
      </c>
      <c r="G74" t="s">
        <v>25</v>
      </c>
      <c r="H74" t="s">
        <v>77</v>
      </c>
    </row>
    <row r="75" spans="1:19" x14ac:dyDescent="0.3">
      <c r="A75" t="s">
        <v>120</v>
      </c>
      <c r="B75" s="13">
        <v>3.0300000000000001E-2</v>
      </c>
      <c r="C75" t="s">
        <v>574</v>
      </c>
      <c r="D75" t="s">
        <v>23</v>
      </c>
      <c r="E75" t="s">
        <v>15</v>
      </c>
      <c r="G75" t="s">
        <v>25</v>
      </c>
      <c r="H75" t="s">
        <v>121</v>
      </c>
    </row>
    <row r="76" spans="1:19" x14ac:dyDescent="0.3">
      <c r="A76" t="s">
        <v>122</v>
      </c>
      <c r="B76" s="13">
        <v>0.14899999999999999</v>
      </c>
      <c r="C76" t="s">
        <v>574</v>
      </c>
      <c r="D76" t="s">
        <v>23</v>
      </c>
      <c r="E76" t="s">
        <v>7</v>
      </c>
      <c r="G76" t="s">
        <v>25</v>
      </c>
      <c r="H76" t="s">
        <v>123</v>
      </c>
    </row>
    <row r="77" spans="1:19" x14ac:dyDescent="0.3">
      <c r="A77" t="s">
        <v>124</v>
      </c>
      <c r="B77" s="13">
        <v>4.7300000000000004</v>
      </c>
      <c r="C77" t="s">
        <v>574</v>
      </c>
      <c r="D77" t="s">
        <v>23</v>
      </c>
      <c r="E77" t="s">
        <v>15</v>
      </c>
      <c r="G77" t="s">
        <v>25</v>
      </c>
      <c r="H77" t="s">
        <v>125</v>
      </c>
    </row>
    <row r="78" spans="1:19" x14ac:dyDescent="0.3">
      <c r="A78" t="s">
        <v>350</v>
      </c>
      <c r="B78" s="13">
        <v>-3.0300000000000001E-2</v>
      </c>
      <c r="C78" t="s">
        <v>574</v>
      </c>
      <c r="D78" t="s">
        <v>23</v>
      </c>
      <c r="E78" t="s">
        <v>15</v>
      </c>
      <c r="G78" t="s">
        <v>25</v>
      </c>
      <c r="H78" t="s">
        <v>351</v>
      </c>
    </row>
    <row r="79" spans="1:19" s="9" customFormat="1" x14ac:dyDescent="0.3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3">
      <c r="A80" s="8" t="s">
        <v>1</v>
      </c>
      <c r="B80" s="8" t="s">
        <v>129</v>
      </c>
    </row>
    <row r="81" spans="1:19" x14ac:dyDescent="0.3">
      <c r="A81" t="s">
        <v>2</v>
      </c>
      <c r="B81" t="s">
        <v>130</v>
      </c>
    </row>
    <row r="82" spans="1:19" x14ac:dyDescent="0.3">
      <c r="A82" t="s">
        <v>3</v>
      </c>
      <c r="B82" t="s">
        <v>21</v>
      </c>
    </row>
    <row r="83" spans="1:19" x14ac:dyDescent="0.3">
      <c r="A83" t="s">
        <v>5</v>
      </c>
      <c r="B83">
        <v>1</v>
      </c>
    </row>
    <row r="84" spans="1:19" x14ac:dyDescent="0.3">
      <c r="A84" t="s">
        <v>4</v>
      </c>
      <c r="B84" t="s">
        <v>503</v>
      </c>
    </row>
    <row r="85" spans="1:19" x14ac:dyDescent="0.3">
      <c r="A85" t="s">
        <v>6</v>
      </c>
      <c r="B85" t="s">
        <v>15</v>
      </c>
    </row>
    <row r="86" spans="1:19" x14ac:dyDescent="0.3">
      <c r="A86" s="8" t="s">
        <v>8</v>
      </c>
    </row>
    <row r="87" spans="1:19" x14ac:dyDescent="0.3">
      <c r="A87" t="s">
        <v>9</v>
      </c>
      <c r="B87" t="s">
        <v>10</v>
      </c>
      <c r="C87" t="s">
        <v>11</v>
      </c>
      <c r="D87" t="s">
        <v>3</v>
      </c>
      <c r="E87" t="s">
        <v>6</v>
      </c>
      <c r="F87" t="s">
        <v>13</v>
      </c>
      <c r="G87" t="s">
        <v>4</v>
      </c>
    </row>
    <row r="88" spans="1:19" x14ac:dyDescent="0.3">
      <c r="A88" t="s">
        <v>129</v>
      </c>
      <c r="B88" s="13">
        <v>1</v>
      </c>
      <c r="C88" t="s">
        <v>573</v>
      </c>
      <c r="D88" t="s">
        <v>21</v>
      </c>
      <c r="E88" t="s">
        <v>15</v>
      </c>
      <c r="F88" t="s">
        <v>14</v>
      </c>
      <c r="G88" t="s">
        <v>503</v>
      </c>
    </row>
    <row r="89" spans="1:19" x14ac:dyDescent="0.3">
      <c r="A89" t="s">
        <v>29</v>
      </c>
      <c r="B89" s="13">
        <v>1</v>
      </c>
      <c r="C89" t="s">
        <v>573</v>
      </c>
      <c r="D89" t="s">
        <v>21</v>
      </c>
      <c r="E89" t="s">
        <v>15</v>
      </c>
      <c r="F89" t="s">
        <v>25</v>
      </c>
      <c r="G89" t="s">
        <v>31</v>
      </c>
    </row>
    <row r="90" spans="1:19" x14ac:dyDescent="0.3">
      <c r="A90" t="s">
        <v>47</v>
      </c>
      <c r="B90" s="13">
        <v>1</v>
      </c>
      <c r="C90" t="s">
        <v>573</v>
      </c>
      <c r="D90" t="s">
        <v>21</v>
      </c>
      <c r="E90" t="s">
        <v>15</v>
      </c>
      <c r="F90" t="s">
        <v>25</v>
      </c>
      <c r="G90" t="s">
        <v>49</v>
      </c>
    </row>
    <row r="91" spans="1:19" x14ac:dyDescent="0.3">
      <c r="A91" t="s">
        <v>131</v>
      </c>
      <c r="B91" s="13">
        <v>7.4999999999999997E-3</v>
      </c>
      <c r="C91" t="s">
        <v>573</v>
      </c>
      <c r="D91" t="s">
        <v>21</v>
      </c>
      <c r="E91" t="s">
        <v>15</v>
      </c>
      <c r="F91" t="s">
        <v>25</v>
      </c>
      <c r="G91" t="s">
        <v>132</v>
      </c>
    </row>
    <row r="92" spans="1:19" x14ac:dyDescent="0.3">
      <c r="A92" t="s">
        <v>133</v>
      </c>
      <c r="B92" s="13">
        <v>0.83199999999999996</v>
      </c>
      <c r="C92" t="s">
        <v>574</v>
      </c>
      <c r="D92" t="s">
        <v>23</v>
      </c>
      <c r="E92" t="s">
        <v>76</v>
      </c>
      <c r="F92" t="s">
        <v>25</v>
      </c>
      <c r="G92" t="s">
        <v>77</v>
      </c>
    </row>
    <row r="93" spans="1:19" s="9" customFormat="1" x14ac:dyDescent="0.3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3">
      <c r="A94" s="8" t="s">
        <v>1</v>
      </c>
      <c r="B94" s="8" t="s">
        <v>134</v>
      </c>
    </row>
    <row r="95" spans="1:19" x14ac:dyDescent="0.3">
      <c r="A95" t="s">
        <v>2</v>
      </c>
      <c r="B95" t="s">
        <v>135</v>
      </c>
    </row>
    <row r="96" spans="1:19" x14ac:dyDescent="0.3">
      <c r="A96" t="s">
        <v>3</v>
      </c>
      <c r="B96" t="s">
        <v>21</v>
      </c>
    </row>
    <row r="97" spans="1:17" x14ac:dyDescent="0.3">
      <c r="A97" t="s">
        <v>5</v>
      </c>
      <c r="B97">
        <v>1</v>
      </c>
    </row>
    <row r="98" spans="1:17" x14ac:dyDescent="0.3">
      <c r="A98" t="s">
        <v>4</v>
      </c>
      <c r="B98" t="s">
        <v>503</v>
      </c>
    </row>
    <row r="99" spans="1:17" x14ac:dyDescent="0.3">
      <c r="A99" t="s">
        <v>6</v>
      </c>
      <c r="B99" t="s">
        <v>15</v>
      </c>
    </row>
    <row r="100" spans="1:17" x14ac:dyDescent="0.3">
      <c r="A100" s="8" t="s">
        <v>8</v>
      </c>
    </row>
    <row r="101" spans="1:17" x14ac:dyDescent="0.3">
      <c r="A101" t="s">
        <v>9</v>
      </c>
      <c r="B101" t="s">
        <v>10</v>
      </c>
      <c r="C101" t="s">
        <v>11</v>
      </c>
      <c r="D101" t="s">
        <v>3</v>
      </c>
      <c r="E101" t="s">
        <v>6</v>
      </c>
      <c r="F101" t="s">
        <v>13</v>
      </c>
      <c r="G101" t="s">
        <v>4</v>
      </c>
    </row>
    <row r="102" spans="1:17" x14ac:dyDescent="0.3">
      <c r="A102" t="s">
        <v>134</v>
      </c>
      <c r="B102" s="13">
        <v>1</v>
      </c>
      <c r="C102" t="s">
        <v>573</v>
      </c>
      <c r="D102" t="s">
        <v>21</v>
      </c>
      <c r="E102" t="s">
        <v>15</v>
      </c>
      <c r="F102" t="s">
        <v>14</v>
      </c>
      <c r="G102" t="s">
        <v>503</v>
      </c>
    </row>
    <row r="103" spans="1:17" x14ac:dyDescent="0.3">
      <c r="A103" t="s">
        <v>29</v>
      </c>
      <c r="B103" s="13">
        <v>1</v>
      </c>
      <c r="C103" t="s">
        <v>573</v>
      </c>
      <c r="D103" t="s">
        <v>21</v>
      </c>
      <c r="E103" t="s">
        <v>15</v>
      </c>
      <c r="F103" t="s">
        <v>25</v>
      </c>
      <c r="G103" t="s">
        <v>31</v>
      </c>
    </row>
    <row r="104" spans="1:17" x14ac:dyDescent="0.3">
      <c r="A104" t="s">
        <v>47</v>
      </c>
      <c r="B104" s="13">
        <v>1</v>
      </c>
      <c r="C104" t="s">
        <v>573</v>
      </c>
      <c r="D104" t="s">
        <v>21</v>
      </c>
      <c r="E104" t="s">
        <v>15</v>
      </c>
      <c r="F104" t="s">
        <v>25</v>
      </c>
      <c r="G104" t="s">
        <v>49</v>
      </c>
    </row>
    <row r="105" spans="1:17" x14ac:dyDescent="0.3">
      <c r="A105" t="s">
        <v>131</v>
      </c>
      <c r="B105" s="13">
        <v>7.4999999999999997E-3</v>
      </c>
      <c r="C105" t="s">
        <v>573</v>
      </c>
      <c r="D105" t="s">
        <v>21</v>
      </c>
      <c r="E105" t="s">
        <v>15</v>
      </c>
      <c r="F105" t="s">
        <v>25</v>
      </c>
      <c r="G105" t="s">
        <v>132</v>
      </c>
    </row>
    <row r="106" spans="1:17" x14ac:dyDescent="0.3">
      <c r="A106" t="s">
        <v>128</v>
      </c>
      <c r="B106" s="13">
        <v>2.34</v>
      </c>
      <c r="C106" t="s">
        <v>574</v>
      </c>
      <c r="D106" t="s">
        <v>23</v>
      </c>
      <c r="E106" t="s">
        <v>76</v>
      </c>
      <c r="F106" t="s">
        <v>25</v>
      </c>
      <c r="G106" t="s">
        <v>77</v>
      </c>
    </row>
    <row r="107" spans="1:17" x14ac:dyDescent="0.3">
      <c r="A107" t="s">
        <v>136</v>
      </c>
      <c r="B107" s="13">
        <v>11.916</v>
      </c>
      <c r="C107" t="s">
        <v>573</v>
      </c>
      <c r="D107" t="s">
        <v>21</v>
      </c>
      <c r="E107" t="s">
        <v>24</v>
      </c>
      <c r="F107" t="s">
        <v>25</v>
      </c>
      <c r="G107" t="s">
        <v>136</v>
      </c>
    </row>
    <row r="108" spans="1:17" x14ac:dyDescent="0.3">
      <c r="B108" s="15"/>
      <c r="O108" s="14"/>
      <c r="Q108" s="18"/>
    </row>
    <row r="109" spans="1:17" x14ac:dyDescent="0.3">
      <c r="B109" s="15"/>
      <c r="O109" s="14"/>
      <c r="Q109" s="18"/>
    </row>
    <row r="110" spans="1:17" x14ac:dyDescent="0.3">
      <c r="B110" s="15"/>
      <c r="O110" s="14"/>
      <c r="Q110" s="18"/>
    </row>
    <row r="111" spans="1:17" x14ac:dyDescent="0.3">
      <c r="B111" s="15"/>
      <c r="O111" s="14"/>
      <c r="Q111" s="18"/>
    </row>
    <row r="112" spans="1:17" x14ac:dyDescent="0.3">
      <c r="B112" s="15"/>
      <c r="O112" s="14"/>
      <c r="Q112" s="18"/>
    </row>
    <row r="113" spans="2:17" x14ac:dyDescent="0.3">
      <c r="B113" s="15"/>
      <c r="O113" s="14"/>
      <c r="Q113" s="18"/>
    </row>
    <row r="114" spans="2:17" x14ac:dyDescent="0.3">
      <c r="B114" s="15"/>
      <c r="O114" s="14"/>
      <c r="Q114" s="18"/>
    </row>
    <row r="115" spans="2:17" x14ac:dyDescent="0.3">
      <c r="B115" s="15"/>
      <c r="O115" s="14"/>
      <c r="Q115" s="18"/>
    </row>
    <row r="116" spans="2:17" x14ac:dyDescent="0.3">
      <c r="B116" s="15"/>
      <c r="O116" s="14"/>
      <c r="Q116" s="18"/>
    </row>
    <row r="117" spans="2:17" x14ac:dyDescent="0.3">
      <c r="B117" s="15"/>
      <c r="O117" s="14"/>
      <c r="Q117" s="18"/>
    </row>
    <row r="118" spans="2:17" x14ac:dyDescent="0.3">
      <c r="B118" s="15"/>
      <c r="O118" s="14"/>
      <c r="Q118" s="18"/>
    </row>
    <row r="119" spans="2:17" x14ac:dyDescent="0.3">
      <c r="B119" s="17"/>
    </row>
    <row r="120" spans="2:17" x14ac:dyDescent="0.3">
      <c r="B120" s="1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7D0E-19AC-457E-9C9C-89FA9AE1885D}">
  <sheetPr codeName="Sheet5"/>
  <dimension ref="A1:S143"/>
  <sheetViews>
    <sheetView zoomScaleNormal="100" workbookViewId="0">
      <selection activeCell="A9" sqref="A9"/>
    </sheetView>
  </sheetViews>
  <sheetFormatPr defaultColWidth="8.77734375" defaultRowHeight="14.4" x14ac:dyDescent="0.3"/>
  <cols>
    <col min="1" max="1" width="77.109375" bestFit="1" customWidth="1"/>
    <col min="3" max="3" width="26.44140625" bestFit="1" customWidth="1"/>
    <col min="5" max="5" width="12.44140625" bestFit="1" customWidth="1"/>
    <col min="6" max="6" width="24.77734375" bestFit="1" customWidth="1"/>
    <col min="7" max="7" width="13" bestFit="1" customWidth="1"/>
  </cols>
  <sheetData>
    <row r="1" spans="1:19" x14ac:dyDescent="0.3">
      <c r="A1" s="8" t="s">
        <v>1</v>
      </c>
      <c r="B1" s="8" t="s">
        <v>476</v>
      </c>
    </row>
    <row r="2" spans="1:19" x14ac:dyDescent="0.3">
      <c r="A2" t="s">
        <v>2</v>
      </c>
      <c r="B2" t="s">
        <v>477</v>
      </c>
    </row>
    <row r="3" spans="1:19" x14ac:dyDescent="0.3">
      <c r="A3" t="s">
        <v>3</v>
      </c>
      <c r="B3" t="s">
        <v>21</v>
      </c>
    </row>
    <row r="4" spans="1:19" x14ac:dyDescent="0.3">
      <c r="A4" t="s">
        <v>5</v>
      </c>
      <c r="B4">
        <v>1</v>
      </c>
    </row>
    <row r="5" spans="1:19" x14ac:dyDescent="0.3">
      <c r="A5" t="s">
        <v>4</v>
      </c>
      <c r="B5" t="s">
        <v>504</v>
      </c>
    </row>
    <row r="6" spans="1:19" x14ac:dyDescent="0.3">
      <c r="A6" t="s">
        <v>6</v>
      </c>
      <c r="B6" t="s">
        <v>15</v>
      </c>
    </row>
    <row r="7" spans="1:19" x14ac:dyDescent="0.3">
      <c r="A7" s="8" t="s">
        <v>8</v>
      </c>
    </row>
    <row r="8" spans="1:19" x14ac:dyDescent="0.3">
      <c r="A8" t="s">
        <v>9</v>
      </c>
      <c r="B8" t="s">
        <v>10</v>
      </c>
      <c r="C8" t="s">
        <v>11</v>
      </c>
      <c r="D8" t="s">
        <v>3</v>
      </c>
      <c r="E8" t="s">
        <v>6</v>
      </c>
      <c r="F8" t="s">
        <v>12</v>
      </c>
      <c r="G8" t="s">
        <v>13</v>
      </c>
      <c r="H8" t="s">
        <v>4</v>
      </c>
    </row>
    <row r="9" spans="1:19" x14ac:dyDescent="0.3">
      <c r="A9" t="s">
        <v>476</v>
      </c>
      <c r="B9" s="13">
        <v>1</v>
      </c>
      <c r="C9" t="s">
        <v>573</v>
      </c>
      <c r="D9" t="s">
        <v>21</v>
      </c>
      <c r="E9" t="s">
        <v>15</v>
      </c>
      <c r="G9" t="s">
        <v>14</v>
      </c>
      <c r="H9" t="s">
        <v>504</v>
      </c>
    </row>
    <row r="10" spans="1:19" x14ac:dyDescent="0.3">
      <c r="A10" t="s">
        <v>406</v>
      </c>
      <c r="B10" s="13">
        <v>1</v>
      </c>
      <c r="C10" t="s">
        <v>573</v>
      </c>
      <c r="D10" t="s">
        <v>21</v>
      </c>
      <c r="E10" t="s">
        <v>15</v>
      </c>
      <c r="G10" t="s">
        <v>25</v>
      </c>
      <c r="H10" t="s">
        <v>406</v>
      </c>
    </row>
    <row r="11" spans="1:19" x14ac:dyDescent="0.3">
      <c r="A11" t="s">
        <v>473</v>
      </c>
      <c r="B11" s="13">
        <v>1.6400000000000001E-2</v>
      </c>
      <c r="C11" t="s">
        <v>574</v>
      </c>
      <c r="D11" t="s">
        <v>23</v>
      </c>
      <c r="E11" t="s">
        <v>24</v>
      </c>
      <c r="G11" t="s">
        <v>25</v>
      </c>
      <c r="H11" t="s">
        <v>26</v>
      </c>
    </row>
    <row r="12" spans="1:19" x14ac:dyDescent="0.3">
      <c r="A12" t="s">
        <v>394</v>
      </c>
      <c r="B12" s="13">
        <v>0.30199999999999999</v>
      </c>
      <c r="C12" t="s">
        <v>574</v>
      </c>
      <c r="D12" t="s">
        <v>23</v>
      </c>
      <c r="E12" t="s">
        <v>24</v>
      </c>
      <c r="G12" t="s">
        <v>25</v>
      </c>
      <c r="H12" t="s">
        <v>151</v>
      </c>
    </row>
    <row r="13" spans="1:19" x14ac:dyDescent="0.3">
      <c r="A13" t="s">
        <v>474</v>
      </c>
      <c r="B13" s="13">
        <v>1.9E-3</v>
      </c>
      <c r="C13" t="s">
        <v>574</v>
      </c>
      <c r="D13" t="s">
        <v>21</v>
      </c>
      <c r="E13" t="s">
        <v>15</v>
      </c>
      <c r="G13" t="s">
        <v>25</v>
      </c>
      <c r="H13" t="s">
        <v>475</v>
      </c>
    </row>
    <row r="14" spans="1:19" x14ac:dyDescent="0.3">
      <c r="A14" t="s">
        <v>396</v>
      </c>
      <c r="B14" s="13">
        <v>10</v>
      </c>
      <c r="C14" t="s">
        <v>574</v>
      </c>
      <c r="D14" t="s">
        <v>23</v>
      </c>
      <c r="E14" t="s">
        <v>15</v>
      </c>
      <c r="G14" t="s">
        <v>25</v>
      </c>
      <c r="H14" t="s">
        <v>28</v>
      </c>
    </row>
    <row r="15" spans="1:19" x14ac:dyDescent="0.3">
      <c r="A15" t="s">
        <v>397</v>
      </c>
      <c r="B15" s="13">
        <v>51.68</v>
      </c>
      <c r="C15" t="s">
        <v>574</v>
      </c>
      <c r="D15" t="s">
        <v>21</v>
      </c>
      <c r="E15" t="s">
        <v>76</v>
      </c>
      <c r="G15" t="s">
        <v>25</v>
      </c>
      <c r="H15" t="s">
        <v>184</v>
      </c>
    </row>
    <row r="16" spans="1:19" x14ac:dyDescent="0.3">
      <c r="A16" s="5"/>
      <c r="B16" s="5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A17" s="8" t="s">
        <v>1</v>
      </c>
      <c r="B17" s="8" t="s">
        <v>478</v>
      </c>
    </row>
    <row r="18" spans="1:19" x14ac:dyDescent="0.3">
      <c r="A18" t="s">
        <v>2</v>
      </c>
      <c r="B18" t="s">
        <v>480</v>
      </c>
    </row>
    <row r="19" spans="1:19" x14ac:dyDescent="0.3">
      <c r="A19" t="s">
        <v>3</v>
      </c>
      <c r="B19" t="s">
        <v>21</v>
      </c>
    </row>
    <row r="20" spans="1:19" x14ac:dyDescent="0.3">
      <c r="A20" t="s">
        <v>5</v>
      </c>
      <c r="B20">
        <v>1</v>
      </c>
    </row>
    <row r="21" spans="1:19" x14ac:dyDescent="0.3">
      <c r="A21" t="s">
        <v>4</v>
      </c>
      <c r="B21" t="s">
        <v>504</v>
      </c>
    </row>
    <row r="22" spans="1:19" x14ac:dyDescent="0.3">
      <c r="A22" t="s">
        <v>6</v>
      </c>
      <c r="B22" t="s">
        <v>15</v>
      </c>
    </row>
    <row r="23" spans="1:19" x14ac:dyDescent="0.3">
      <c r="A23" s="8" t="s">
        <v>8</v>
      </c>
    </row>
    <row r="24" spans="1:19" x14ac:dyDescent="0.3">
      <c r="A24" t="s">
        <v>9</v>
      </c>
      <c r="B24" t="s">
        <v>10</v>
      </c>
      <c r="C24" t="s">
        <v>11</v>
      </c>
      <c r="D24" t="s">
        <v>3</v>
      </c>
      <c r="E24" t="s">
        <v>6</v>
      </c>
      <c r="F24" t="s">
        <v>12</v>
      </c>
      <c r="G24" t="s">
        <v>13</v>
      </c>
      <c r="H24" t="s">
        <v>4</v>
      </c>
    </row>
    <row r="25" spans="1:19" x14ac:dyDescent="0.3">
      <c r="A25" t="s">
        <v>478</v>
      </c>
      <c r="B25" s="13">
        <v>1</v>
      </c>
      <c r="C25" t="s">
        <v>573</v>
      </c>
      <c r="D25" t="s">
        <v>21</v>
      </c>
      <c r="E25" t="s">
        <v>15</v>
      </c>
      <c r="G25" t="s">
        <v>14</v>
      </c>
      <c r="H25" t="s">
        <v>504</v>
      </c>
    </row>
    <row r="26" spans="1:19" x14ac:dyDescent="0.3">
      <c r="A26" t="s">
        <v>406</v>
      </c>
      <c r="B26" s="13">
        <v>1</v>
      </c>
      <c r="C26" t="s">
        <v>573</v>
      </c>
      <c r="D26" t="s">
        <v>21</v>
      </c>
      <c r="E26" t="s">
        <v>15</v>
      </c>
      <c r="G26" t="s">
        <v>25</v>
      </c>
      <c r="H26" t="s">
        <v>406</v>
      </c>
    </row>
    <row r="27" spans="1:19" x14ac:dyDescent="0.3">
      <c r="A27" t="s">
        <v>479</v>
      </c>
      <c r="B27" s="13">
        <v>51.789000000000001</v>
      </c>
      <c r="C27" t="s">
        <v>574</v>
      </c>
      <c r="D27" t="s">
        <v>23</v>
      </c>
      <c r="E27" t="s">
        <v>76</v>
      </c>
      <c r="G27" t="s">
        <v>25</v>
      </c>
      <c r="H27" t="s">
        <v>77</v>
      </c>
    </row>
    <row r="28" spans="1:19" x14ac:dyDescent="0.3">
      <c r="A28" t="s">
        <v>473</v>
      </c>
      <c r="B28" s="13">
        <v>1.6400000000000001E-2</v>
      </c>
      <c r="C28" t="s">
        <v>574</v>
      </c>
      <c r="D28" t="s">
        <v>23</v>
      </c>
      <c r="E28" t="s">
        <v>24</v>
      </c>
      <c r="G28" t="s">
        <v>25</v>
      </c>
      <c r="H28" t="s">
        <v>26</v>
      </c>
    </row>
    <row r="29" spans="1:19" x14ac:dyDescent="0.3">
      <c r="A29" t="s">
        <v>394</v>
      </c>
      <c r="B29" s="13">
        <v>0.30199999999999999</v>
      </c>
      <c r="C29" t="s">
        <v>574</v>
      </c>
      <c r="D29" t="s">
        <v>23</v>
      </c>
      <c r="E29" t="s">
        <v>24</v>
      </c>
      <c r="G29" t="s">
        <v>25</v>
      </c>
      <c r="H29" t="s">
        <v>151</v>
      </c>
    </row>
    <row r="30" spans="1:19" x14ac:dyDescent="0.3">
      <c r="A30" t="s">
        <v>474</v>
      </c>
      <c r="B30" s="13">
        <v>1.9E-3</v>
      </c>
      <c r="C30" t="s">
        <v>574</v>
      </c>
      <c r="D30" t="s">
        <v>21</v>
      </c>
      <c r="E30" t="s">
        <v>15</v>
      </c>
      <c r="G30" t="s">
        <v>25</v>
      </c>
      <c r="H30" t="s">
        <v>475</v>
      </c>
    </row>
    <row r="31" spans="1:19" x14ac:dyDescent="0.3">
      <c r="A31" t="s">
        <v>396</v>
      </c>
      <c r="B31" s="13">
        <v>10</v>
      </c>
      <c r="C31" t="s">
        <v>574</v>
      </c>
      <c r="D31" t="s">
        <v>23</v>
      </c>
      <c r="E31" t="s">
        <v>15</v>
      </c>
      <c r="G31" t="s">
        <v>25</v>
      </c>
      <c r="H31" t="s">
        <v>28</v>
      </c>
    </row>
    <row r="32" spans="1:19" x14ac:dyDescent="0.3">
      <c r="A32" s="5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3">
      <c r="A33" s="8" t="s">
        <v>1</v>
      </c>
      <c r="B33" s="8" t="s">
        <v>481</v>
      </c>
    </row>
    <row r="34" spans="1:19" x14ac:dyDescent="0.3">
      <c r="A34" t="s">
        <v>2</v>
      </c>
      <c r="B34" t="s">
        <v>482</v>
      </c>
    </row>
    <row r="35" spans="1:19" x14ac:dyDescent="0.3">
      <c r="A35" t="s">
        <v>3</v>
      </c>
      <c r="B35" t="s">
        <v>21</v>
      </c>
    </row>
    <row r="36" spans="1:19" x14ac:dyDescent="0.3">
      <c r="A36" t="s">
        <v>5</v>
      </c>
      <c r="B36">
        <v>1</v>
      </c>
    </row>
    <row r="37" spans="1:19" x14ac:dyDescent="0.3">
      <c r="A37" t="s">
        <v>4</v>
      </c>
      <c r="B37" t="s">
        <v>504</v>
      </c>
    </row>
    <row r="38" spans="1:19" x14ac:dyDescent="0.3">
      <c r="A38" t="s">
        <v>6</v>
      </c>
      <c r="B38" t="s">
        <v>15</v>
      </c>
    </row>
    <row r="39" spans="1:19" x14ac:dyDescent="0.3">
      <c r="A39" s="8" t="s">
        <v>8</v>
      </c>
    </row>
    <row r="40" spans="1:19" x14ac:dyDescent="0.3">
      <c r="A40" t="s">
        <v>9</v>
      </c>
      <c r="B40" t="s">
        <v>10</v>
      </c>
      <c r="C40" t="s">
        <v>11</v>
      </c>
      <c r="D40" t="s">
        <v>3</v>
      </c>
      <c r="E40" t="s">
        <v>6</v>
      </c>
      <c r="F40" t="s">
        <v>12</v>
      </c>
      <c r="G40" t="s">
        <v>13</v>
      </c>
      <c r="H40" t="s">
        <v>4</v>
      </c>
    </row>
    <row r="41" spans="1:19" x14ac:dyDescent="0.3">
      <c r="A41" t="s">
        <v>481</v>
      </c>
      <c r="B41" s="13">
        <v>1</v>
      </c>
      <c r="C41" t="s">
        <v>573</v>
      </c>
      <c r="D41" t="s">
        <v>21</v>
      </c>
      <c r="E41" t="s">
        <v>15</v>
      </c>
      <c r="G41" t="s">
        <v>14</v>
      </c>
      <c r="H41" t="s">
        <v>504</v>
      </c>
    </row>
    <row r="42" spans="1:19" x14ac:dyDescent="0.3">
      <c r="A42" t="s">
        <v>406</v>
      </c>
      <c r="B42" s="13">
        <v>1</v>
      </c>
      <c r="C42" t="s">
        <v>573</v>
      </c>
      <c r="D42" t="s">
        <v>21</v>
      </c>
      <c r="E42" t="s">
        <v>15</v>
      </c>
      <c r="G42" t="s">
        <v>25</v>
      </c>
      <c r="H42" t="s">
        <v>406</v>
      </c>
    </row>
    <row r="43" spans="1:19" x14ac:dyDescent="0.3">
      <c r="A43" t="s">
        <v>183</v>
      </c>
      <c r="B43" s="13">
        <v>52.57</v>
      </c>
      <c r="C43" t="s">
        <v>574</v>
      </c>
      <c r="D43" t="s">
        <v>23</v>
      </c>
      <c r="E43" t="s">
        <v>76</v>
      </c>
      <c r="G43" t="s">
        <v>25</v>
      </c>
      <c r="H43" t="s">
        <v>184</v>
      </c>
    </row>
    <row r="44" spans="1:19" x14ac:dyDescent="0.3">
      <c r="A44" t="s">
        <v>473</v>
      </c>
      <c r="B44" s="13">
        <v>1.6400000000000001E-2</v>
      </c>
      <c r="C44" t="s">
        <v>574</v>
      </c>
      <c r="D44" t="s">
        <v>23</v>
      </c>
      <c r="E44" t="s">
        <v>24</v>
      </c>
      <c r="G44" t="s">
        <v>25</v>
      </c>
      <c r="H44" t="s">
        <v>26</v>
      </c>
    </row>
    <row r="45" spans="1:19" x14ac:dyDescent="0.3">
      <c r="A45" t="s">
        <v>394</v>
      </c>
      <c r="B45" s="13">
        <v>0.30199999999999999</v>
      </c>
      <c r="C45" t="s">
        <v>574</v>
      </c>
      <c r="D45" t="s">
        <v>23</v>
      </c>
      <c r="E45" t="s">
        <v>24</v>
      </c>
      <c r="G45" t="s">
        <v>25</v>
      </c>
      <c r="H45" t="s">
        <v>151</v>
      </c>
    </row>
    <row r="46" spans="1:19" x14ac:dyDescent="0.3">
      <c r="A46" t="s">
        <v>474</v>
      </c>
      <c r="B46" s="13">
        <v>1.9E-3</v>
      </c>
      <c r="C46" t="s">
        <v>574</v>
      </c>
      <c r="D46" t="s">
        <v>21</v>
      </c>
      <c r="E46" t="s">
        <v>15</v>
      </c>
      <c r="G46" t="s">
        <v>25</v>
      </c>
      <c r="H46" t="s">
        <v>475</v>
      </c>
    </row>
    <row r="47" spans="1:19" x14ac:dyDescent="0.3">
      <c r="A47" t="s">
        <v>396</v>
      </c>
      <c r="B47" s="13">
        <v>10</v>
      </c>
      <c r="C47" t="s">
        <v>574</v>
      </c>
      <c r="D47" t="s">
        <v>23</v>
      </c>
      <c r="E47" t="s">
        <v>15</v>
      </c>
      <c r="G47" t="s">
        <v>25</v>
      </c>
      <c r="H47" t="s">
        <v>28</v>
      </c>
    </row>
    <row r="48" spans="1:19" x14ac:dyDescent="0.3">
      <c r="A48" s="5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3">
      <c r="A49" s="8" t="s">
        <v>1</v>
      </c>
      <c r="B49" s="8" t="s">
        <v>485</v>
      </c>
    </row>
    <row r="50" spans="1:19" x14ac:dyDescent="0.3">
      <c r="A50" t="s">
        <v>2</v>
      </c>
      <c r="B50" t="s">
        <v>483</v>
      </c>
    </row>
    <row r="51" spans="1:19" x14ac:dyDescent="0.3">
      <c r="A51" t="s">
        <v>3</v>
      </c>
      <c r="B51" t="s">
        <v>21</v>
      </c>
    </row>
    <row r="52" spans="1:19" x14ac:dyDescent="0.3">
      <c r="A52" t="s">
        <v>5</v>
      </c>
      <c r="B52">
        <v>1</v>
      </c>
    </row>
    <row r="53" spans="1:19" x14ac:dyDescent="0.3">
      <c r="A53" t="s">
        <v>4</v>
      </c>
      <c r="B53" t="s">
        <v>504</v>
      </c>
    </row>
    <row r="54" spans="1:19" x14ac:dyDescent="0.3">
      <c r="A54" t="s">
        <v>6</v>
      </c>
      <c r="B54" t="s">
        <v>15</v>
      </c>
    </row>
    <row r="55" spans="1:19" x14ac:dyDescent="0.3">
      <c r="A55" s="8" t="s">
        <v>8</v>
      </c>
    </row>
    <row r="56" spans="1:19" x14ac:dyDescent="0.3">
      <c r="A56" t="s">
        <v>9</v>
      </c>
      <c r="B56" t="s">
        <v>10</v>
      </c>
      <c r="C56" t="s">
        <v>11</v>
      </c>
      <c r="D56" t="s">
        <v>3</v>
      </c>
      <c r="E56" t="s">
        <v>6</v>
      </c>
      <c r="F56" t="s">
        <v>12</v>
      </c>
      <c r="G56" t="s">
        <v>13</v>
      </c>
      <c r="H56" t="s">
        <v>4</v>
      </c>
    </row>
    <row r="57" spans="1:19" x14ac:dyDescent="0.3">
      <c r="A57" t="s">
        <v>485</v>
      </c>
      <c r="B57" s="13">
        <v>1</v>
      </c>
      <c r="C57" t="s">
        <v>573</v>
      </c>
      <c r="D57" t="s">
        <v>21</v>
      </c>
      <c r="E57" t="s">
        <v>15</v>
      </c>
      <c r="G57" t="s">
        <v>14</v>
      </c>
      <c r="H57" t="s">
        <v>504</v>
      </c>
    </row>
    <row r="58" spans="1:19" x14ac:dyDescent="0.3">
      <c r="A58" t="s">
        <v>406</v>
      </c>
      <c r="B58" s="13">
        <v>1</v>
      </c>
      <c r="C58" t="s">
        <v>573</v>
      </c>
      <c r="D58" t="s">
        <v>21</v>
      </c>
      <c r="E58" t="s">
        <v>15</v>
      </c>
      <c r="G58" t="s">
        <v>25</v>
      </c>
      <c r="H58" t="s">
        <v>406</v>
      </c>
    </row>
    <row r="59" spans="1:19" x14ac:dyDescent="0.3">
      <c r="A59" t="s">
        <v>484</v>
      </c>
      <c r="B59" s="13">
        <v>52</v>
      </c>
      <c r="C59" t="s">
        <v>574</v>
      </c>
      <c r="D59" t="s">
        <v>23</v>
      </c>
      <c r="E59" t="s">
        <v>76</v>
      </c>
      <c r="G59" t="s">
        <v>25</v>
      </c>
      <c r="H59" t="s">
        <v>77</v>
      </c>
    </row>
    <row r="60" spans="1:19" x14ac:dyDescent="0.3">
      <c r="A60" t="s">
        <v>473</v>
      </c>
      <c r="B60" s="13">
        <v>1.6400000000000001E-2</v>
      </c>
      <c r="C60" t="s">
        <v>574</v>
      </c>
      <c r="D60" t="s">
        <v>23</v>
      </c>
      <c r="E60" t="s">
        <v>24</v>
      </c>
      <c r="G60" t="s">
        <v>25</v>
      </c>
      <c r="H60" t="s">
        <v>26</v>
      </c>
    </row>
    <row r="61" spans="1:19" x14ac:dyDescent="0.3">
      <c r="A61" t="s">
        <v>394</v>
      </c>
      <c r="B61" s="13">
        <v>0.30199999999999999</v>
      </c>
      <c r="C61" t="s">
        <v>574</v>
      </c>
      <c r="D61" t="s">
        <v>23</v>
      </c>
      <c r="E61" t="s">
        <v>24</v>
      </c>
      <c r="G61" t="s">
        <v>25</v>
      </c>
      <c r="H61" t="s">
        <v>151</v>
      </c>
    </row>
    <row r="62" spans="1:19" x14ac:dyDescent="0.3">
      <c r="A62" t="s">
        <v>474</v>
      </c>
      <c r="B62" s="13">
        <v>1.9E-3</v>
      </c>
      <c r="C62" t="s">
        <v>574</v>
      </c>
      <c r="D62" t="s">
        <v>21</v>
      </c>
      <c r="E62" t="s">
        <v>15</v>
      </c>
      <c r="G62" t="s">
        <v>25</v>
      </c>
      <c r="H62" t="s">
        <v>475</v>
      </c>
    </row>
    <row r="63" spans="1:19" x14ac:dyDescent="0.3">
      <c r="A63" t="s">
        <v>396</v>
      </c>
      <c r="B63" s="13">
        <v>10</v>
      </c>
      <c r="C63" t="s">
        <v>574</v>
      </c>
      <c r="D63" t="s">
        <v>23</v>
      </c>
      <c r="E63" t="s">
        <v>15</v>
      </c>
      <c r="G63" t="s">
        <v>25</v>
      </c>
      <c r="H63" t="s">
        <v>28</v>
      </c>
    </row>
    <row r="64" spans="1:19" x14ac:dyDescent="0.3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x14ac:dyDescent="0.3">
      <c r="A65" s="8" t="s">
        <v>1</v>
      </c>
      <c r="B65" s="8" t="s">
        <v>486</v>
      </c>
    </row>
    <row r="66" spans="1:19" x14ac:dyDescent="0.3">
      <c r="A66" t="s">
        <v>2</v>
      </c>
      <c r="B66" t="s">
        <v>487</v>
      </c>
    </row>
    <row r="67" spans="1:19" x14ac:dyDescent="0.3">
      <c r="A67" t="s">
        <v>3</v>
      </c>
      <c r="B67" t="s">
        <v>21</v>
      </c>
    </row>
    <row r="68" spans="1:19" x14ac:dyDescent="0.3">
      <c r="A68" t="s">
        <v>5</v>
      </c>
      <c r="B68">
        <v>1</v>
      </c>
    </row>
    <row r="69" spans="1:19" x14ac:dyDescent="0.3">
      <c r="A69" t="s">
        <v>4</v>
      </c>
      <c r="B69" t="s">
        <v>504</v>
      </c>
    </row>
    <row r="70" spans="1:19" x14ac:dyDescent="0.3">
      <c r="A70" t="s">
        <v>6</v>
      </c>
      <c r="B70" t="s">
        <v>15</v>
      </c>
    </row>
    <row r="71" spans="1:19" x14ac:dyDescent="0.3">
      <c r="A71" s="8" t="s">
        <v>8</v>
      </c>
    </row>
    <row r="72" spans="1:19" x14ac:dyDescent="0.3">
      <c r="A72" t="s">
        <v>9</v>
      </c>
      <c r="B72" t="s">
        <v>10</v>
      </c>
      <c r="C72" t="s">
        <v>11</v>
      </c>
      <c r="D72" t="s">
        <v>3</v>
      </c>
      <c r="E72" t="s">
        <v>6</v>
      </c>
      <c r="F72" t="s">
        <v>12</v>
      </c>
      <c r="G72" t="s">
        <v>13</v>
      </c>
      <c r="H72" t="s">
        <v>4</v>
      </c>
    </row>
    <row r="73" spans="1:19" x14ac:dyDescent="0.3">
      <c r="A73" t="s">
        <v>486</v>
      </c>
      <c r="B73" s="13">
        <v>1</v>
      </c>
      <c r="C73" t="s">
        <v>573</v>
      </c>
      <c r="D73" t="s">
        <v>21</v>
      </c>
      <c r="E73" t="s">
        <v>15</v>
      </c>
      <c r="G73" t="s">
        <v>14</v>
      </c>
      <c r="H73" t="s">
        <v>504</v>
      </c>
    </row>
    <row r="74" spans="1:19" x14ac:dyDescent="0.3">
      <c r="A74" t="s">
        <v>488</v>
      </c>
      <c r="B74" s="16">
        <v>1</v>
      </c>
      <c r="C74" s="9" t="s">
        <v>573</v>
      </c>
      <c r="D74" s="9" t="s">
        <v>21</v>
      </c>
      <c r="E74" t="s">
        <v>15</v>
      </c>
      <c r="F74" s="9"/>
      <c r="G74" t="s">
        <v>25</v>
      </c>
      <c r="H74" t="s">
        <v>488</v>
      </c>
    </row>
    <row r="75" spans="1:19" x14ac:dyDescent="0.3">
      <c r="A75" t="s">
        <v>396</v>
      </c>
      <c r="B75" s="13">
        <v>11</v>
      </c>
      <c r="C75" t="s">
        <v>574</v>
      </c>
      <c r="D75" t="s">
        <v>23</v>
      </c>
      <c r="E75" t="s">
        <v>15</v>
      </c>
      <c r="G75" t="s">
        <v>25</v>
      </c>
      <c r="H75" t="s">
        <v>28</v>
      </c>
    </row>
    <row r="76" spans="1:19" x14ac:dyDescent="0.3">
      <c r="A76" t="s">
        <v>397</v>
      </c>
      <c r="B76" s="13">
        <v>63.4</v>
      </c>
      <c r="C76" t="s">
        <v>574</v>
      </c>
      <c r="D76" s="9" t="s">
        <v>21</v>
      </c>
      <c r="E76" t="s">
        <v>76</v>
      </c>
      <c r="G76" t="s">
        <v>25</v>
      </c>
      <c r="H76" t="s">
        <v>184</v>
      </c>
    </row>
    <row r="77" spans="1:19" x14ac:dyDescent="0.3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3">
      <c r="A78" s="8" t="s">
        <v>1</v>
      </c>
      <c r="B78" s="8" t="s">
        <v>495</v>
      </c>
    </row>
    <row r="79" spans="1:19" x14ac:dyDescent="0.3">
      <c r="A79" t="s">
        <v>2</v>
      </c>
      <c r="B79" t="s">
        <v>496</v>
      </c>
    </row>
    <row r="80" spans="1:19" x14ac:dyDescent="0.3">
      <c r="A80" t="s">
        <v>3</v>
      </c>
      <c r="B80" t="s">
        <v>21</v>
      </c>
    </row>
    <row r="81" spans="1:19" x14ac:dyDescent="0.3">
      <c r="A81" t="s">
        <v>5</v>
      </c>
      <c r="B81">
        <v>1</v>
      </c>
    </row>
    <row r="82" spans="1:19" x14ac:dyDescent="0.3">
      <c r="A82" t="s">
        <v>4</v>
      </c>
      <c r="B82" t="s">
        <v>504</v>
      </c>
    </row>
    <row r="83" spans="1:19" x14ac:dyDescent="0.3">
      <c r="A83" t="s">
        <v>6</v>
      </c>
      <c r="B83" t="s">
        <v>15</v>
      </c>
    </row>
    <row r="84" spans="1:19" x14ac:dyDescent="0.3">
      <c r="A84" s="8" t="s">
        <v>8</v>
      </c>
    </row>
    <row r="85" spans="1:19" x14ac:dyDescent="0.3">
      <c r="A85" t="s">
        <v>9</v>
      </c>
      <c r="B85" t="s">
        <v>10</v>
      </c>
      <c r="C85" t="s">
        <v>11</v>
      </c>
      <c r="D85" t="s">
        <v>3</v>
      </c>
      <c r="E85" t="s">
        <v>6</v>
      </c>
      <c r="F85" t="s">
        <v>12</v>
      </c>
      <c r="G85" t="s">
        <v>13</v>
      </c>
      <c r="H85" t="s">
        <v>4</v>
      </c>
    </row>
    <row r="86" spans="1:19" x14ac:dyDescent="0.3">
      <c r="A86" t="s">
        <v>495</v>
      </c>
      <c r="B86" s="13">
        <v>1</v>
      </c>
      <c r="C86" t="s">
        <v>573</v>
      </c>
      <c r="D86" t="s">
        <v>21</v>
      </c>
      <c r="E86" t="s">
        <v>15</v>
      </c>
      <c r="G86" t="s">
        <v>14</v>
      </c>
      <c r="H86" t="s">
        <v>504</v>
      </c>
    </row>
    <row r="87" spans="1:19" x14ac:dyDescent="0.3">
      <c r="A87" t="s">
        <v>488</v>
      </c>
      <c r="B87" s="16">
        <v>1</v>
      </c>
      <c r="C87" s="9" t="s">
        <v>573</v>
      </c>
      <c r="D87" s="9" t="s">
        <v>21</v>
      </c>
      <c r="E87" t="s">
        <v>15</v>
      </c>
      <c r="F87" s="9"/>
      <c r="G87" t="s">
        <v>25</v>
      </c>
      <c r="H87" t="s">
        <v>488</v>
      </c>
    </row>
    <row r="88" spans="1:19" x14ac:dyDescent="0.3">
      <c r="A88" t="s">
        <v>322</v>
      </c>
      <c r="B88" s="13">
        <v>63.4</v>
      </c>
      <c r="C88" t="s">
        <v>574</v>
      </c>
      <c r="D88" t="s">
        <v>23</v>
      </c>
      <c r="E88" t="s">
        <v>76</v>
      </c>
      <c r="G88" t="s">
        <v>25</v>
      </c>
      <c r="H88" t="s">
        <v>77</v>
      </c>
    </row>
    <row r="89" spans="1:19" x14ac:dyDescent="0.3">
      <c r="A89" t="s">
        <v>396</v>
      </c>
      <c r="B89" s="13">
        <v>11</v>
      </c>
      <c r="C89" t="s">
        <v>574</v>
      </c>
      <c r="D89" s="9" t="s">
        <v>23</v>
      </c>
      <c r="E89" t="s">
        <v>15</v>
      </c>
      <c r="G89" t="s">
        <v>25</v>
      </c>
      <c r="H89" t="s">
        <v>28</v>
      </c>
    </row>
    <row r="90" spans="1:19" x14ac:dyDescent="0.3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3">
      <c r="A91" s="8" t="s">
        <v>1</v>
      </c>
      <c r="B91" s="8" t="s">
        <v>497</v>
      </c>
    </row>
    <row r="92" spans="1:19" x14ac:dyDescent="0.3">
      <c r="A92" t="s">
        <v>2</v>
      </c>
      <c r="B92" t="s">
        <v>498</v>
      </c>
    </row>
    <row r="93" spans="1:19" x14ac:dyDescent="0.3">
      <c r="A93" t="s">
        <v>3</v>
      </c>
      <c r="B93" t="s">
        <v>21</v>
      </c>
    </row>
    <row r="94" spans="1:19" x14ac:dyDescent="0.3">
      <c r="A94" t="s">
        <v>5</v>
      </c>
      <c r="B94">
        <v>1</v>
      </c>
    </row>
    <row r="95" spans="1:19" x14ac:dyDescent="0.3">
      <c r="A95" t="s">
        <v>4</v>
      </c>
      <c r="B95" t="s">
        <v>504</v>
      </c>
    </row>
    <row r="96" spans="1:19" x14ac:dyDescent="0.3">
      <c r="A96" t="s">
        <v>6</v>
      </c>
      <c r="B96" t="s">
        <v>15</v>
      </c>
    </row>
    <row r="97" spans="1:19" x14ac:dyDescent="0.3">
      <c r="A97" s="8" t="s">
        <v>8</v>
      </c>
    </row>
    <row r="98" spans="1:19" x14ac:dyDescent="0.3">
      <c r="A98" t="s">
        <v>9</v>
      </c>
      <c r="B98" t="s">
        <v>10</v>
      </c>
      <c r="C98" t="s">
        <v>11</v>
      </c>
      <c r="D98" t="s">
        <v>3</v>
      </c>
      <c r="E98" t="s">
        <v>6</v>
      </c>
      <c r="F98" t="s">
        <v>12</v>
      </c>
      <c r="G98" t="s">
        <v>13</v>
      </c>
      <c r="H98" t="s">
        <v>4</v>
      </c>
    </row>
    <row r="99" spans="1:19" x14ac:dyDescent="0.3">
      <c r="A99" t="s">
        <v>497</v>
      </c>
      <c r="B99" s="13">
        <v>1</v>
      </c>
      <c r="C99" t="s">
        <v>573</v>
      </c>
      <c r="D99" t="s">
        <v>21</v>
      </c>
      <c r="E99" t="s">
        <v>15</v>
      </c>
      <c r="G99" t="s">
        <v>14</v>
      </c>
      <c r="H99" t="s">
        <v>504</v>
      </c>
    </row>
    <row r="100" spans="1:19" x14ac:dyDescent="0.3">
      <c r="A100" t="s">
        <v>488</v>
      </c>
      <c r="B100" s="16">
        <v>1</v>
      </c>
      <c r="C100" s="9" t="s">
        <v>573</v>
      </c>
      <c r="D100" s="9" t="s">
        <v>21</v>
      </c>
      <c r="E100" t="s">
        <v>15</v>
      </c>
      <c r="F100" s="9"/>
      <c r="G100" t="s">
        <v>25</v>
      </c>
      <c r="H100" t="s">
        <v>488</v>
      </c>
    </row>
    <row r="101" spans="1:19" x14ac:dyDescent="0.3">
      <c r="A101" t="s">
        <v>183</v>
      </c>
      <c r="B101" s="13">
        <v>64.3</v>
      </c>
      <c r="C101" t="s">
        <v>574</v>
      </c>
      <c r="D101" t="s">
        <v>23</v>
      </c>
      <c r="E101" t="s">
        <v>76</v>
      </c>
      <c r="G101" t="s">
        <v>25</v>
      </c>
      <c r="H101" t="s">
        <v>184</v>
      </c>
    </row>
    <row r="102" spans="1:19" x14ac:dyDescent="0.3">
      <c r="A102" t="s">
        <v>396</v>
      </c>
      <c r="B102" s="13">
        <v>11</v>
      </c>
      <c r="C102" t="s">
        <v>574</v>
      </c>
      <c r="D102" s="9" t="s">
        <v>23</v>
      </c>
      <c r="E102" t="s">
        <v>15</v>
      </c>
      <c r="G102" t="s">
        <v>25</v>
      </c>
      <c r="H102" t="s">
        <v>28</v>
      </c>
    </row>
    <row r="103" spans="1:19" x14ac:dyDescent="0.3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3">
      <c r="A104" s="8" t="s">
        <v>1</v>
      </c>
      <c r="B104" s="8" t="s">
        <v>499</v>
      </c>
    </row>
    <row r="105" spans="1:19" x14ac:dyDescent="0.3">
      <c r="A105" t="s">
        <v>2</v>
      </c>
      <c r="B105" t="s">
        <v>500</v>
      </c>
    </row>
    <row r="106" spans="1:19" x14ac:dyDescent="0.3">
      <c r="A106" t="s">
        <v>3</v>
      </c>
      <c r="B106" t="s">
        <v>21</v>
      </c>
    </row>
    <row r="107" spans="1:19" x14ac:dyDescent="0.3">
      <c r="A107" t="s">
        <v>5</v>
      </c>
      <c r="B107">
        <v>1</v>
      </c>
    </row>
    <row r="108" spans="1:19" x14ac:dyDescent="0.3">
      <c r="A108" t="s">
        <v>4</v>
      </c>
      <c r="B108" t="s">
        <v>504</v>
      </c>
    </row>
    <row r="109" spans="1:19" x14ac:dyDescent="0.3">
      <c r="A109" t="s">
        <v>6</v>
      </c>
      <c r="B109" t="s">
        <v>15</v>
      </c>
    </row>
    <row r="110" spans="1:19" x14ac:dyDescent="0.3">
      <c r="A110" s="8" t="s">
        <v>8</v>
      </c>
    </row>
    <row r="111" spans="1:19" x14ac:dyDescent="0.3">
      <c r="A111" t="s">
        <v>9</v>
      </c>
      <c r="B111" t="s">
        <v>10</v>
      </c>
      <c r="C111" t="s">
        <v>11</v>
      </c>
      <c r="D111" t="s">
        <v>3</v>
      </c>
      <c r="E111" t="s">
        <v>6</v>
      </c>
      <c r="F111" t="s">
        <v>12</v>
      </c>
      <c r="G111" t="s">
        <v>13</v>
      </c>
      <c r="H111" t="s">
        <v>4</v>
      </c>
    </row>
    <row r="112" spans="1:19" x14ac:dyDescent="0.3">
      <c r="A112" t="s">
        <v>499</v>
      </c>
      <c r="B112" s="13">
        <v>1</v>
      </c>
      <c r="C112" t="s">
        <v>573</v>
      </c>
      <c r="D112" t="s">
        <v>21</v>
      </c>
      <c r="E112" t="s">
        <v>15</v>
      </c>
      <c r="G112" t="s">
        <v>14</v>
      </c>
      <c r="H112" t="s">
        <v>504</v>
      </c>
    </row>
    <row r="113" spans="1:19" x14ac:dyDescent="0.3">
      <c r="A113" t="s">
        <v>488</v>
      </c>
      <c r="B113" s="16">
        <v>1</v>
      </c>
      <c r="C113" s="9" t="s">
        <v>573</v>
      </c>
      <c r="D113" s="9" t="s">
        <v>21</v>
      </c>
      <c r="E113" t="s">
        <v>15</v>
      </c>
      <c r="F113" s="9"/>
      <c r="G113" t="s">
        <v>25</v>
      </c>
      <c r="H113" t="s">
        <v>488</v>
      </c>
    </row>
    <row r="114" spans="1:19" x14ac:dyDescent="0.3">
      <c r="A114" t="s">
        <v>484</v>
      </c>
      <c r="B114" s="13">
        <v>57.2</v>
      </c>
      <c r="C114" t="s">
        <v>574</v>
      </c>
      <c r="D114" t="s">
        <v>23</v>
      </c>
      <c r="E114" t="s">
        <v>76</v>
      </c>
      <c r="G114" t="s">
        <v>25</v>
      </c>
      <c r="H114" t="s">
        <v>77</v>
      </c>
    </row>
    <row r="115" spans="1:19" x14ac:dyDescent="0.3">
      <c r="A115" t="s">
        <v>396</v>
      </c>
      <c r="B115" s="13">
        <v>11</v>
      </c>
      <c r="C115" t="s">
        <v>574</v>
      </c>
      <c r="D115" s="9" t="s">
        <v>23</v>
      </c>
      <c r="E115" t="s">
        <v>15</v>
      </c>
      <c r="G115" t="s">
        <v>25</v>
      </c>
      <c r="H115" t="s">
        <v>28</v>
      </c>
    </row>
    <row r="116" spans="1:19" x14ac:dyDescent="0.3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3">
      <c r="A117" s="8" t="s">
        <v>1</v>
      </c>
      <c r="B117" s="8" t="s">
        <v>509</v>
      </c>
    </row>
    <row r="118" spans="1:19" x14ac:dyDescent="0.3">
      <c r="A118" t="s">
        <v>2</v>
      </c>
      <c r="B118" t="s">
        <v>501</v>
      </c>
    </row>
    <row r="119" spans="1:19" x14ac:dyDescent="0.3">
      <c r="A119" t="s">
        <v>3</v>
      </c>
      <c r="B119" t="s">
        <v>21</v>
      </c>
    </row>
    <row r="120" spans="1:19" x14ac:dyDescent="0.3">
      <c r="A120" t="s">
        <v>5</v>
      </c>
      <c r="B120">
        <v>1</v>
      </c>
    </row>
    <row r="121" spans="1:19" x14ac:dyDescent="0.3">
      <c r="A121" t="s">
        <v>4</v>
      </c>
      <c r="B121" t="s">
        <v>504</v>
      </c>
    </row>
    <row r="122" spans="1:19" x14ac:dyDescent="0.3">
      <c r="A122" t="s">
        <v>6</v>
      </c>
      <c r="B122" t="s">
        <v>15</v>
      </c>
    </row>
    <row r="123" spans="1:19" x14ac:dyDescent="0.3">
      <c r="A123" s="8" t="s">
        <v>8</v>
      </c>
    </row>
    <row r="124" spans="1:19" x14ac:dyDescent="0.3">
      <c r="A124" t="s">
        <v>9</v>
      </c>
      <c r="B124" t="s">
        <v>10</v>
      </c>
      <c r="C124" t="s">
        <v>11</v>
      </c>
      <c r="D124" t="s">
        <v>3</v>
      </c>
      <c r="E124" t="s">
        <v>6</v>
      </c>
      <c r="F124" t="s">
        <v>12</v>
      </c>
      <c r="G124" t="s">
        <v>13</v>
      </c>
      <c r="H124" t="s">
        <v>4</v>
      </c>
    </row>
    <row r="125" spans="1:19" x14ac:dyDescent="0.3">
      <c r="A125" t="s">
        <v>509</v>
      </c>
      <c r="B125" s="13">
        <v>1</v>
      </c>
      <c r="C125" t="s">
        <v>573</v>
      </c>
      <c r="D125" t="s">
        <v>21</v>
      </c>
      <c r="E125" t="s">
        <v>15</v>
      </c>
      <c r="G125" t="s">
        <v>14</v>
      </c>
      <c r="H125" t="s">
        <v>504</v>
      </c>
    </row>
    <row r="126" spans="1:19" x14ac:dyDescent="0.3">
      <c r="A126" t="s">
        <v>505</v>
      </c>
      <c r="B126" s="13">
        <v>4.3239344262295081</v>
      </c>
      <c r="C126" t="s">
        <v>574</v>
      </c>
      <c r="D126" t="s">
        <v>21</v>
      </c>
      <c r="E126" t="s">
        <v>7</v>
      </c>
      <c r="G126" t="s">
        <v>25</v>
      </c>
      <c r="H126" t="s">
        <v>123</v>
      </c>
    </row>
    <row r="127" spans="1:19" x14ac:dyDescent="0.3">
      <c r="A127" s="9" t="s">
        <v>421</v>
      </c>
      <c r="B127" s="16">
        <v>0.31</v>
      </c>
      <c r="C127" t="s">
        <v>574</v>
      </c>
      <c r="D127" t="s">
        <v>21</v>
      </c>
      <c r="E127" t="s">
        <v>76</v>
      </c>
      <c r="F127" s="9"/>
      <c r="G127" t="s">
        <v>25</v>
      </c>
      <c r="H127" t="s">
        <v>77</v>
      </c>
      <c r="I127" s="9"/>
    </row>
    <row r="128" spans="1:19" x14ac:dyDescent="0.3">
      <c r="A128" s="9" t="s">
        <v>396</v>
      </c>
      <c r="B128" s="16">
        <v>21.9</v>
      </c>
      <c r="C128" t="s">
        <v>574</v>
      </c>
      <c r="D128" t="s">
        <v>23</v>
      </c>
      <c r="E128" t="s">
        <v>15</v>
      </c>
      <c r="F128" s="9"/>
      <c r="G128" t="s">
        <v>25</v>
      </c>
      <c r="H128" t="s">
        <v>28</v>
      </c>
      <c r="I128" s="9"/>
    </row>
    <row r="129" spans="1:19" x14ac:dyDescent="0.3">
      <c r="A129" t="s">
        <v>50</v>
      </c>
      <c r="B129" s="13">
        <v>9.26</v>
      </c>
      <c r="C129" t="s">
        <v>16</v>
      </c>
      <c r="E129" t="s">
        <v>15</v>
      </c>
      <c r="F129" t="s">
        <v>51</v>
      </c>
      <c r="G129" t="s">
        <v>18</v>
      </c>
    </row>
    <row r="130" spans="1:19" s="9" customFormat="1" x14ac:dyDescent="0.3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x14ac:dyDescent="0.3">
      <c r="A131" s="8" t="s">
        <v>1</v>
      </c>
      <c r="B131" s="8" t="s">
        <v>510</v>
      </c>
    </row>
    <row r="132" spans="1:19" x14ac:dyDescent="0.3">
      <c r="A132" t="s">
        <v>2</v>
      </c>
      <c r="B132" t="s">
        <v>511</v>
      </c>
    </row>
    <row r="133" spans="1:19" x14ac:dyDescent="0.3">
      <c r="A133" t="s">
        <v>3</v>
      </c>
      <c r="B133" t="s">
        <v>21</v>
      </c>
    </row>
    <row r="134" spans="1:19" x14ac:dyDescent="0.3">
      <c r="A134" t="s">
        <v>5</v>
      </c>
      <c r="B134">
        <v>1</v>
      </c>
    </row>
    <row r="135" spans="1:19" x14ac:dyDescent="0.3">
      <c r="A135" t="s">
        <v>4</v>
      </c>
      <c r="B135" t="s">
        <v>504</v>
      </c>
    </row>
    <row r="136" spans="1:19" x14ac:dyDescent="0.3">
      <c r="A136" t="s">
        <v>6</v>
      </c>
      <c r="B136" t="s">
        <v>15</v>
      </c>
    </row>
    <row r="137" spans="1:19" x14ac:dyDescent="0.3">
      <c r="A137" s="8" t="s">
        <v>8</v>
      </c>
    </row>
    <row r="138" spans="1:19" x14ac:dyDescent="0.3">
      <c r="A138" t="s">
        <v>9</v>
      </c>
      <c r="B138" t="s">
        <v>10</v>
      </c>
      <c r="C138" t="s">
        <v>11</v>
      </c>
      <c r="D138" t="s">
        <v>3</v>
      </c>
      <c r="E138" t="s">
        <v>6</v>
      </c>
      <c r="F138" t="s">
        <v>12</v>
      </c>
      <c r="G138" t="s">
        <v>13</v>
      </c>
      <c r="H138" t="s">
        <v>4</v>
      </c>
    </row>
    <row r="139" spans="1:19" x14ac:dyDescent="0.3">
      <c r="A139" t="s">
        <v>510</v>
      </c>
      <c r="B139" s="13">
        <v>1</v>
      </c>
      <c r="C139" t="s">
        <v>573</v>
      </c>
      <c r="D139" t="s">
        <v>21</v>
      </c>
      <c r="E139" t="s">
        <v>15</v>
      </c>
      <c r="G139" t="s">
        <v>14</v>
      </c>
      <c r="H139" t="s">
        <v>504</v>
      </c>
    </row>
    <row r="140" spans="1:19" x14ac:dyDescent="0.3">
      <c r="A140" t="s">
        <v>505</v>
      </c>
      <c r="B140" s="13">
        <v>4.8386885245901636</v>
      </c>
      <c r="C140" t="s">
        <v>574</v>
      </c>
      <c r="D140" t="s">
        <v>21</v>
      </c>
      <c r="E140" t="s">
        <v>7</v>
      </c>
      <c r="G140" t="s">
        <v>25</v>
      </c>
      <c r="H140" t="s">
        <v>123</v>
      </c>
    </row>
    <row r="141" spans="1:19" x14ac:dyDescent="0.3">
      <c r="A141" s="9" t="s">
        <v>421</v>
      </c>
      <c r="B141" s="16">
        <v>1.1100000000000001</v>
      </c>
      <c r="C141" t="s">
        <v>574</v>
      </c>
      <c r="D141" t="s">
        <v>21</v>
      </c>
      <c r="E141" t="s">
        <v>76</v>
      </c>
      <c r="F141" s="9"/>
      <c r="G141" t="s">
        <v>25</v>
      </c>
      <c r="H141" t="s">
        <v>77</v>
      </c>
      <c r="I141" s="9"/>
    </row>
    <row r="142" spans="1:19" x14ac:dyDescent="0.3">
      <c r="A142" s="9" t="s">
        <v>396</v>
      </c>
      <c r="B142" s="16">
        <v>23.7</v>
      </c>
      <c r="C142" t="s">
        <v>574</v>
      </c>
      <c r="D142" t="s">
        <v>23</v>
      </c>
      <c r="E142" t="s">
        <v>15</v>
      </c>
      <c r="F142" s="9"/>
      <c r="G142" t="s">
        <v>25</v>
      </c>
      <c r="H142" t="s">
        <v>28</v>
      </c>
      <c r="I142" s="9"/>
    </row>
    <row r="143" spans="1:19" x14ac:dyDescent="0.3">
      <c r="A143" t="s">
        <v>50</v>
      </c>
      <c r="B143" s="13">
        <v>1.03</v>
      </c>
      <c r="C143" t="s">
        <v>16</v>
      </c>
      <c r="E143" t="s">
        <v>15</v>
      </c>
      <c r="F143" t="s">
        <v>51</v>
      </c>
      <c r="G143" t="s">
        <v>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664D-93C3-4F1B-81E4-B055D0BFCDA4}">
  <sheetPr codeName="Sheet6"/>
  <dimension ref="A1:S64"/>
  <sheetViews>
    <sheetView topLeftCell="A23" workbookViewId="0">
      <selection activeCell="B39" sqref="B39"/>
    </sheetView>
  </sheetViews>
  <sheetFormatPr defaultColWidth="8.77734375" defaultRowHeight="14.4" x14ac:dyDescent="0.3"/>
  <cols>
    <col min="1" max="1" width="71.109375" customWidth="1"/>
    <col min="3" max="3" width="18.33203125" bestFit="1" customWidth="1"/>
    <col min="6" max="6" width="33.33203125" bestFit="1" customWidth="1"/>
    <col min="7" max="7" width="12.77734375" bestFit="1" customWidth="1"/>
    <col min="8" max="8" width="16.6640625" bestFit="1" customWidth="1"/>
  </cols>
  <sheetData>
    <row r="1" spans="1:19" x14ac:dyDescent="0.3">
      <c r="A1" s="8" t="s">
        <v>1</v>
      </c>
      <c r="B1" s="8" t="s">
        <v>553</v>
      </c>
    </row>
    <row r="2" spans="1:19" x14ac:dyDescent="0.3">
      <c r="A2" t="s">
        <v>2</v>
      </c>
      <c r="B2" t="s">
        <v>554</v>
      </c>
    </row>
    <row r="3" spans="1:19" x14ac:dyDescent="0.3">
      <c r="A3" t="s">
        <v>3</v>
      </c>
      <c r="B3" t="s">
        <v>21</v>
      </c>
    </row>
    <row r="4" spans="1:19" x14ac:dyDescent="0.3">
      <c r="A4" t="s">
        <v>5</v>
      </c>
      <c r="B4">
        <v>1</v>
      </c>
    </row>
    <row r="5" spans="1:19" x14ac:dyDescent="0.3">
      <c r="A5" t="s">
        <v>4</v>
      </c>
      <c r="B5" t="s">
        <v>555</v>
      </c>
    </row>
    <row r="6" spans="1:19" x14ac:dyDescent="0.3">
      <c r="A6" t="s">
        <v>6</v>
      </c>
      <c r="B6" t="s">
        <v>15</v>
      </c>
    </row>
    <row r="7" spans="1:19" x14ac:dyDescent="0.3">
      <c r="A7" s="8" t="s">
        <v>8</v>
      </c>
    </row>
    <row r="8" spans="1:19" x14ac:dyDescent="0.3">
      <c r="A8" t="s">
        <v>9</v>
      </c>
      <c r="B8" t="s">
        <v>10</v>
      </c>
      <c r="C8" t="s">
        <v>11</v>
      </c>
      <c r="D8" t="s">
        <v>3</v>
      </c>
      <c r="E8" t="s">
        <v>6</v>
      </c>
      <c r="F8" t="s">
        <v>12</v>
      </c>
      <c r="G8" t="s">
        <v>13</v>
      </c>
      <c r="H8" t="s">
        <v>4</v>
      </c>
    </row>
    <row r="9" spans="1:19" x14ac:dyDescent="0.3">
      <c r="A9" t="s">
        <v>553</v>
      </c>
      <c r="B9">
        <v>1</v>
      </c>
      <c r="C9" t="s">
        <v>573</v>
      </c>
      <c r="D9" t="s">
        <v>21</v>
      </c>
      <c r="E9" t="s">
        <v>15</v>
      </c>
      <c r="G9" t="s">
        <v>14</v>
      </c>
      <c r="H9" t="s">
        <v>555</v>
      </c>
    </row>
    <row r="10" spans="1:19" x14ac:dyDescent="0.3">
      <c r="A10" t="s">
        <v>556</v>
      </c>
      <c r="B10">
        <v>1</v>
      </c>
      <c r="C10" t="s">
        <v>574</v>
      </c>
      <c r="D10" t="s">
        <v>23</v>
      </c>
      <c r="E10" t="s">
        <v>15</v>
      </c>
      <c r="G10" t="s">
        <v>25</v>
      </c>
      <c r="H10" t="s">
        <v>557</v>
      </c>
    </row>
    <row r="11" spans="1:19" x14ac:dyDescent="0.3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8" t="s">
        <v>1</v>
      </c>
      <c r="B12" s="8" t="s">
        <v>559</v>
      </c>
    </row>
    <row r="13" spans="1:19" x14ac:dyDescent="0.3">
      <c r="A13" t="s">
        <v>2</v>
      </c>
      <c r="B13" t="s">
        <v>560</v>
      </c>
    </row>
    <row r="14" spans="1:19" x14ac:dyDescent="0.3">
      <c r="A14" t="s">
        <v>3</v>
      </c>
      <c r="B14" t="s">
        <v>21</v>
      </c>
    </row>
    <row r="15" spans="1:19" x14ac:dyDescent="0.3">
      <c r="A15" t="s">
        <v>5</v>
      </c>
      <c r="B15">
        <v>1</v>
      </c>
    </row>
    <row r="16" spans="1:19" x14ac:dyDescent="0.3">
      <c r="A16" t="s">
        <v>4</v>
      </c>
      <c r="B16" t="s">
        <v>555</v>
      </c>
    </row>
    <row r="17" spans="1:8" x14ac:dyDescent="0.3">
      <c r="A17" t="s">
        <v>6</v>
      </c>
      <c r="B17" t="s">
        <v>15</v>
      </c>
    </row>
    <row r="18" spans="1:8" x14ac:dyDescent="0.3">
      <c r="A18" s="8" t="s">
        <v>8</v>
      </c>
    </row>
    <row r="19" spans="1:8" x14ac:dyDescent="0.3">
      <c r="A19" t="s">
        <v>9</v>
      </c>
      <c r="B19" t="s">
        <v>10</v>
      </c>
      <c r="C19" t="s">
        <v>11</v>
      </c>
      <c r="D19" t="s">
        <v>3</v>
      </c>
      <c r="E19" t="s">
        <v>6</v>
      </c>
      <c r="F19" t="s">
        <v>12</v>
      </c>
      <c r="G19" t="s">
        <v>13</v>
      </c>
      <c r="H19" t="s">
        <v>4</v>
      </c>
    </row>
    <row r="20" spans="1:8" x14ac:dyDescent="0.3">
      <c r="A20" t="s">
        <v>559</v>
      </c>
      <c r="B20" s="13">
        <v>1</v>
      </c>
      <c r="C20" s="24" t="s">
        <v>573</v>
      </c>
      <c r="D20" t="s">
        <v>21</v>
      </c>
      <c r="E20" t="s">
        <v>15</v>
      </c>
      <c r="G20" t="s">
        <v>14</v>
      </c>
      <c r="H20" t="s">
        <v>555</v>
      </c>
    </row>
    <row r="21" spans="1:8" x14ac:dyDescent="0.3">
      <c r="A21" s="7" t="s">
        <v>505</v>
      </c>
      <c r="B21" s="29">
        <v>0.61010952990086331</v>
      </c>
      <c r="C21" s="26" t="s">
        <v>574</v>
      </c>
      <c r="D21" t="s">
        <v>21</v>
      </c>
      <c r="E21" s="7" t="s">
        <v>7</v>
      </c>
      <c r="G21" t="s">
        <v>25</v>
      </c>
      <c r="H21" s="7" t="s">
        <v>123</v>
      </c>
    </row>
    <row r="22" spans="1:8" x14ac:dyDescent="0.3">
      <c r="A22" s="7" t="s">
        <v>550</v>
      </c>
      <c r="B22" s="29">
        <v>9.9569875279820899</v>
      </c>
      <c r="C22" s="24" t="s">
        <v>573</v>
      </c>
      <c r="D22" t="s">
        <v>21</v>
      </c>
      <c r="E22" s="7" t="s">
        <v>24</v>
      </c>
      <c r="G22" t="s">
        <v>25</v>
      </c>
      <c r="H22" s="7" t="s">
        <v>551</v>
      </c>
    </row>
    <row r="23" spans="1:8" x14ac:dyDescent="0.3">
      <c r="A23" s="7" t="s">
        <v>514</v>
      </c>
      <c r="B23" s="29">
        <v>0.22777422449632231</v>
      </c>
      <c r="C23" s="26" t="s">
        <v>574</v>
      </c>
      <c r="D23" t="s">
        <v>21</v>
      </c>
      <c r="E23" s="7" t="s">
        <v>76</v>
      </c>
      <c r="F23" s="21"/>
      <c r="G23" t="s">
        <v>25</v>
      </c>
      <c r="H23" s="7" t="s">
        <v>517</v>
      </c>
    </row>
    <row r="24" spans="1:8" x14ac:dyDescent="0.3">
      <c r="A24" s="7" t="s">
        <v>561</v>
      </c>
      <c r="B24" s="23">
        <v>2.92852574352414E-5</v>
      </c>
      <c r="C24" s="26" t="s">
        <v>574</v>
      </c>
      <c r="D24" t="s">
        <v>21</v>
      </c>
      <c r="E24" s="7" t="s">
        <v>15</v>
      </c>
      <c r="F24" s="21"/>
      <c r="G24" t="s">
        <v>25</v>
      </c>
      <c r="H24" s="7" t="s">
        <v>564</v>
      </c>
    </row>
    <row r="25" spans="1:8" x14ac:dyDescent="0.3">
      <c r="A25" s="7" t="s">
        <v>414</v>
      </c>
      <c r="B25" s="23">
        <v>3.4166133674448402E-4</v>
      </c>
      <c r="C25" s="26" t="s">
        <v>574</v>
      </c>
      <c r="D25" t="s">
        <v>21</v>
      </c>
      <c r="E25" s="7" t="s">
        <v>15</v>
      </c>
      <c r="F25" s="21"/>
      <c r="G25" t="s">
        <v>25</v>
      </c>
      <c r="H25" s="7" t="s">
        <v>427</v>
      </c>
    </row>
    <row r="26" spans="1:8" x14ac:dyDescent="0.3">
      <c r="A26" s="7" t="s">
        <v>515</v>
      </c>
      <c r="B26" s="29">
        <v>0.70382235369363599</v>
      </c>
      <c r="C26" s="26" t="s">
        <v>574</v>
      </c>
      <c r="D26" t="s">
        <v>23</v>
      </c>
      <c r="E26" s="7" t="s">
        <v>15</v>
      </c>
      <c r="F26" s="21"/>
      <c r="G26" t="s">
        <v>25</v>
      </c>
      <c r="H26" s="7" t="s">
        <v>125</v>
      </c>
    </row>
    <row r="27" spans="1:8" x14ac:dyDescent="0.3">
      <c r="A27" s="7" t="s">
        <v>566</v>
      </c>
      <c r="B27" s="23">
        <v>-1.9523504956827601E-4</v>
      </c>
      <c r="C27" s="26" t="s">
        <v>574</v>
      </c>
      <c r="D27" t="s">
        <v>23</v>
      </c>
      <c r="E27" s="7" t="s">
        <v>15</v>
      </c>
      <c r="F27" s="21"/>
      <c r="G27" t="s">
        <v>25</v>
      </c>
      <c r="H27" s="7" t="s">
        <v>565</v>
      </c>
    </row>
    <row r="28" spans="1:8" x14ac:dyDescent="0.3">
      <c r="A28" s="7" t="s">
        <v>562</v>
      </c>
      <c r="B28" s="23">
        <v>3.9047009913655297E-10</v>
      </c>
      <c r="C28" s="26" t="s">
        <v>574</v>
      </c>
      <c r="D28" t="s">
        <v>21</v>
      </c>
      <c r="E28" s="7" t="s">
        <v>6</v>
      </c>
      <c r="F28" s="21"/>
      <c r="G28" t="s">
        <v>25</v>
      </c>
      <c r="H28" s="7" t="s">
        <v>518</v>
      </c>
    </row>
    <row r="29" spans="1:8" x14ac:dyDescent="0.3">
      <c r="A29" s="21" t="s">
        <v>519</v>
      </c>
      <c r="B29" s="29">
        <v>1.265123121202431</v>
      </c>
      <c r="C29" s="24" t="s">
        <v>573</v>
      </c>
      <c r="D29" t="s">
        <v>21</v>
      </c>
      <c r="E29" s="21" t="s">
        <v>15</v>
      </c>
      <c r="F29" s="21"/>
      <c r="G29" t="s">
        <v>25</v>
      </c>
      <c r="H29" s="21" t="s">
        <v>519</v>
      </c>
    </row>
    <row r="30" spans="1:8" x14ac:dyDescent="0.3">
      <c r="A30" s="7" t="s">
        <v>50</v>
      </c>
      <c r="B30" s="29">
        <v>0.14056923568915897</v>
      </c>
      <c r="C30" s="24" t="s">
        <v>16</v>
      </c>
      <c r="E30" s="7" t="s">
        <v>15</v>
      </c>
      <c r="F30" s="25" t="s">
        <v>512</v>
      </c>
      <c r="G30" t="s">
        <v>18</v>
      </c>
      <c r="H30" s="7"/>
    </row>
    <row r="31" spans="1:8" x14ac:dyDescent="0.3">
      <c r="A31" s="7" t="s">
        <v>81</v>
      </c>
      <c r="B31" s="29">
        <v>0.13666453469779299</v>
      </c>
      <c r="C31" s="24" t="s">
        <v>16</v>
      </c>
      <c r="E31" s="7" t="s">
        <v>7</v>
      </c>
      <c r="F31" s="7" t="s">
        <v>82</v>
      </c>
      <c r="G31" t="s">
        <v>18</v>
      </c>
      <c r="H31" s="21"/>
    </row>
    <row r="32" spans="1:8" x14ac:dyDescent="0.3">
      <c r="A32" s="7" t="s">
        <v>563</v>
      </c>
      <c r="B32" s="23">
        <v>1.06E-3</v>
      </c>
      <c r="C32" s="24" t="s">
        <v>16</v>
      </c>
      <c r="E32" s="7" t="s">
        <v>15</v>
      </c>
      <c r="F32" s="20" t="s">
        <v>512</v>
      </c>
      <c r="G32" t="s">
        <v>18</v>
      </c>
      <c r="H32" s="21"/>
    </row>
    <row r="33" spans="1:19" x14ac:dyDescent="0.3">
      <c r="A33" s="7" t="s">
        <v>211</v>
      </c>
      <c r="B33" s="23">
        <v>2.0100000000000001E-3</v>
      </c>
      <c r="C33" s="24" t="s">
        <v>16</v>
      </c>
      <c r="E33" s="7" t="s">
        <v>15</v>
      </c>
      <c r="F33" s="20" t="s">
        <v>512</v>
      </c>
      <c r="G33" t="s">
        <v>18</v>
      </c>
      <c r="H33" s="21"/>
    </row>
    <row r="34" spans="1:19" x14ac:dyDescent="0.3">
      <c r="A34" s="7" t="s">
        <v>516</v>
      </c>
      <c r="B34" s="23">
        <v>1.1714102974096601E-4</v>
      </c>
      <c r="C34" s="24" t="s">
        <v>16</v>
      </c>
      <c r="E34" s="7" t="s">
        <v>15</v>
      </c>
      <c r="F34" s="7" t="s">
        <v>214</v>
      </c>
      <c r="G34" t="s">
        <v>18</v>
      </c>
      <c r="H34" s="21"/>
    </row>
    <row r="35" spans="1:19" x14ac:dyDescent="0.3">
      <c r="A35" s="7" t="s">
        <v>91</v>
      </c>
      <c r="B35" s="23">
        <v>6.8332267348896695E-4</v>
      </c>
      <c r="C35" s="24" t="s">
        <v>16</v>
      </c>
      <c r="E35" s="7" t="s">
        <v>15</v>
      </c>
      <c r="F35" s="20" t="s">
        <v>512</v>
      </c>
      <c r="G35" t="s">
        <v>18</v>
      </c>
      <c r="H35" s="21"/>
    </row>
    <row r="36" spans="1:19" x14ac:dyDescent="0.3">
      <c r="A36" s="7" t="s">
        <v>92</v>
      </c>
      <c r="B36" s="23">
        <v>8.4405480892229004E-2</v>
      </c>
      <c r="C36" s="24" t="s">
        <v>16</v>
      </c>
      <c r="E36" s="7" t="s">
        <v>7</v>
      </c>
      <c r="F36" s="7" t="s">
        <v>214</v>
      </c>
      <c r="G36" t="s">
        <v>18</v>
      </c>
      <c r="H36" s="21"/>
    </row>
    <row r="37" spans="1:19" x14ac:dyDescent="0.3">
      <c r="A37" s="27" t="s">
        <v>92</v>
      </c>
      <c r="B37" s="23">
        <v>5.3103933482571197E-2</v>
      </c>
      <c r="C37" s="24" t="s">
        <v>16</v>
      </c>
      <c r="E37" s="21" t="s">
        <v>7</v>
      </c>
      <c r="F37" s="21" t="s">
        <v>51</v>
      </c>
      <c r="G37" t="s">
        <v>18</v>
      </c>
    </row>
    <row r="38" spans="1:19" x14ac:dyDescent="0.3">
      <c r="A38" s="5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3">
      <c r="A39" s="8" t="s">
        <v>1</v>
      </c>
      <c r="B39" s="8" t="s">
        <v>575</v>
      </c>
    </row>
    <row r="40" spans="1:19" x14ac:dyDescent="0.3">
      <c r="A40" t="s">
        <v>2</v>
      </c>
      <c r="B40" t="s">
        <v>567</v>
      </c>
    </row>
    <row r="41" spans="1:19" x14ac:dyDescent="0.3">
      <c r="A41" t="s">
        <v>3</v>
      </c>
      <c r="B41" t="s">
        <v>21</v>
      </c>
    </row>
    <row r="42" spans="1:19" x14ac:dyDescent="0.3">
      <c r="A42" t="s">
        <v>5</v>
      </c>
      <c r="B42">
        <v>1</v>
      </c>
    </row>
    <row r="43" spans="1:19" x14ac:dyDescent="0.3">
      <c r="A43" t="s">
        <v>4</v>
      </c>
      <c r="B43" t="s">
        <v>555</v>
      </c>
    </row>
    <row r="44" spans="1:19" x14ac:dyDescent="0.3">
      <c r="A44" t="s">
        <v>6</v>
      </c>
      <c r="B44" t="s">
        <v>15</v>
      </c>
    </row>
    <row r="45" spans="1:19" x14ac:dyDescent="0.3">
      <c r="A45" s="8" t="s">
        <v>8</v>
      </c>
    </row>
    <row r="46" spans="1:19" x14ac:dyDescent="0.3">
      <c r="A46" t="s">
        <v>9</v>
      </c>
      <c r="B46" t="s">
        <v>10</v>
      </c>
      <c r="C46" t="s">
        <v>11</v>
      </c>
      <c r="D46" t="s">
        <v>3</v>
      </c>
      <c r="E46" t="s">
        <v>6</v>
      </c>
      <c r="F46" t="s">
        <v>12</v>
      </c>
      <c r="G46" t="s">
        <v>13</v>
      </c>
      <c r="H46" t="s">
        <v>4</v>
      </c>
    </row>
    <row r="47" spans="1:19" x14ac:dyDescent="0.3">
      <c r="A47" t="s">
        <v>575</v>
      </c>
      <c r="B47" s="13">
        <v>1</v>
      </c>
      <c r="C47" s="24" t="s">
        <v>573</v>
      </c>
      <c r="D47" t="s">
        <v>21</v>
      </c>
      <c r="E47" s="21" t="s">
        <v>15</v>
      </c>
      <c r="G47" t="s">
        <v>14</v>
      </c>
      <c r="H47" t="s">
        <v>555</v>
      </c>
    </row>
    <row r="48" spans="1:19" x14ac:dyDescent="0.3">
      <c r="A48" t="s">
        <v>476</v>
      </c>
      <c r="B48" s="29">
        <v>0.17599999999999999</v>
      </c>
      <c r="C48" t="s">
        <v>573</v>
      </c>
      <c r="D48" t="s">
        <v>21</v>
      </c>
      <c r="E48" s="7" t="s">
        <v>15</v>
      </c>
      <c r="G48" t="s">
        <v>25</v>
      </c>
      <c r="H48" t="s">
        <v>504</v>
      </c>
    </row>
    <row r="49" spans="1:8" x14ac:dyDescent="0.3">
      <c r="A49" s="9" t="s">
        <v>568</v>
      </c>
      <c r="B49" s="28">
        <v>0.81499999999999995</v>
      </c>
      <c r="C49" s="9" t="s">
        <v>573</v>
      </c>
      <c r="D49" s="9" t="s">
        <v>21</v>
      </c>
      <c r="E49" s="7" t="s">
        <v>15</v>
      </c>
      <c r="F49" s="9"/>
      <c r="G49" t="s">
        <v>25</v>
      </c>
      <c r="H49" t="s">
        <v>570</v>
      </c>
    </row>
    <row r="50" spans="1:8" x14ac:dyDescent="0.3">
      <c r="A50" s="7" t="s">
        <v>514</v>
      </c>
      <c r="B50" s="29">
        <f>(0.556/0.935)*0.227774224496322</f>
        <v>0.13544649071652948</v>
      </c>
      <c r="C50" s="26" t="s">
        <v>574</v>
      </c>
      <c r="D50" s="9" t="s">
        <v>21</v>
      </c>
      <c r="E50" s="7" t="s">
        <v>76</v>
      </c>
      <c r="F50" s="21"/>
      <c r="G50" t="s">
        <v>25</v>
      </c>
      <c r="H50" s="7" t="s">
        <v>517</v>
      </c>
    </row>
    <row r="51" spans="1:8" x14ac:dyDescent="0.3">
      <c r="A51" s="20" t="s">
        <v>562</v>
      </c>
      <c r="B51" s="23">
        <v>3.9047009913655297E-10</v>
      </c>
      <c r="C51" s="26" t="s">
        <v>574</v>
      </c>
      <c r="D51" s="9" t="s">
        <v>21</v>
      </c>
      <c r="E51" s="7" t="s">
        <v>6</v>
      </c>
      <c r="F51" s="21"/>
      <c r="G51" t="s">
        <v>25</v>
      </c>
      <c r="H51" s="7" t="s">
        <v>518</v>
      </c>
    </row>
    <row r="52" spans="1:8" x14ac:dyDescent="0.3">
      <c r="A52" s="20" t="s">
        <v>414</v>
      </c>
      <c r="B52" s="23">
        <v>3.4166133674448402E-4</v>
      </c>
      <c r="C52" s="26" t="s">
        <v>574</v>
      </c>
      <c r="D52" s="9" t="s">
        <v>21</v>
      </c>
      <c r="E52" s="7" t="s">
        <v>15</v>
      </c>
      <c r="F52" s="21"/>
      <c r="G52" t="s">
        <v>25</v>
      </c>
      <c r="H52" s="7" t="s">
        <v>427</v>
      </c>
    </row>
    <row r="53" spans="1:8" x14ac:dyDescent="0.3">
      <c r="A53" s="7" t="s">
        <v>566</v>
      </c>
      <c r="B53" s="23">
        <v>-1.9523504956827601E-4</v>
      </c>
      <c r="C53" s="26" t="s">
        <v>574</v>
      </c>
      <c r="D53" t="s">
        <v>23</v>
      </c>
      <c r="E53" s="7" t="s">
        <v>15</v>
      </c>
      <c r="F53" s="21"/>
      <c r="G53" t="s">
        <v>25</v>
      </c>
      <c r="H53" s="7" t="s">
        <v>565</v>
      </c>
    </row>
    <row r="54" spans="1:8" x14ac:dyDescent="0.3">
      <c r="A54" s="20" t="s">
        <v>81</v>
      </c>
      <c r="B54" s="23">
        <v>0.13666453469779299</v>
      </c>
      <c r="C54" s="24" t="s">
        <v>16</v>
      </c>
      <c r="E54" s="7" t="s">
        <v>7</v>
      </c>
      <c r="F54" s="7" t="s">
        <v>82</v>
      </c>
      <c r="G54" t="s">
        <v>18</v>
      </c>
      <c r="H54" s="7"/>
    </row>
    <row r="55" spans="1:8" x14ac:dyDescent="0.3">
      <c r="A55" s="7" t="s">
        <v>563</v>
      </c>
      <c r="B55" s="23">
        <v>7.67E-4</v>
      </c>
      <c r="C55" s="24" t="s">
        <v>16</v>
      </c>
      <c r="E55" s="7" t="s">
        <v>15</v>
      </c>
      <c r="F55" s="20" t="s">
        <v>512</v>
      </c>
      <c r="G55" t="s">
        <v>18</v>
      </c>
      <c r="H55" s="7"/>
    </row>
    <row r="56" spans="1:8" x14ac:dyDescent="0.3">
      <c r="A56" s="7" t="s">
        <v>211</v>
      </c>
      <c r="B56" s="23">
        <v>1.6299999999999999E-3</v>
      </c>
      <c r="C56" s="24" t="s">
        <v>16</v>
      </c>
      <c r="E56" s="7" t="s">
        <v>15</v>
      </c>
      <c r="F56" s="20" t="s">
        <v>512</v>
      </c>
      <c r="G56" t="s">
        <v>18</v>
      </c>
      <c r="H56" s="21"/>
    </row>
    <row r="57" spans="1:8" x14ac:dyDescent="0.3">
      <c r="A57" s="7" t="s">
        <v>91</v>
      </c>
      <c r="B57" s="23">
        <v>6.8332267348896695E-4</v>
      </c>
      <c r="C57" s="24" t="s">
        <v>16</v>
      </c>
      <c r="E57" s="7" t="s">
        <v>15</v>
      </c>
      <c r="F57" s="20" t="s">
        <v>512</v>
      </c>
      <c r="G57" t="s">
        <v>18</v>
      </c>
      <c r="H57" s="21"/>
    </row>
    <row r="58" spans="1:8" x14ac:dyDescent="0.3">
      <c r="A58" s="7" t="s">
        <v>92</v>
      </c>
      <c r="B58" s="23">
        <f>101/997</f>
        <v>0.10130391173520562</v>
      </c>
      <c r="C58" s="24" t="s">
        <v>16</v>
      </c>
      <c r="E58" s="7" t="s">
        <v>7</v>
      </c>
      <c r="F58" s="7" t="s">
        <v>93</v>
      </c>
      <c r="G58" t="s">
        <v>18</v>
      </c>
      <c r="H58" s="7"/>
    </row>
    <row r="59" spans="1:8" x14ac:dyDescent="0.3">
      <c r="A59" s="7" t="s">
        <v>92</v>
      </c>
      <c r="B59" s="23">
        <f>47.6/997</f>
        <v>4.7743229689067204E-2</v>
      </c>
      <c r="C59" s="24" t="s">
        <v>16</v>
      </c>
      <c r="E59" s="7" t="s">
        <v>7</v>
      </c>
      <c r="F59" s="7" t="s">
        <v>51</v>
      </c>
      <c r="G59" t="s">
        <v>18</v>
      </c>
      <c r="H59" s="21"/>
    </row>
    <row r="60" spans="1:8" x14ac:dyDescent="0.3">
      <c r="A60" s="7"/>
      <c r="B60" s="23"/>
      <c r="C60" s="24"/>
      <c r="E60" s="7"/>
      <c r="F60" s="20"/>
      <c r="H60" s="21"/>
    </row>
    <row r="61" spans="1:8" x14ac:dyDescent="0.3">
      <c r="A61" s="7"/>
      <c r="B61" s="23"/>
      <c r="C61" s="24"/>
      <c r="E61" s="7"/>
      <c r="F61" s="7"/>
      <c r="H61" s="21"/>
    </row>
    <row r="62" spans="1:8" x14ac:dyDescent="0.3">
      <c r="A62" s="7"/>
      <c r="B62" s="23"/>
      <c r="C62" s="24"/>
      <c r="E62" s="7"/>
      <c r="F62" s="20"/>
      <c r="H62" s="21"/>
    </row>
    <row r="63" spans="1:8" x14ac:dyDescent="0.3">
      <c r="A63" s="7"/>
      <c r="B63" s="23"/>
      <c r="C63" s="24"/>
      <c r="E63" s="7"/>
      <c r="F63" s="7"/>
      <c r="H63" s="21"/>
    </row>
    <row r="64" spans="1:8" x14ac:dyDescent="0.3">
      <c r="A64" s="27"/>
      <c r="B64" s="23"/>
      <c r="C64" s="24"/>
      <c r="E64" s="21"/>
      <c r="F64" s="21"/>
      <c r="H64" s="2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CA65-B963-4169-8651-54A3CB21ABDF}">
  <sheetPr codeName="Sheet7"/>
  <dimension ref="A1:S67"/>
  <sheetViews>
    <sheetView zoomScaleNormal="100" workbookViewId="0">
      <selection activeCell="F28" sqref="F28"/>
    </sheetView>
  </sheetViews>
  <sheetFormatPr defaultColWidth="8.77734375" defaultRowHeight="14.4" x14ac:dyDescent="0.3"/>
  <cols>
    <col min="1" max="1" width="71.109375" customWidth="1"/>
    <col min="3" max="3" width="26.44140625" bestFit="1" customWidth="1"/>
    <col min="6" max="6" width="33.33203125" bestFit="1" customWidth="1"/>
    <col min="7" max="7" width="12.77734375" bestFit="1" customWidth="1"/>
    <col min="8" max="8" width="16.6640625" bestFit="1" customWidth="1"/>
  </cols>
  <sheetData>
    <row r="1" spans="1:19" x14ac:dyDescent="0.3">
      <c r="A1" s="8" t="s">
        <v>1</v>
      </c>
      <c r="B1" s="8" t="s">
        <v>520</v>
      </c>
    </row>
    <row r="2" spans="1:19" x14ac:dyDescent="0.3">
      <c r="A2" t="s">
        <v>2</v>
      </c>
      <c r="B2" t="s">
        <v>522</v>
      </c>
    </row>
    <row r="3" spans="1:19" x14ac:dyDescent="0.3">
      <c r="A3" t="s">
        <v>3</v>
      </c>
      <c r="B3" t="s">
        <v>21</v>
      </c>
    </row>
    <row r="4" spans="1:19" x14ac:dyDescent="0.3">
      <c r="A4" t="s">
        <v>5</v>
      </c>
      <c r="B4">
        <v>1</v>
      </c>
    </row>
    <row r="5" spans="1:19" x14ac:dyDescent="0.3">
      <c r="A5" t="s">
        <v>4</v>
      </c>
      <c r="B5" t="s">
        <v>521</v>
      </c>
    </row>
    <row r="6" spans="1:19" x14ac:dyDescent="0.3">
      <c r="A6" t="s">
        <v>6</v>
      </c>
      <c r="B6" t="s">
        <v>15</v>
      </c>
    </row>
    <row r="7" spans="1:19" x14ac:dyDescent="0.3">
      <c r="A7" s="8" t="s">
        <v>8</v>
      </c>
    </row>
    <row r="8" spans="1:19" x14ac:dyDescent="0.3">
      <c r="A8" t="s">
        <v>9</v>
      </c>
      <c r="B8" t="s">
        <v>10</v>
      </c>
      <c r="C8" t="s">
        <v>11</v>
      </c>
      <c r="D8" t="s">
        <v>3</v>
      </c>
      <c r="E8" t="s">
        <v>6</v>
      </c>
      <c r="F8" t="s">
        <v>12</v>
      </c>
      <c r="G8" t="s">
        <v>13</v>
      </c>
      <c r="H8" t="s">
        <v>4</v>
      </c>
    </row>
    <row r="9" spans="1:19" x14ac:dyDescent="0.3">
      <c r="A9" t="s">
        <v>520</v>
      </c>
      <c r="B9">
        <v>1</v>
      </c>
      <c r="C9" t="s">
        <v>573</v>
      </c>
      <c r="D9" t="s">
        <v>21</v>
      </c>
      <c r="E9" t="s">
        <v>15</v>
      </c>
      <c r="G9" t="s">
        <v>14</v>
      </c>
      <c r="H9" t="s">
        <v>521</v>
      </c>
    </row>
    <row r="10" spans="1:19" x14ac:dyDescent="0.3">
      <c r="A10" t="s">
        <v>340</v>
      </c>
      <c r="B10">
        <v>1</v>
      </c>
      <c r="C10" t="s">
        <v>574</v>
      </c>
      <c r="D10" t="s">
        <v>21</v>
      </c>
      <c r="E10" t="s">
        <v>15</v>
      </c>
      <c r="G10" t="s">
        <v>25</v>
      </c>
      <c r="H10" t="s">
        <v>341</v>
      </c>
    </row>
    <row r="11" spans="1:19" x14ac:dyDescent="0.3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8" t="s">
        <v>1</v>
      </c>
      <c r="B12" s="8" t="s">
        <v>552</v>
      </c>
    </row>
    <row r="13" spans="1:19" x14ac:dyDescent="0.3">
      <c r="A13" t="s">
        <v>2</v>
      </c>
      <c r="B13" t="s">
        <v>558</v>
      </c>
    </row>
    <row r="14" spans="1:19" x14ac:dyDescent="0.3">
      <c r="A14" t="s">
        <v>3</v>
      </c>
      <c r="B14" t="s">
        <v>21</v>
      </c>
    </row>
    <row r="15" spans="1:19" x14ac:dyDescent="0.3">
      <c r="A15" t="s">
        <v>5</v>
      </c>
      <c r="B15">
        <v>1</v>
      </c>
    </row>
    <row r="16" spans="1:19" x14ac:dyDescent="0.3">
      <c r="A16" t="s">
        <v>4</v>
      </c>
      <c r="B16" t="s">
        <v>521</v>
      </c>
    </row>
    <row r="17" spans="1:8" x14ac:dyDescent="0.3">
      <c r="A17" t="s">
        <v>6</v>
      </c>
      <c r="B17" t="s">
        <v>15</v>
      </c>
    </row>
    <row r="18" spans="1:8" x14ac:dyDescent="0.3">
      <c r="A18" s="8" t="s">
        <v>8</v>
      </c>
    </row>
    <row r="19" spans="1:8" x14ac:dyDescent="0.3">
      <c r="A19" t="s">
        <v>9</v>
      </c>
      <c r="B19" t="s">
        <v>10</v>
      </c>
      <c r="C19" t="s">
        <v>11</v>
      </c>
      <c r="D19" t="s">
        <v>3</v>
      </c>
      <c r="E19" t="s">
        <v>6</v>
      </c>
      <c r="F19" t="s">
        <v>12</v>
      </c>
      <c r="G19" t="s">
        <v>13</v>
      </c>
      <c r="H19" t="s">
        <v>4</v>
      </c>
    </row>
    <row r="20" spans="1:8" x14ac:dyDescent="0.3">
      <c r="A20" t="s">
        <v>552</v>
      </c>
      <c r="B20" s="13">
        <v>1</v>
      </c>
      <c r="C20" s="24" t="s">
        <v>573</v>
      </c>
      <c r="D20" t="s">
        <v>21</v>
      </c>
      <c r="E20" t="s">
        <v>15</v>
      </c>
      <c r="G20" t="s">
        <v>14</v>
      </c>
      <c r="H20" t="s">
        <v>521</v>
      </c>
    </row>
    <row r="21" spans="1:8" x14ac:dyDescent="0.3">
      <c r="A21" s="7" t="s">
        <v>505</v>
      </c>
      <c r="B21" s="13">
        <v>0.65200000000000002</v>
      </c>
      <c r="C21" s="26" t="s">
        <v>574</v>
      </c>
      <c r="D21" t="s">
        <v>21</v>
      </c>
      <c r="E21" s="7" t="s">
        <v>7</v>
      </c>
      <c r="G21" t="s">
        <v>25</v>
      </c>
      <c r="H21" s="7" t="s">
        <v>123</v>
      </c>
    </row>
    <row r="22" spans="1:8" x14ac:dyDescent="0.3">
      <c r="A22" s="7" t="s">
        <v>550</v>
      </c>
      <c r="B22" s="13">
        <v>6.93</v>
      </c>
      <c r="C22" s="24" t="s">
        <v>573</v>
      </c>
      <c r="D22" t="s">
        <v>21</v>
      </c>
      <c r="E22" s="7" t="s">
        <v>24</v>
      </c>
      <c r="G22" t="s">
        <v>25</v>
      </c>
      <c r="H22" s="7" t="s">
        <v>551</v>
      </c>
    </row>
    <row r="23" spans="1:8" x14ac:dyDescent="0.3">
      <c r="A23" s="7" t="s">
        <v>514</v>
      </c>
      <c r="B23" s="28">
        <v>7.3999999999999996E-2</v>
      </c>
      <c r="C23" s="26" t="s">
        <v>574</v>
      </c>
      <c r="D23" t="s">
        <v>21</v>
      </c>
      <c r="E23" s="7" t="s">
        <v>76</v>
      </c>
      <c r="F23" s="21"/>
      <c r="G23" t="s">
        <v>25</v>
      </c>
      <c r="H23" s="7" t="s">
        <v>517</v>
      </c>
    </row>
    <row r="24" spans="1:8" x14ac:dyDescent="0.3">
      <c r="A24" s="7" t="s">
        <v>534</v>
      </c>
      <c r="B24" s="23">
        <v>3.0000000000000001E-5</v>
      </c>
      <c r="C24" s="26" t="s">
        <v>574</v>
      </c>
      <c r="D24" t="s">
        <v>21</v>
      </c>
      <c r="E24" s="7" t="s">
        <v>15</v>
      </c>
      <c r="F24" s="21"/>
      <c r="G24" t="s">
        <v>25</v>
      </c>
      <c r="H24" s="7" t="s">
        <v>546</v>
      </c>
    </row>
    <row r="25" spans="1:8" x14ac:dyDescent="0.3">
      <c r="A25" s="7" t="s">
        <v>535</v>
      </c>
      <c r="B25" s="23">
        <v>1.0000000000000001E-5</v>
      </c>
      <c r="C25" s="26" t="s">
        <v>574</v>
      </c>
      <c r="D25" t="s">
        <v>21</v>
      </c>
      <c r="E25" s="7" t="s">
        <v>15</v>
      </c>
      <c r="F25" s="21"/>
      <c r="G25" t="s">
        <v>25</v>
      </c>
      <c r="H25" s="7" t="s">
        <v>547</v>
      </c>
    </row>
    <row r="26" spans="1:8" x14ac:dyDescent="0.3">
      <c r="A26" s="7" t="s">
        <v>442</v>
      </c>
      <c r="B26" s="23">
        <v>9.0000000000000006E-5</v>
      </c>
      <c r="C26" s="26" t="s">
        <v>574</v>
      </c>
      <c r="D26" t="s">
        <v>21</v>
      </c>
      <c r="E26" s="7" t="s">
        <v>15</v>
      </c>
      <c r="F26" s="21"/>
      <c r="G26" t="s">
        <v>25</v>
      </c>
      <c r="H26" s="7" t="s">
        <v>187</v>
      </c>
    </row>
    <row r="27" spans="1:8" x14ac:dyDescent="0.3">
      <c r="A27" s="7" t="s">
        <v>414</v>
      </c>
      <c r="B27" s="23">
        <v>2.0000000000000002E-5</v>
      </c>
      <c r="C27" s="26" t="s">
        <v>574</v>
      </c>
      <c r="D27" t="s">
        <v>21</v>
      </c>
      <c r="E27" s="7" t="s">
        <v>15</v>
      </c>
      <c r="F27" s="21"/>
      <c r="G27" t="s">
        <v>25</v>
      </c>
      <c r="H27" s="7" t="s">
        <v>427</v>
      </c>
    </row>
    <row r="28" spans="1:8" x14ac:dyDescent="0.3">
      <c r="A28" s="7" t="s">
        <v>396</v>
      </c>
      <c r="B28" s="29">
        <v>0.84999999999999942</v>
      </c>
      <c r="C28" s="26" t="s">
        <v>574</v>
      </c>
      <c r="D28" t="s">
        <v>23</v>
      </c>
      <c r="E28" s="7" t="s">
        <v>15</v>
      </c>
      <c r="F28" s="21"/>
      <c r="G28" t="s">
        <v>25</v>
      </c>
      <c r="H28" s="7" t="s">
        <v>28</v>
      </c>
    </row>
    <row r="29" spans="1:8" x14ac:dyDescent="0.3">
      <c r="A29" s="7" t="s">
        <v>536</v>
      </c>
      <c r="B29" s="23">
        <v>2.4000000000000009E-4</v>
      </c>
      <c r="C29" s="26" t="s">
        <v>574</v>
      </c>
      <c r="D29" t="s">
        <v>23</v>
      </c>
      <c r="E29" s="7" t="s">
        <v>15</v>
      </c>
      <c r="F29" s="21"/>
      <c r="G29" t="s">
        <v>25</v>
      </c>
      <c r="H29" s="7" t="s">
        <v>548</v>
      </c>
    </row>
    <row r="30" spans="1:8" x14ac:dyDescent="0.3">
      <c r="A30" s="7" t="s">
        <v>537</v>
      </c>
      <c r="B30" s="23">
        <v>3.7199999999999998E-11</v>
      </c>
      <c r="C30" s="26" t="s">
        <v>574</v>
      </c>
      <c r="D30" t="s">
        <v>21</v>
      </c>
      <c r="E30" s="7" t="s">
        <v>6</v>
      </c>
      <c r="F30" s="21"/>
      <c r="G30" t="s">
        <v>25</v>
      </c>
      <c r="H30" s="7" t="s">
        <v>549</v>
      </c>
    </row>
    <row r="31" spans="1:8" x14ac:dyDescent="0.3">
      <c r="A31" s="27" t="s">
        <v>111</v>
      </c>
      <c r="B31" s="23">
        <v>9.7999999999999997E-4</v>
      </c>
      <c r="C31" s="24" t="s">
        <v>16</v>
      </c>
      <c r="E31" s="21" t="s">
        <v>15</v>
      </c>
      <c r="F31" s="20" t="s">
        <v>512</v>
      </c>
      <c r="G31" t="s">
        <v>18</v>
      </c>
      <c r="H31" s="21"/>
    </row>
    <row r="32" spans="1:8" x14ac:dyDescent="0.3">
      <c r="A32" s="7" t="s">
        <v>81</v>
      </c>
      <c r="B32" s="23">
        <v>8.1600000000000006E-3</v>
      </c>
      <c r="C32" s="24" t="s">
        <v>16</v>
      </c>
      <c r="E32" s="7" t="s">
        <v>7</v>
      </c>
      <c r="F32" s="7" t="s">
        <v>82</v>
      </c>
      <c r="G32" t="s">
        <v>18</v>
      </c>
      <c r="H32" s="21"/>
    </row>
    <row r="33" spans="1:8" x14ac:dyDescent="0.3">
      <c r="A33" s="7" t="s">
        <v>538</v>
      </c>
      <c r="B33" s="23">
        <v>1.9999999999999999E-6</v>
      </c>
      <c r="C33" s="24" t="s">
        <v>16</v>
      </c>
      <c r="E33" s="7" t="s">
        <v>15</v>
      </c>
      <c r="F33" s="7" t="s">
        <v>93</v>
      </c>
      <c r="G33" t="s">
        <v>18</v>
      </c>
      <c r="H33" s="21"/>
    </row>
    <row r="34" spans="1:8" x14ac:dyDescent="0.3">
      <c r="A34" s="7" t="s">
        <v>91</v>
      </c>
      <c r="B34" s="23">
        <v>1.4999999999999999E-4</v>
      </c>
      <c r="C34" s="24" t="s">
        <v>16</v>
      </c>
      <c r="E34" s="7" t="s">
        <v>15</v>
      </c>
      <c r="F34" s="20" t="s">
        <v>512</v>
      </c>
      <c r="G34" t="s">
        <v>18</v>
      </c>
      <c r="H34" s="21"/>
    </row>
    <row r="35" spans="1:8" x14ac:dyDescent="0.3">
      <c r="A35" s="7" t="s">
        <v>92</v>
      </c>
      <c r="B35" s="23">
        <v>5.67375E-3</v>
      </c>
      <c r="C35" s="24" t="s">
        <v>16</v>
      </c>
      <c r="E35" s="7" t="s">
        <v>7</v>
      </c>
      <c r="F35" s="7" t="s">
        <v>93</v>
      </c>
      <c r="G35" t="s">
        <v>18</v>
      </c>
      <c r="H35" s="21"/>
    </row>
    <row r="36" spans="1:8" x14ac:dyDescent="0.3">
      <c r="A36" s="7" t="s">
        <v>539</v>
      </c>
      <c r="B36" s="23">
        <v>1.8000000000000001E-4</v>
      </c>
      <c r="C36" s="24" t="s">
        <v>16</v>
      </c>
      <c r="E36" s="7" t="s">
        <v>15</v>
      </c>
      <c r="F36" s="7" t="s">
        <v>93</v>
      </c>
      <c r="G36" t="s">
        <v>18</v>
      </c>
      <c r="H36" s="21"/>
    </row>
    <row r="37" spans="1:8" x14ac:dyDescent="0.3">
      <c r="A37" s="7" t="s">
        <v>524</v>
      </c>
      <c r="B37" s="23">
        <v>3.0000000000000001E-5</v>
      </c>
      <c r="C37" s="24" t="s">
        <v>16</v>
      </c>
      <c r="E37" s="7" t="s">
        <v>15</v>
      </c>
      <c r="F37" s="7" t="s">
        <v>93</v>
      </c>
      <c r="G37" t="s">
        <v>18</v>
      </c>
      <c r="H37" s="21"/>
    </row>
    <row r="38" spans="1:8" x14ac:dyDescent="0.3">
      <c r="A38" s="27" t="s">
        <v>540</v>
      </c>
      <c r="B38" s="23">
        <v>2.4000000000000001E-4</v>
      </c>
      <c r="C38" s="24" t="s">
        <v>16</v>
      </c>
      <c r="E38" s="21" t="s">
        <v>15</v>
      </c>
      <c r="F38" s="21" t="s">
        <v>93</v>
      </c>
      <c r="G38" t="s">
        <v>18</v>
      </c>
      <c r="H38" s="21"/>
    </row>
    <row r="39" spans="1:8" x14ac:dyDescent="0.3">
      <c r="A39" s="27" t="s">
        <v>541</v>
      </c>
      <c r="B39" s="23">
        <v>9.9999999999999995E-7</v>
      </c>
      <c r="C39" s="24" t="s">
        <v>16</v>
      </c>
      <c r="E39" s="21" t="s">
        <v>15</v>
      </c>
      <c r="F39" s="21" t="s">
        <v>93</v>
      </c>
      <c r="G39" t="s">
        <v>18</v>
      </c>
      <c r="H39" s="21"/>
    </row>
    <row r="40" spans="1:8" x14ac:dyDescent="0.3">
      <c r="A40" s="27" t="s">
        <v>524</v>
      </c>
      <c r="B40" s="23">
        <v>5.2999999999999998E-4</v>
      </c>
      <c r="C40" s="24" t="s">
        <v>16</v>
      </c>
      <c r="E40" s="21" t="s">
        <v>15</v>
      </c>
      <c r="F40" s="20" t="s">
        <v>512</v>
      </c>
      <c r="G40" t="s">
        <v>18</v>
      </c>
      <c r="H40" s="21"/>
    </row>
    <row r="41" spans="1:8" x14ac:dyDescent="0.3">
      <c r="A41" s="27" t="s">
        <v>92</v>
      </c>
      <c r="B41" s="23">
        <v>3.3362499999999998E-3</v>
      </c>
      <c r="C41" s="24" t="s">
        <v>16</v>
      </c>
      <c r="E41" s="21" t="s">
        <v>7</v>
      </c>
      <c r="F41" s="21" t="s">
        <v>51</v>
      </c>
      <c r="G41" t="s">
        <v>18</v>
      </c>
      <c r="H41" s="21"/>
    </row>
    <row r="42" spans="1:8" x14ac:dyDescent="0.3">
      <c r="A42" s="27" t="s">
        <v>542</v>
      </c>
      <c r="B42" s="23">
        <v>2.0000000000000002E-5</v>
      </c>
      <c r="C42" s="24" t="s">
        <v>16</v>
      </c>
      <c r="E42" s="21" t="s">
        <v>15</v>
      </c>
      <c r="F42" s="21" t="s">
        <v>93</v>
      </c>
      <c r="G42" t="s">
        <v>18</v>
      </c>
      <c r="H42" s="21"/>
    </row>
    <row r="43" spans="1:8" x14ac:dyDescent="0.3">
      <c r="A43" s="27" t="s">
        <v>543</v>
      </c>
      <c r="B43" s="23">
        <v>2.4000000000000001E-4</v>
      </c>
      <c r="C43" s="24" t="s">
        <v>16</v>
      </c>
      <c r="D43" s="9"/>
      <c r="E43" s="21" t="s">
        <v>15</v>
      </c>
      <c r="F43" s="21" t="s">
        <v>93</v>
      </c>
      <c r="G43" t="s">
        <v>18</v>
      </c>
    </row>
    <row r="44" spans="1:8" x14ac:dyDescent="0.3">
      <c r="A44" s="27" t="s">
        <v>513</v>
      </c>
      <c r="B44" s="23">
        <v>1.38E-5</v>
      </c>
      <c r="C44" s="24" t="s">
        <v>16</v>
      </c>
      <c r="E44" s="21" t="s">
        <v>15</v>
      </c>
      <c r="F44" s="20" t="s">
        <v>512</v>
      </c>
      <c r="G44" t="s">
        <v>18</v>
      </c>
    </row>
    <row r="45" spans="1:8" x14ac:dyDescent="0.3">
      <c r="A45" s="27" t="s">
        <v>457</v>
      </c>
      <c r="B45" s="23">
        <v>1E-4</v>
      </c>
      <c r="C45" s="24" t="s">
        <v>16</v>
      </c>
      <c r="E45" s="21" t="s">
        <v>15</v>
      </c>
      <c r="F45" s="21" t="s">
        <v>93</v>
      </c>
      <c r="G45" t="s">
        <v>18</v>
      </c>
    </row>
    <row r="46" spans="1:8" x14ac:dyDescent="0.3">
      <c r="A46" s="27" t="s">
        <v>225</v>
      </c>
      <c r="B46" s="23">
        <v>1.0000000000000001E-5</v>
      </c>
      <c r="C46" s="24" t="s">
        <v>16</v>
      </c>
      <c r="E46" s="21" t="s">
        <v>15</v>
      </c>
      <c r="F46" s="21" t="s">
        <v>93</v>
      </c>
      <c r="G46" t="s">
        <v>18</v>
      </c>
    </row>
    <row r="47" spans="1:8" x14ac:dyDescent="0.3">
      <c r="A47" s="27" t="s">
        <v>544</v>
      </c>
      <c r="B47" s="23">
        <v>4.8999999999999998E-4</v>
      </c>
      <c r="C47" s="24" t="s">
        <v>16</v>
      </c>
      <c r="E47" s="21" t="s">
        <v>15</v>
      </c>
      <c r="F47" s="21" t="s">
        <v>93</v>
      </c>
      <c r="G47" t="s">
        <v>18</v>
      </c>
    </row>
    <row r="48" spans="1:8" x14ac:dyDescent="0.3">
      <c r="A48" s="27" t="s">
        <v>545</v>
      </c>
      <c r="B48" s="23">
        <v>1.0000000000000001E-5</v>
      </c>
      <c r="C48" s="24" t="s">
        <v>16</v>
      </c>
      <c r="E48" s="21" t="s">
        <v>15</v>
      </c>
      <c r="F48" s="21" t="s">
        <v>93</v>
      </c>
      <c r="G48" t="s">
        <v>18</v>
      </c>
    </row>
    <row r="49" spans="1:19" s="9" customFormat="1" x14ac:dyDescent="0.3">
      <c r="A49" s="5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3">
      <c r="A50" s="8" t="s">
        <v>1</v>
      </c>
      <c r="B50" s="8" t="s">
        <v>576</v>
      </c>
    </row>
    <row r="51" spans="1:19" x14ac:dyDescent="0.3">
      <c r="A51" t="s">
        <v>2</v>
      </c>
      <c r="B51" t="s">
        <v>523</v>
      </c>
    </row>
    <row r="52" spans="1:19" x14ac:dyDescent="0.3">
      <c r="A52" t="s">
        <v>3</v>
      </c>
      <c r="B52" t="s">
        <v>21</v>
      </c>
    </row>
    <row r="53" spans="1:19" x14ac:dyDescent="0.3">
      <c r="A53" t="s">
        <v>5</v>
      </c>
      <c r="B53">
        <v>1</v>
      </c>
    </row>
    <row r="54" spans="1:19" x14ac:dyDescent="0.3">
      <c r="A54" t="s">
        <v>4</v>
      </c>
      <c r="B54" t="s">
        <v>521</v>
      </c>
    </row>
    <row r="55" spans="1:19" x14ac:dyDescent="0.3">
      <c r="A55" t="s">
        <v>6</v>
      </c>
      <c r="B55" t="s">
        <v>15</v>
      </c>
    </row>
    <row r="56" spans="1:19" x14ac:dyDescent="0.3">
      <c r="A56" s="8" t="s">
        <v>8</v>
      </c>
    </row>
    <row r="57" spans="1:19" x14ac:dyDescent="0.3">
      <c r="A57" t="s">
        <v>9</v>
      </c>
      <c r="B57" t="s">
        <v>10</v>
      </c>
      <c r="C57" t="s">
        <v>11</v>
      </c>
      <c r="D57" t="s">
        <v>3</v>
      </c>
      <c r="E57" t="s">
        <v>6</v>
      </c>
      <c r="F57" t="s">
        <v>12</v>
      </c>
      <c r="G57" t="s">
        <v>13</v>
      </c>
      <c r="H57" t="s">
        <v>4</v>
      </c>
    </row>
    <row r="58" spans="1:19" x14ac:dyDescent="0.3">
      <c r="A58" t="s">
        <v>576</v>
      </c>
      <c r="B58" s="13">
        <v>1</v>
      </c>
      <c r="C58" t="s">
        <v>573</v>
      </c>
      <c r="D58" t="s">
        <v>21</v>
      </c>
      <c r="E58" t="s">
        <v>15</v>
      </c>
      <c r="G58" t="s">
        <v>14</v>
      </c>
      <c r="H58" t="s">
        <v>521</v>
      </c>
    </row>
    <row r="59" spans="1:19" x14ac:dyDescent="0.3">
      <c r="A59" t="s">
        <v>97</v>
      </c>
      <c r="B59" s="13">
        <v>1.45</v>
      </c>
      <c r="C59" t="s">
        <v>573</v>
      </c>
      <c r="D59" t="s">
        <v>21</v>
      </c>
      <c r="E59" t="s">
        <v>15</v>
      </c>
      <c r="G59" t="s">
        <v>25</v>
      </c>
      <c r="H59" t="s">
        <v>503</v>
      </c>
    </row>
    <row r="60" spans="1:19" x14ac:dyDescent="0.3">
      <c r="A60" t="s">
        <v>476</v>
      </c>
      <c r="B60" s="13">
        <v>0.19</v>
      </c>
      <c r="C60" t="s">
        <v>573</v>
      </c>
      <c r="D60" t="s">
        <v>21</v>
      </c>
      <c r="E60" t="s">
        <v>15</v>
      </c>
      <c r="G60" t="s">
        <v>25</v>
      </c>
      <c r="H60" t="s">
        <v>504</v>
      </c>
    </row>
    <row r="61" spans="1:19" x14ac:dyDescent="0.3">
      <c r="A61" t="s">
        <v>421</v>
      </c>
      <c r="B61" s="13">
        <v>0.3</v>
      </c>
      <c r="C61" s="22" t="s">
        <v>574</v>
      </c>
      <c r="D61" t="s">
        <v>21</v>
      </c>
      <c r="E61" t="s">
        <v>76</v>
      </c>
      <c r="F61" s="21"/>
      <c r="G61" t="s">
        <v>25</v>
      </c>
      <c r="H61" s="21" t="s">
        <v>77</v>
      </c>
    </row>
    <row r="62" spans="1:19" x14ac:dyDescent="0.3">
      <c r="A62" s="9" t="s">
        <v>507</v>
      </c>
      <c r="B62" s="16">
        <v>236.61</v>
      </c>
      <c r="C62" s="9" t="s">
        <v>573</v>
      </c>
      <c r="D62" s="9" t="s">
        <v>21</v>
      </c>
      <c r="E62" s="9" t="s">
        <v>15</v>
      </c>
      <c r="F62" s="9"/>
      <c r="G62" t="s">
        <v>25</v>
      </c>
      <c r="H62" t="s">
        <v>507</v>
      </c>
    </row>
    <row r="63" spans="1:19" x14ac:dyDescent="0.3">
      <c r="A63" t="s">
        <v>394</v>
      </c>
      <c r="B63" s="13">
        <v>-0.39</v>
      </c>
      <c r="C63" s="22" t="s">
        <v>574</v>
      </c>
      <c r="D63" t="s">
        <v>23</v>
      </c>
      <c r="E63" t="s">
        <v>24</v>
      </c>
      <c r="G63" t="s">
        <v>25</v>
      </c>
      <c r="H63" t="s">
        <v>151</v>
      </c>
    </row>
    <row r="64" spans="1:19" x14ac:dyDescent="0.3">
      <c r="A64" t="s">
        <v>50</v>
      </c>
      <c r="B64" s="13">
        <v>7.7024999999999996E-2</v>
      </c>
      <c r="C64" t="s">
        <v>16</v>
      </c>
      <c r="E64" t="s">
        <v>15</v>
      </c>
      <c r="F64" t="s">
        <v>51</v>
      </c>
      <c r="G64" t="s">
        <v>18</v>
      </c>
    </row>
    <row r="65" spans="1:8" x14ac:dyDescent="0.3">
      <c r="A65" t="s">
        <v>524</v>
      </c>
      <c r="B65" s="13">
        <v>1.0090999999999999E-2</v>
      </c>
      <c r="C65" t="s">
        <v>16</v>
      </c>
      <c r="E65" t="s">
        <v>15</v>
      </c>
      <c r="F65" t="s">
        <v>51</v>
      </c>
      <c r="G65" t="s">
        <v>18</v>
      </c>
    </row>
    <row r="66" spans="1:8" x14ac:dyDescent="0.3">
      <c r="A66" t="s">
        <v>91</v>
      </c>
      <c r="B66" s="13">
        <v>1.7799999999999999E-4</v>
      </c>
      <c r="C66" t="s">
        <v>16</v>
      </c>
      <c r="E66" t="s">
        <v>15</v>
      </c>
      <c r="F66" t="s">
        <v>51</v>
      </c>
      <c r="G66" t="s">
        <v>18</v>
      </c>
    </row>
    <row r="67" spans="1:8" x14ac:dyDescent="0.3">
      <c r="A67" t="s">
        <v>506</v>
      </c>
      <c r="B67" s="18">
        <v>-5.71E-4</v>
      </c>
      <c r="C67" s="22" t="s">
        <v>574</v>
      </c>
      <c r="D67" t="s">
        <v>23</v>
      </c>
      <c r="E67" t="s">
        <v>7</v>
      </c>
      <c r="G67" t="s">
        <v>25</v>
      </c>
      <c r="H67" t="s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8E45-5F34-4671-BDBF-EE2B8BB2BAE2}">
  <dimension ref="A1:S53"/>
  <sheetViews>
    <sheetView tabSelected="1" topLeftCell="A22" zoomScale="115" zoomScaleNormal="115" workbookViewId="0">
      <selection activeCell="C40" sqref="C40"/>
    </sheetView>
  </sheetViews>
  <sheetFormatPr defaultColWidth="8.77734375" defaultRowHeight="14.4" x14ac:dyDescent="0.3"/>
  <cols>
    <col min="1" max="1" width="82.109375" bestFit="1" customWidth="1"/>
    <col min="3" max="3" width="18.33203125" bestFit="1" customWidth="1"/>
    <col min="6" max="6" width="12.77734375" customWidth="1"/>
    <col min="7" max="7" width="12.77734375" bestFit="1" customWidth="1"/>
    <col min="8" max="8" width="16.6640625" bestFit="1" customWidth="1"/>
  </cols>
  <sheetData>
    <row r="1" spans="1:19" x14ac:dyDescent="0.3">
      <c r="A1" s="8" t="s">
        <v>1</v>
      </c>
      <c r="B1" s="8" t="s">
        <v>603</v>
      </c>
    </row>
    <row r="2" spans="1:19" x14ac:dyDescent="0.3">
      <c r="A2" t="s">
        <v>2</v>
      </c>
      <c r="B2" t="s">
        <v>604</v>
      </c>
    </row>
    <row r="3" spans="1:19" x14ac:dyDescent="0.3">
      <c r="A3" t="s">
        <v>3</v>
      </c>
      <c r="B3" t="s">
        <v>21</v>
      </c>
    </row>
    <row r="4" spans="1:19" x14ac:dyDescent="0.3">
      <c r="A4" t="s">
        <v>5</v>
      </c>
      <c r="B4">
        <v>1</v>
      </c>
    </row>
    <row r="5" spans="1:19" x14ac:dyDescent="0.3">
      <c r="A5" t="s">
        <v>4</v>
      </c>
      <c r="B5" t="s">
        <v>605</v>
      </c>
    </row>
    <row r="6" spans="1:19" x14ac:dyDescent="0.3">
      <c r="A6" t="s">
        <v>6</v>
      </c>
      <c r="B6" t="s">
        <v>15</v>
      </c>
    </row>
    <row r="7" spans="1:19" x14ac:dyDescent="0.3">
      <c r="A7" s="8" t="s">
        <v>8</v>
      </c>
    </row>
    <row r="8" spans="1:19" x14ac:dyDescent="0.3">
      <c r="A8" t="s">
        <v>9</v>
      </c>
      <c r="B8" t="s">
        <v>10</v>
      </c>
      <c r="C8" t="s">
        <v>11</v>
      </c>
      <c r="D8" t="s">
        <v>3</v>
      </c>
      <c r="E8" t="s">
        <v>6</v>
      </c>
      <c r="F8" t="s">
        <v>12</v>
      </c>
      <c r="G8" t="s">
        <v>13</v>
      </c>
      <c r="H8" t="s">
        <v>4</v>
      </c>
    </row>
    <row r="9" spans="1:19" x14ac:dyDescent="0.3">
      <c r="A9" t="s">
        <v>603</v>
      </c>
      <c r="B9" s="13">
        <v>1</v>
      </c>
      <c r="C9" t="s">
        <v>573</v>
      </c>
      <c r="D9" t="s">
        <v>21</v>
      </c>
      <c r="E9" t="s">
        <v>15</v>
      </c>
      <c r="G9" t="s">
        <v>14</v>
      </c>
      <c r="H9" t="s">
        <v>605</v>
      </c>
    </row>
    <row r="10" spans="1:19" x14ac:dyDescent="0.3">
      <c r="A10" t="s">
        <v>606</v>
      </c>
      <c r="B10" s="13">
        <v>1</v>
      </c>
      <c r="C10" t="s">
        <v>574</v>
      </c>
      <c r="D10" t="s">
        <v>23</v>
      </c>
      <c r="E10" t="s">
        <v>15</v>
      </c>
      <c r="G10" t="s">
        <v>25</v>
      </c>
      <c r="H10" t="s">
        <v>607</v>
      </c>
    </row>
    <row r="11" spans="1:19" s="9" customFormat="1" x14ac:dyDescent="0.3">
      <c r="A11" s="5"/>
      <c r="B11" s="5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8" t="s">
        <v>1</v>
      </c>
      <c r="B12" s="8" t="s">
        <v>608</v>
      </c>
    </row>
    <row r="13" spans="1:19" x14ac:dyDescent="0.3">
      <c r="A13" t="s">
        <v>2</v>
      </c>
      <c r="B13" t="s">
        <v>609</v>
      </c>
    </row>
    <row r="14" spans="1:19" x14ac:dyDescent="0.3">
      <c r="A14" t="s">
        <v>3</v>
      </c>
      <c r="B14" t="s">
        <v>21</v>
      </c>
    </row>
    <row r="15" spans="1:19" x14ac:dyDescent="0.3">
      <c r="A15" t="s">
        <v>5</v>
      </c>
      <c r="B15">
        <v>1</v>
      </c>
    </row>
    <row r="16" spans="1:19" x14ac:dyDescent="0.3">
      <c r="A16" t="s">
        <v>4</v>
      </c>
      <c r="B16" t="s">
        <v>605</v>
      </c>
    </row>
    <row r="17" spans="1:19" x14ac:dyDescent="0.3">
      <c r="A17" t="s">
        <v>6</v>
      </c>
      <c r="B17" t="s">
        <v>15</v>
      </c>
    </row>
    <row r="18" spans="1:19" x14ac:dyDescent="0.3">
      <c r="A18" s="8" t="s">
        <v>8</v>
      </c>
    </row>
    <row r="19" spans="1:19" x14ac:dyDescent="0.3">
      <c r="A19" t="s">
        <v>9</v>
      </c>
      <c r="B19" t="s">
        <v>10</v>
      </c>
      <c r="C19" t="s">
        <v>11</v>
      </c>
      <c r="D19" t="s">
        <v>3</v>
      </c>
      <c r="E19" t="s">
        <v>6</v>
      </c>
      <c r="F19" t="s">
        <v>12</v>
      </c>
      <c r="G19" t="s">
        <v>13</v>
      </c>
      <c r="H19" t="s">
        <v>4</v>
      </c>
    </row>
    <row r="20" spans="1:19" x14ac:dyDescent="0.3">
      <c r="A20" t="s">
        <v>608</v>
      </c>
      <c r="B20" s="13">
        <v>1</v>
      </c>
      <c r="C20" s="24" t="s">
        <v>573</v>
      </c>
      <c r="D20" t="s">
        <v>21</v>
      </c>
      <c r="E20" t="s">
        <v>15</v>
      </c>
      <c r="G20" t="s">
        <v>14</v>
      </c>
      <c r="H20" t="s">
        <v>605</v>
      </c>
    </row>
    <row r="21" spans="1:19" x14ac:dyDescent="0.3">
      <c r="A21" t="s">
        <v>520</v>
      </c>
      <c r="B21" s="13">
        <v>2.5190000000000001</v>
      </c>
      <c r="C21" s="24" t="s">
        <v>573</v>
      </c>
      <c r="D21" t="s">
        <v>21</v>
      </c>
      <c r="E21" t="s">
        <v>15</v>
      </c>
      <c r="G21" t="s">
        <v>25</v>
      </c>
      <c r="H21" t="s">
        <v>521</v>
      </c>
      <c r="M21" s="18"/>
    </row>
    <row r="22" spans="1:19" x14ac:dyDescent="0.3">
      <c r="A22" t="s">
        <v>421</v>
      </c>
      <c r="B22" s="13">
        <v>0.14300000000000002</v>
      </c>
      <c r="C22" s="26" t="s">
        <v>574</v>
      </c>
      <c r="D22" t="s">
        <v>21</v>
      </c>
      <c r="E22" t="s">
        <v>76</v>
      </c>
      <c r="F22" s="21"/>
      <c r="G22" t="s">
        <v>25</v>
      </c>
      <c r="H22" s="21" t="s">
        <v>77</v>
      </c>
    </row>
    <row r="23" spans="1:19" x14ac:dyDescent="0.3">
      <c r="A23" s="9" t="s">
        <v>507</v>
      </c>
      <c r="B23" s="13">
        <v>0.22550000000000001</v>
      </c>
      <c r="C23" s="34" t="s">
        <v>573</v>
      </c>
      <c r="D23" s="9" t="s">
        <v>21</v>
      </c>
      <c r="E23" s="9" t="s">
        <v>15</v>
      </c>
      <c r="F23" s="9"/>
      <c r="G23" t="s">
        <v>25</v>
      </c>
      <c r="H23" t="s">
        <v>507</v>
      </c>
    </row>
    <row r="24" spans="1:19" x14ac:dyDescent="0.3">
      <c r="A24" t="s">
        <v>610</v>
      </c>
      <c r="B24" s="13">
        <v>2.2000000000000002E-2</v>
      </c>
      <c r="C24" s="26" t="s">
        <v>574</v>
      </c>
      <c r="D24" t="s">
        <v>23</v>
      </c>
      <c r="E24" t="s">
        <v>15</v>
      </c>
      <c r="G24" t="s">
        <v>25</v>
      </c>
      <c r="H24" t="s">
        <v>611</v>
      </c>
    </row>
    <row r="25" spans="1:19" x14ac:dyDescent="0.3">
      <c r="A25" t="s">
        <v>444</v>
      </c>
      <c r="B25" s="12">
        <v>2.0789999999999999E-5</v>
      </c>
      <c r="C25" s="26" t="s">
        <v>574</v>
      </c>
      <c r="D25" s="9" t="s">
        <v>21</v>
      </c>
      <c r="E25" t="s">
        <v>15</v>
      </c>
      <c r="G25" t="s">
        <v>25</v>
      </c>
      <c r="H25" t="s">
        <v>290</v>
      </c>
      <c r="M25" s="18"/>
    </row>
    <row r="26" spans="1:19" x14ac:dyDescent="0.3">
      <c r="A26" t="s">
        <v>50</v>
      </c>
      <c r="B26" s="13">
        <v>0.12100000000000001</v>
      </c>
      <c r="C26" s="24" t="s">
        <v>16</v>
      </c>
      <c r="E26" t="s">
        <v>15</v>
      </c>
      <c r="F26" t="s">
        <v>51</v>
      </c>
      <c r="G26" t="s">
        <v>18</v>
      </c>
    </row>
    <row r="27" spans="1:19" x14ac:dyDescent="0.3">
      <c r="A27" t="s">
        <v>92</v>
      </c>
      <c r="B27" s="13">
        <v>1.6500000000000001E-2</v>
      </c>
      <c r="C27" s="24" t="s">
        <v>16</v>
      </c>
      <c r="E27" t="s">
        <v>15</v>
      </c>
      <c r="F27" t="s">
        <v>51</v>
      </c>
      <c r="G27" t="s">
        <v>18</v>
      </c>
    </row>
    <row r="28" spans="1:19" x14ac:dyDescent="0.3">
      <c r="A28" t="s">
        <v>506</v>
      </c>
      <c r="B28" s="13">
        <v>-1.474E-3</v>
      </c>
      <c r="C28" s="26" t="s">
        <v>574</v>
      </c>
      <c r="D28" t="s">
        <v>23</v>
      </c>
      <c r="E28" t="s">
        <v>7</v>
      </c>
      <c r="G28" t="s">
        <v>25</v>
      </c>
      <c r="H28" t="s">
        <v>348</v>
      </c>
    </row>
    <row r="29" spans="1:19" x14ac:dyDescent="0.3">
      <c r="A29" t="s">
        <v>346</v>
      </c>
      <c r="B29" s="12">
        <v>2.0789999999999999E-5</v>
      </c>
      <c r="C29" s="24" t="s">
        <v>16</v>
      </c>
      <c r="E29" t="s">
        <v>15</v>
      </c>
      <c r="F29" t="s">
        <v>51</v>
      </c>
      <c r="G29" t="s">
        <v>18</v>
      </c>
    </row>
    <row r="30" spans="1:19" s="9" customFormat="1" x14ac:dyDescent="0.3">
      <c r="A30" s="5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3">
      <c r="A31" s="8" t="s">
        <v>1</v>
      </c>
      <c r="B31" s="8" t="s">
        <v>615</v>
      </c>
    </row>
    <row r="32" spans="1:19" x14ac:dyDescent="0.3">
      <c r="A32" t="s">
        <v>2</v>
      </c>
      <c r="B32" t="s">
        <v>612</v>
      </c>
    </row>
    <row r="33" spans="1:13" x14ac:dyDescent="0.3">
      <c r="A33" t="s">
        <v>3</v>
      </c>
      <c r="B33" t="s">
        <v>21</v>
      </c>
    </row>
    <row r="34" spans="1:13" x14ac:dyDescent="0.3">
      <c r="A34" t="s">
        <v>5</v>
      </c>
      <c r="B34">
        <v>1</v>
      </c>
    </row>
    <row r="35" spans="1:13" x14ac:dyDescent="0.3">
      <c r="A35" t="s">
        <v>4</v>
      </c>
      <c r="B35" t="s">
        <v>605</v>
      </c>
    </row>
    <row r="36" spans="1:13" x14ac:dyDescent="0.3">
      <c r="A36" t="s">
        <v>6</v>
      </c>
      <c r="B36" t="s">
        <v>15</v>
      </c>
    </row>
    <row r="37" spans="1:13" x14ac:dyDescent="0.3">
      <c r="A37" s="8" t="s">
        <v>8</v>
      </c>
    </row>
    <row r="38" spans="1:13" x14ac:dyDescent="0.3">
      <c r="A38" t="s">
        <v>9</v>
      </c>
      <c r="B38" t="s">
        <v>10</v>
      </c>
      <c r="C38" t="s">
        <v>11</v>
      </c>
      <c r="D38" t="s">
        <v>3</v>
      </c>
      <c r="E38" t="s">
        <v>6</v>
      </c>
      <c r="F38" t="s">
        <v>12</v>
      </c>
      <c r="G38" t="s">
        <v>13</v>
      </c>
      <c r="H38" t="s">
        <v>4</v>
      </c>
    </row>
    <row r="39" spans="1:13" x14ac:dyDescent="0.3">
      <c r="A39" t="s">
        <v>615</v>
      </c>
      <c r="B39" s="13">
        <v>1</v>
      </c>
      <c r="C39" s="24" t="s">
        <v>573</v>
      </c>
      <c r="D39" t="s">
        <v>21</v>
      </c>
      <c r="E39" t="s">
        <v>15</v>
      </c>
      <c r="G39" t="s">
        <v>14</v>
      </c>
      <c r="H39" t="s">
        <v>605</v>
      </c>
    </row>
    <row r="40" spans="1:13" x14ac:dyDescent="0.3">
      <c r="A40" t="s">
        <v>97</v>
      </c>
      <c r="B40" s="13">
        <v>3.024</v>
      </c>
      <c r="C40" t="s">
        <v>573</v>
      </c>
      <c r="D40" t="s">
        <v>21</v>
      </c>
      <c r="E40" t="s">
        <v>15</v>
      </c>
      <c r="G40" t="s">
        <v>25</v>
      </c>
      <c r="H40" t="s">
        <v>503</v>
      </c>
      <c r="K40" s="18"/>
      <c r="M40" s="18"/>
    </row>
    <row r="41" spans="1:13" x14ac:dyDescent="0.3">
      <c r="A41" t="s">
        <v>613</v>
      </c>
      <c r="B41" s="13">
        <v>1.6703999999999999</v>
      </c>
      <c r="C41" s="26" t="s">
        <v>574</v>
      </c>
      <c r="D41" s="9" t="s">
        <v>23</v>
      </c>
      <c r="E41" t="s">
        <v>15</v>
      </c>
      <c r="F41" s="9"/>
      <c r="G41" t="s">
        <v>25</v>
      </c>
      <c r="H41" t="s">
        <v>614</v>
      </c>
    </row>
    <row r="42" spans="1:13" x14ac:dyDescent="0.3">
      <c r="A42" t="s">
        <v>525</v>
      </c>
      <c r="B42" s="13">
        <v>38.534399999999998</v>
      </c>
      <c r="C42" s="9" t="s">
        <v>573</v>
      </c>
      <c r="D42" s="9" t="s">
        <v>21</v>
      </c>
      <c r="E42" t="s">
        <v>76</v>
      </c>
      <c r="F42" s="9"/>
      <c r="G42" t="s">
        <v>25</v>
      </c>
      <c r="H42" t="s">
        <v>526</v>
      </c>
    </row>
    <row r="43" spans="1:13" x14ac:dyDescent="0.3">
      <c r="A43" t="s">
        <v>421</v>
      </c>
      <c r="B43" s="13">
        <v>0.26880000000000004</v>
      </c>
      <c r="C43" t="s">
        <v>574</v>
      </c>
      <c r="D43" t="s">
        <v>21</v>
      </c>
      <c r="E43" t="s">
        <v>76</v>
      </c>
      <c r="F43" s="9"/>
      <c r="G43" t="s">
        <v>25</v>
      </c>
      <c r="H43" t="s">
        <v>77</v>
      </c>
    </row>
    <row r="44" spans="1:13" x14ac:dyDescent="0.3">
      <c r="A44" t="s">
        <v>474</v>
      </c>
      <c r="B44" s="13">
        <v>2.4863999999999997E-3</v>
      </c>
      <c r="C44" t="s">
        <v>574</v>
      </c>
      <c r="D44" t="s">
        <v>21</v>
      </c>
      <c r="E44" t="s">
        <v>15</v>
      </c>
      <c r="G44" t="s">
        <v>25</v>
      </c>
      <c r="H44" t="s">
        <v>475</v>
      </c>
      <c r="M44" s="18"/>
    </row>
    <row r="45" spans="1:13" x14ac:dyDescent="0.3">
      <c r="A45" t="s">
        <v>506</v>
      </c>
      <c r="B45" s="13">
        <v>0</v>
      </c>
      <c r="C45" s="26" t="s">
        <v>574</v>
      </c>
      <c r="D45" t="s">
        <v>23</v>
      </c>
      <c r="E45" t="s">
        <v>7</v>
      </c>
      <c r="G45" t="s">
        <v>25</v>
      </c>
      <c r="H45" t="s">
        <v>348</v>
      </c>
    </row>
    <row r="46" spans="1:13" x14ac:dyDescent="0.3">
      <c r="B46" s="11"/>
      <c r="F46" s="9"/>
    </row>
    <row r="47" spans="1:13" x14ac:dyDescent="0.3">
      <c r="B47" s="13"/>
      <c r="C47" s="26"/>
    </row>
    <row r="48" spans="1:13" x14ac:dyDescent="0.3">
      <c r="B48" s="12"/>
      <c r="C48" s="24"/>
    </row>
    <row r="53" spans="2:7" x14ac:dyDescent="0.3">
      <c r="B53" s="16"/>
      <c r="C53" s="9"/>
      <c r="D53" s="9"/>
      <c r="F53" s="9"/>
      <c r="G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Utilities</vt:lpstr>
      <vt:lpstr>Electricity</vt:lpstr>
      <vt:lpstr>Carbon dioxide</vt:lpstr>
      <vt:lpstr>Hydrogen</vt:lpstr>
      <vt:lpstr>Ammonia</vt:lpstr>
      <vt:lpstr>Methanol</vt:lpstr>
      <vt:lpstr>Ethylene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2023-02-28T11:13:45Z</dcterms:created>
  <dcterms:modified xsi:type="dcterms:W3CDTF">2023-07-14T09:20:35Z</dcterms:modified>
</cp:coreProperties>
</file>