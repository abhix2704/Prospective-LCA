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46778BD5-ABD3-DA47-BE74-D207C1BB04D2}" xr6:coauthVersionLast="47" xr6:coauthVersionMax="47" xr10:uidLastSave="{00000000-0000-0000-0000-000000000000}"/>
  <bookViews>
    <workbookView xWindow="0" yWindow="0" windowWidth="28800" windowHeight="18000" xr2:uid="{79F87D26-5407-4579-9D8D-FA563FE5FD90}"/>
  </bookViews>
  <sheets>
    <sheet name="Utilities" sheetId="6" r:id="rId1"/>
    <sheet name="Ammonia" sheetId="5" r:id="rId2"/>
    <sheet name="Methanol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7" l="1"/>
  <c r="B18" i="7"/>
  <c r="B55" i="7"/>
  <c r="B56" i="7"/>
  <c r="B84" i="5" l="1"/>
  <c r="B83" i="5"/>
  <c r="B255" i="6"/>
  <c r="B62" i="5"/>
  <c r="B59" i="5"/>
  <c r="B212" i="6"/>
  <c r="B211" i="6"/>
  <c r="B199" i="6"/>
  <c r="B198" i="6"/>
  <c r="B29" i="5"/>
  <c r="B26" i="5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<sst xmlns="http://schemas.openxmlformats.org/spreadsheetml/2006/main" count="1924" uniqueCount="235">
  <si>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</si>
  <si>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</si>
  <si>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</si>
  <si>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</si>
  <si>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</si>
  <si>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</si>
  <si>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</si>
  <si>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</si>
  <si>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</si>
  <si>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</si>
  <si>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</si>
  <si>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</si>
  <si>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</si>
  <si>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</si>
  <si>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</si>
  <si>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</si>
  <si>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</si>
  <si>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</si>
  <si>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</si>
  <si>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</si>
  <si>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</si>
  <si>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</si>
  <si>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</si>
  <si>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</si>
  <si>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</si>
  <si>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</si>
  <si>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</si>
  <si>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</si>
  <si>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</si>
  <si>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</si>
  <si>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</si>
  <si>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</si>
  <si>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</si>
  <si>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</si>
  <si>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</si>
  <si>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</si>
  <si>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</si>
  <si>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</si>
  <si>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</si>
  <si>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</si>
  <si>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</si>
  <si>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</si>
  <si>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</si>
  <si>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</si>
  <si>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</si>
  <si>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</si>
  <si>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</si>
  <si>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</si>
  <si>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</si>
  <si>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</si>
  <si>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</si>
  <si>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</si>
  <si>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</si>
  <si>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</si>
  <si>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</si>
  <si>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</si>
  <si>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</si>
  <si>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</si>
  <si>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</si>
  <si>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</si>
  <si>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</si>
  <si>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</si>
  <si>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</si>
  <si>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</si>
  <si>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</si>
  <si>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</si>
  <si>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</si>
  <si>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</si>
  <si>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</si>
  <si>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</si>
  <si>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</si>
  <si>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</si>
  <si>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</si>
  <si>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</si>
  <si>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</si>
  <si>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</si>
  <si>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</si>
  <si>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</si>
  <si>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</si>
  <si>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</si>
  <si>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</si>
  <si>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</si>
  <si>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</si>
  <si>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</si>
  <si>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</si>
  <si>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</si>
  <si>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</si>
  <si>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</si>
  <si>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</si>
  <si>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</si>
  <si>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</si>
  <si>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</si>
  <si>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</si>
  <si>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</si>
  <si>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</si>
  <si>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</si>
  <si>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</si>
  <si>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</si>
  <si>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</si>
  <si>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</si>
  <si>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</si>
  <si>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</si>
  <si>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</si>
  <si>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</si>
  <si>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</si>
  <si>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</si>
  <si>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</si>
  <si>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</si>
  <si>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</si>
  <si>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</si>
  <si>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</si>
  <si>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</si>
  <si>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</si>
  <si>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</si>
  <si>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</si>
  <si>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</si>
  <si>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</si>
  <si>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</si>
  <si>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</si>
  <si>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</si>
  <si>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activated carbon production, granular from hard coal</t>
  </si>
  <si>
    <t>treatment of wastewater, average, capacity 1E9l/year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</si>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</sst>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tabSelected="1" workbookViewId="0">
      <selection activeCell="B12" sqref="B12"/>
    </sheetView>
  </sheetViews>
  <sheetFormatPr baseColWidth="10" defaultColWidth="8.83203125" defaultRowHeight="15" x14ac:dyDescent="0.2"/>
  <cols>
    <col min="1" max="1" width="70.5" bestFit="1" customWidth="1"/>
    <col min="2" max="2" width="10.5" bestFit="1" customWidth="1"/>
    <col min="3" max="3" width="38.1640625" bestFit="1" customWidth="1"/>
    <col min="4" max="4" width="7.6640625" bestFit="1" customWidth="1"/>
    <col min="5" max="5" width="11.832031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51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2">
      <c r="A12" t="s">
        <v>53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54</v>
      </c>
    </row>
    <row r="13" spans="1:8" x14ac:dyDescent="0.2">
      <c r="A13" t="s">
        <v>55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56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2">
      <c r="A24" t="s">
        <v>58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59</v>
      </c>
    </row>
    <row r="25" spans="1:8" x14ac:dyDescent="0.2">
      <c r="A25" t="s">
        <v>60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61</v>
      </c>
    </row>
    <row r="26" spans="1:8" x14ac:dyDescent="0.2">
      <c r="A26" t="s">
        <v>62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119</v>
      </c>
    </row>
    <row r="27" spans="1:8" x14ac:dyDescent="0.2">
      <c r="A27" t="s">
        <v>55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63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2">
      <c r="A38" t="s">
        <v>65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66</v>
      </c>
    </row>
    <row r="39" spans="1:8" x14ac:dyDescent="0.2">
      <c r="A39" t="s">
        <v>67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68</v>
      </c>
    </row>
    <row r="40" spans="1:8" x14ac:dyDescent="0.2">
      <c r="A40" t="s">
        <v>69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70</v>
      </c>
    </row>
    <row r="41" spans="1:8" x14ac:dyDescent="0.2">
      <c r="A41" t="s">
        <v>55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71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2">
      <c r="A52" t="s">
        <v>53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54</v>
      </c>
    </row>
    <row r="53" spans="1:8" x14ac:dyDescent="0.2">
      <c r="A53" t="s">
        <v>73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74</v>
      </c>
    </row>
    <row r="54" spans="1:8" x14ac:dyDescent="0.2">
      <c r="A54" t="s">
        <v>62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119</v>
      </c>
    </row>
    <row r="55" spans="1:8" x14ac:dyDescent="0.2">
      <c r="A55" t="s">
        <v>55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75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2">
      <c r="A66" t="s">
        <v>77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62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119</v>
      </c>
    </row>
    <row r="68" spans="1:8" x14ac:dyDescent="0.2">
      <c r="A68" t="s">
        <v>55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78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2">
      <c r="A79" t="s">
        <v>65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66</v>
      </c>
    </row>
    <row r="80" spans="1:8" x14ac:dyDescent="0.2">
      <c r="A80" t="s">
        <v>80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81</v>
      </c>
    </row>
    <row r="81" spans="1:8" x14ac:dyDescent="0.2">
      <c r="A81" t="s">
        <v>62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119</v>
      </c>
    </row>
    <row r="82" spans="1:8" x14ac:dyDescent="0.2">
      <c r="A82" t="s">
        <v>55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82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2">
      <c r="A93" t="s">
        <v>77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62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119</v>
      </c>
    </row>
    <row r="95" spans="1:8" x14ac:dyDescent="0.2">
      <c r="A95" t="s">
        <v>55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172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172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172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172</v>
      </c>
    </row>
    <row r="106" spans="1:8" x14ac:dyDescent="0.2">
      <c r="A106" t="s">
        <v>51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51</v>
      </c>
    </row>
    <row r="107" spans="1:8" x14ac:dyDescent="0.2">
      <c r="A107" t="s">
        <v>56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56</v>
      </c>
    </row>
    <row r="108" spans="1:8" x14ac:dyDescent="0.2">
      <c r="A108" t="s">
        <v>63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63</v>
      </c>
    </row>
    <row r="109" spans="1:8" x14ac:dyDescent="0.2">
      <c r="A109" t="s">
        <v>71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71</v>
      </c>
    </row>
    <row r="110" spans="1:8" x14ac:dyDescent="0.2">
      <c r="A110" t="s">
        <v>75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75</v>
      </c>
    </row>
    <row r="111" spans="1:8" x14ac:dyDescent="0.2">
      <c r="A111" t="s">
        <v>78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78</v>
      </c>
    </row>
    <row r="112" spans="1:8" x14ac:dyDescent="0.2">
      <c r="A112" t="s">
        <v>82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82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t="s">
        <v>85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2">
      <c r="A123" t="s">
        <v>88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89</v>
      </c>
    </row>
    <row r="124" spans="1:8" x14ac:dyDescent="0.2">
      <c r="A124" t="s">
        <v>48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2">
      <c r="A125" t="s">
        <v>90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91</v>
      </c>
    </row>
    <row r="126" spans="1:8" x14ac:dyDescent="0.2">
      <c r="A126" t="s">
        <v>92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93</v>
      </c>
    </row>
    <row r="127" spans="1:8" x14ac:dyDescent="0.2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">
      <c r="A128" t="s">
        <v>94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96</v>
      </c>
    </row>
    <row r="130" spans="1:11" x14ac:dyDescent="0.2">
      <c r="A130" s="2"/>
      <c r="B130" s="2"/>
      <c r="C130" s="3"/>
      <c r="D130" s="2"/>
      <c r="E130" s="2"/>
      <c r="F130" s="2"/>
      <c r="G130" s="2"/>
      <c r="H130" s="2"/>
    </row>
    <row r="131" spans="1:11" x14ac:dyDescent="0.2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2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2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2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2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2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2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2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2">
      <c r="A139" t="s">
        <v>97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2">
      <c r="A140" t="s">
        <v>100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2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2">
      <c r="A142" t="s">
        <v>101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2">
      <c r="A143" t="s">
        <v>102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2">
      <c r="A144" t="s">
        <v>103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2">
      <c r="A145" t="s">
        <v>104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2">
      <c r="A146" t="s">
        <v>105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2">
      <c r="A147" t="s">
        <v>106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2">
      <c r="A148" t="s">
        <v>107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2">
      <c r="A149" t="s">
        <v>108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2">
      <c r="A150" t="s">
        <v>109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2">
      <c r="A151" t="s">
        <v>110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2">
      <c r="A152" t="s">
        <v>111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2">
      <c r="A153" t="s">
        <v>112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2">
      <c r="A154" t="s">
        <v>113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2">
      <c r="A155" t="s">
        <v>114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2">
      <c r="A156" t="s">
        <v>115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2">
      <c r="A157" t="s">
        <v>116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2">
      <c r="A158" t="s">
        <v>117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2">
      <c r="A159" t="s">
        <v>118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2">
      <c r="A160" s="2"/>
      <c r="B160" s="2"/>
      <c r="C160" s="3"/>
      <c r="D160" s="2"/>
      <c r="E160" s="2"/>
      <c r="F160" s="2"/>
      <c r="G160" s="2"/>
      <c r="H160" s="2"/>
    </row>
    <row r="161" spans="1:11" x14ac:dyDescent="0.2">
      <c r="A161" s="1" t="s">
        <v>0</v>
      </c>
      <c r="B161" s="1" t="s">
        <v>124</v>
      </c>
      <c r="C161" s="8"/>
      <c r="D161" s="8"/>
      <c r="E161" s="8"/>
      <c r="F161" s="8"/>
      <c r="G161" s="8"/>
      <c r="H161" s="8"/>
      <c r="I161" s="8"/>
    </row>
    <row r="162" spans="1:11" x14ac:dyDescent="0.2">
      <c r="A162" s="8" t="s">
        <v>2</v>
      </c>
      <c r="B162" t="s">
        <v>158</v>
      </c>
      <c r="C162" s="8"/>
      <c r="D162" s="8"/>
      <c r="E162" s="8"/>
      <c r="F162" s="8"/>
      <c r="G162" s="8"/>
      <c r="H162" s="8"/>
      <c r="I162" s="8"/>
    </row>
    <row r="163" spans="1:11" x14ac:dyDescent="0.2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2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2">
      <c r="A165" s="8" t="s">
        <v>6</v>
      </c>
      <c r="B165" s="8" t="s">
        <v>125</v>
      </c>
      <c r="C165" s="8"/>
      <c r="D165" s="8"/>
      <c r="E165" s="8"/>
      <c r="F165" s="8"/>
      <c r="G165" s="8"/>
      <c r="H165" s="8"/>
      <c r="I165" s="8"/>
    </row>
    <row r="166" spans="1:11" x14ac:dyDescent="0.2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2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2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2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2">
      <c r="A170" s="8" t="s">
        <v>126</v>
      </c>
      <c r="B170" s="13">
        <v>1.4039999999999999E-5</v>
      </c>
      <c r="C170" s="8" t="s">
        <v>30</v>
      </c>
      <c r="D170" s="8"/>
      <c r="E170" s="8" t="s">
        <v>127</v>
      </c>
      <c r="F170" s="8" t="s">
        <v>128</v>
      </c>
      <c r="G170" s="8" t="s">
        <v>31</v>
      </c>
      <c r="H170" s="8"/>
      <c r="I170" s="8"/>
      <c r="K170" s="14"/>
    </row>
    <row r="171" spans="1:11" x14ac:dyDescent="0.2">
      <c r="A171" s="8" t="s">
        <v>129</v>
      </c>
      <c r="B171" s="9">
        <v>1.155E-2</v>
      </c>
      <c r="C171" s="8" t="s">
        <v>30</v>
      </c>
      <c r="D171" s="8"/>
      <c r="E171" s="8" t="s">
        <v>9</v>
      </c>
      <c r="F171" s="8" t="s">
        <v>130</v>
      </c>
      <c r="G171" s="8" t="s">
        <v>31</v>
      </c>
      <c r="H171" s="8"/>
      <c r="I171" s="8"/>
      <c r="K171" s="14"/>
    </row>
    <row r="172" spans="1:11" x14ac:dyDescent="0.2">
      <c r="A172" s="8" t="s">
        <v>131</v>
      </c>
      <c r="B172" s="13">
        <v>8.5109999999999986E-6</v>
      </c>
      <c r="C172" s="8" t="s">
        <v>30</v>
      </c>
      <c r="D172" s="8"/>
      <c r="E172" s="8" t="s">
        <v>132</v>
      </c>
      <c r="F172" s="8" t="s">
        <v>128</v>
      </c>
      <c r="G172" s="8" t="s">
        <v>31</v>
      </c>
      <c r="H172" s="8"/>
      <c r="I172" s="8"/>
      <c r="K172" s="14"/>
    </row>
    <row r="173" spans="1:11" x14ac:dyDescent="0.2">
      <c r="A173" s="8" t="s">
        <v>133</v>
      </c>
      <c r="B173" s="13">
        <v>8.5109999999999986E-6</v>
      </c>
      <c r="C173" s="8" t="s">
        <v>30</v>
      </c>
      <c r="D173" s="8"/>
      <c r="E173" s="8" t="s">
        <v>132</v>
      </c>
      <c r="F173" s="8" t="s">
        <v>128</v>
      </c>
      <c r="G173" s="8" t="s">
        <v>31</v>
      </c>
      <c r="H173" s="8"/>
      <c r="I173" s="8"/>
      <c r="K173" s="14"/>
    </row>
    <row r="174" spans="1:11" x14ac:dyDescent="0.2">
      <c r="A174" s="8" t="s">
        <v>124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125</v>
      </c>
      <c r="I174" s="8"/>
      <c r="K174" s="14"/>
    </row>
    <row r="175" spans="1:11" x14ac:dyDescent="0.2">
      <c r="A175" s="8" t="s">
        <v>134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135</v>
      </c>
      <c r="I175" s="8"/>
      <c r="K175" s="14"/>
    </row>
    <row r="176" spans="1:11" x14ac:dyDescent="0.2">
      <c r="A176" s="8" t="s">
        <v>136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137</v>
      </c>
      <c r="I176" s="8"/>
      <c r="K176" s="14"/>
    </row>
    <row r="177" spans="1:11" x14ac:dyDescent="0.2">
      <c r="A177" s="8" t="s">
        <v>138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139</v>
      </c>
      <c r="I177" s="8"/>
      <c r="K177" s="14"/>
    </row>
    <row r="178" spans="1:11" x14ac:dyDescent="0.2">
      <c r="A178" s="8" t="s">
        <v>140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140</v>
      </c>
      <c r="I178" s="8"/>
      <c r="K178" s="14"/>
    </row>
    <row r="179" spans="1:11" x14ac:dyDescent="0.2">
      <c r="A179" s="8" t="s">
        <v>141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141</v>
      </c>
      <c r="I179" s="8"/>
      <c r="K179" s="14"/>
    </row>
    <row r="180" spans="1:11" x14ac:dyDescent="0.2">
      <c r="A180" s="8" t="s">
        <v>142</v>
      </c>
      <c r="B180" s="13">
        <v>1.3140000000000001E-3</v>
      </c>
      <c r="C180" s="8" t="s">
        <v>18</v>
      </c>
      <c r="D180" s="8" t="s">
        <v>19</v>
      </c>
      <c r="E180" s="8" t="s">
        <v>143</v>
      </c>
      <c r="F180" s="8"/>
      <c r="G180" s="8" t="s">
        <v>20</v>
      </c>
      <c r="H180" s="8" t="s">
        <v>144</v>
      </c>
      <c r="I180" s="8"/>
      <c r="K180" s="14"/>
    </row>
    <row r="181" spans="1:11" x14ac:dyDescent="0.2">
      <c r="A181" s="8" t="s">
        <v>145</v>
      </c>
      <c r="B181" s="13">
        <v>8.2189999999999997E-8</v>
      </c>
      <c r="C181" s="8" t="s">
        <v>18</v>
      </c>
      <c r="D181" s="8" t="s">
        <v>4</v>
      </c>
      <c r="E181" s="8" t="s">
        <v>146</v>
      </c>
      <c r="F181" s="8"/>
      <c r="G181" s="8" t="s">
        <v>20</v>
      </c>
      <c r="H181" s="8" t="s">
        <v>147</v>
      </c>
      <c r="I181" s="8"/>
      <c r="K181" s="14"/>
    </row>
    <row r="182" spans="1:11" x14ac:dyDescent="0.2">
      <c r="A182" s="8" t="s">
        <v>148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149</v>
      </c>
      <c r="I182" s="8"/>
      <c r="K182" s="14"/>
    </row>
    <row r="183" spans="1:11" x14ac:dyDescent="0.2">
      <c r="A183" s="8" t="s">
        <v>150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151</v>
      </c>
      <c r="I183" s="8"/>
      <c r="K183" s="14"/>
    </row>
    <row r="184" spans="1:11" x14ac:dyDescent="0.2">
      <c r="A184" s="8" t="s">
        <v>152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153</v>
      </c>
      <c r="I184" s="8"/>
      <c r="K184" s="14"/>
    </row>
    <row r="185" spans="1:11" x14ac:dyDescent="0.2">
      <c r="A185" s="8" t="s">
        <v>154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155</v>
      </c>
      <c r="I185" s="8"/>
      <c r="K185" s="14"/>
    </row>
    <row r="186" spans="1:11" x14ac:dyDescent="0.2">
      <c r="A186" s="8" t="s">
        <v>156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157</v>
      </c>
      <c r="I186" s="8"/>
      <c r="K186" s="14"/>
    </row>
    <row r="187" spans="1:11" x14ac:dyDescent="0.2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2">
      <c r="A188" s="1" t="s">
        <v>0</v>
      </c>
      <c r="B188" s="1" t="s">
        <v>123</v>
      </c>
      <c r="C188" s="8"/>
      <c r="D188" s="8"/>
      <c r="E188" s="8"/>
      <c r="F188" s="8"/>
      <c r="G188" s="8"/>
      <c r="H188" s="8"/>
      <c r="K188" s="14"/>
    </row>
    <row r="189" spans="1:11" x14ac:dyDescent="0.2">
      <c r="A189" s="8" t="s">
        <v>2</v>
      </c>
      <c r="B189" t="s">
        <v>159</v>
      </c>
      <c r="C189" s="8"/>
      <c r="D189" s="8"/>
      <c r="E189" s="8"/>
      <c r="F189" s="8"/>
      <c r="G189" s="8"/>
      <c r="H189" s="8"/>
      <c r="K189" s="14"/>
    </row>
    <row r="190" spans="1:11" x14ac:dyDescent="0.2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2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2">
      <c r="A192" s="8" t="s">
        <v>6</v>
      </c>
      <c r="B192" t="s">
        <v>123</v>
      </c>
      <c r="C192" s="8"/>
      <c r="D192" s="8"/>
      <c r="E192" s="8"/>
      <c r="F192" s="8"/>
      <c r="G192" s="8"/>
      <c r="H192" s="8"/>
    </row>
    <row r="193" spans="1:8" x14ac:dyDescent="0.2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2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2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2">
      <c r="A196" s="8" t="s">
        <v>123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123</v>
      </c>
    </row>
    <row r="197" spans="1:8" x14ac:dyDescent="0.2">
      <c r="A197" s="8" t="s">
        <v>124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125</v>
      </c>
    </row>
    <row r="198" spans="1:8" x14ac:dyDescent="0.2">
      <c r="A198" t="s">
        <v>55</v>
      </c>
      <c r="B198" s="4">
        <f>13.1/1000</f>
        <v>1.3099999999999999E-2</v>
      </c>
      <c r="C198" t="s">
        <v>18</v>
      </c>
      <c r="D198" t="s">
        <v>44</v>
      </c>
      <c r="E198" t="s">
        <v>24</v>
      </c>
      <c r="G198" t="s">
        <v>20</v>
      </c>
      <c r="H198" t="s">
        <v>43</v>
      </c>
    </row>
    <row r="199" spans="1:8" x14ac:dyDescent="0.2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2">
      <c r="A200" s="2"/>
      <c r="B200" s="2"/>
      <c r="C200" s="3"/>
      <c r="D200" s="2"/>
      <c r="E200" s="2"/>
      <c r="F200" s="2"/>
      <c r="G200" s="2"/>
      <c r="H200" s="2"/>
    </row>
    <row r="201" spans="1:8" x14ac:dyDescent="0.2">
      <c r="A201" s="1" t="s">
        <v>0</v>
      </c>
      <c r="B201" s="1" t="s">
        <v>160</v>
      </c>
      <c r="C201" s="8"/>
      <c r="D201" s="8"/>
      <c r="E201" s="8"/>
      <c r="F201" s="8"/>
      <c r="G201" s="8"/>
      <c r="H201" s="8"/>
    </row>
    <row r="202" spans="1:8" x14ac:dyDescent="0.2">
      <c r="A202" s="8" t="s">
        <v>2</v>
      </c>
      <c r="B202" t="s">
        <v>159</v>
      </c>
      <c r="C202" s="8"/>
      <c r="D202" s="8"/>
      <c r="E202" s="8"/>
      <c r="F202" s="8"/>
      <c r="G202" s="8"/>
      <c r="H202" s="8"/>
    </row>
    <row r="203" spans="1:8" x14ac:dyDescent="0.2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2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2">
      <c r="A205" s="8" t="s">
        <v>6</v>
      </c>
      <c r="B205" t="s">
        <v>160</v>
      </c>
      <c r="C205" s="8"/>
      <c r="D205" s="8"/>
      <c r="E205" s="8"/>
      <c r="F205" s="8"/>
      <c r="G205" s="8"/>
      <c r="H205" s="8"/>
    </row>
    <row r="206" spans="1:8" x14ac:dyDescent="0.2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2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2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2">
      <c r="A209" s="8" t="s">
        <v>160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160</v>
      </c>
    </row>
    <row r="210" spans="1:8" x14ac:dyDescent="0.2">
      <c r="A210" s="8" t="s">
        <v>124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125</v>
      </c>
    </row>
    <row r="211" spans="1:8" x14ac:dyDescent="0.2">
      <c r="A211" t="s">
        <v>55</v>
      </c>
      <c r="B211" s="4">
        <f>3.99/1000</f>
        <v>3.9900000000000005E-3</v>
      </c>
      <c r="C211" t="s">
        <v>18</v>
      </c>
      <c r="D211" t="s">
        <v>44</v>
      </c>
      <c r="E211" t="s">
        <v>24</v>
      </c>
      <c r="G211" t="s">
        <v>20</v>
      </c>
      <c r="H211" t="s">
        <v>43</v>
      </c>
    </row>
    <row r="212" spans="1:8" x14ac:dyDescent="0.2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2">
      <c r="A213" s="2"/>
      <c r="B213" s="2"/>
      <c r="C213" s="3"/>
      <c r="D213" s="2"/>
      <c r="E213" s="2"/>
      <c r="F213" s="2"/>
      <c r="G213" s="2"/>
      <c r="H213" s="2"/>
    </row>
    <row r="214" spans="1:8" x14ac:dyDescent="0.2">
      <c r="A214" s="1" t="s">
        <v>0</v>
      </c>
      <c r="B214" s="1" t="s">
        <v>163</v>
      </c>
      <c r="C214" s="8"/>
      <c r="D214" s="8"/>
      <c r="E214" s="8"/>
      <c r="F214" s="8"/>
      <c r="G214" s="8"/>
      <c r="H214" s="8"/>
    </row>
    <row r="215" spans="1:8" x14ac:dyDescent="0.2">
      <c r="A215" s="8" t="s">
        <v>2</v>
      </c>
      <c r="B215" t="s">
        <v>164</v>
      </c>
      <c r="C215" s="8"/>
      <c r="D215" s="8"/>
      <c r="E215" s="8"/>
      <c r="F215" s="8"/>
      <c r="G215" s="8"/>
      <c r="H215" s="8"/>
    </row>
    <row r="216" spans="1:8" x14ac:dyDescent="0.2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2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2">
      <c r="A218" s="8" t="s">
        <v>6</v>
      </c>
      <c r="B218" t="s">
        <v>163</v>
      </c>
      <c r="C218" s="8"/>
      <c r="D218" s="8"/>
      <c r="E218" s="8"/>
      <c r="F218" s="8"/>
      <c r="G218" s="8"/>
      <c r="H218" s="8"/>
    </row>
    <row r="219" spans="1:8" x14ac:dyDescent="0.2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2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2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2">
      <c r="A222" s="8" t="s">
        <v>163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163</v>
      </c>
    </row>
    <row r="223" spans="1:8" x14ac:dyDescent="0.2">
      <c r="A223" t="s">
        <v>85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87</v>
      </c>
    </row>
    <row r="224" spans="1:8" x14ac:dyDescent="0.2">
      <c r="A224" s="8" t="s">
        <v>160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160</v>
      </c>
    </row>
    <row r="225" spans="1:8" x14ac:dyDescent="0.2">
      <c r="A225" s="8" t="s">
        <v>165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166</v>
      </c>
    </row>
    <row r="226" spans="1:8" x14ac:dyDescent="0.2">
      <c r="A226" s="8" t="s">
        <v>161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161</v>
      </c>
    </row>
    <row r="227" spans="1:8" x14ac:dyDescent="0.2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2">
      <c r="A228" s="2"/>
      <c r="B228" s="2"/>
      <c r="C228" s="3"/>
      <c r="D228" s="2"/>
      <c r="E228" s="2"/>
      <c r="F228" s="2"/>
      <c r="G228" s="2"/>
      <c r="H228" s="2"/>
    </row>
    <row r="229" spans="1:8" x14ac:dyDescent="0.2">
      <c r="A229" s="1" t="s">
        <v>0</v>
      </c>
      <c r="B229" s="1" t="s">
        <v>161</v>
      </c>
      <c r="C229" s="8"/>
      <c r="D229" s="8"/>
      <c r="E229" s="8"/>
      <c r="F229" s="8"/>
      <c r="G229" s="8"/>
      <c r="H229" s="8"/>
    </row>
    <row r="230" spans="1:8" x14ac:dyDescent="0.2">
      <c r="A230" s="8" t="s">
        <v>2</v>
      </c>
      <c r="B230" t="s">
        <v>162</v>
      </c>
      <c r="C230" s="8"/>
      <c r="D230" s="8"/>
      <c r="E230" s="8"/>
      <c r="F230" s="8"/>
      <c r="G230" s="8"/>
      <c r="H230" s="8"/>
    </row>
    <row r="231" spans="1:8" x14ac:dyDescent="0.2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2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2">
      <c r="A233" s="8" t="s">
        <v>6</v>
      </c>
      <c r="B233" t="s">
        <v>161</v>
      </c>
      <c r="C233" s="8"/>
      <c r="D233" s="8"/>
      <c r="E233" s="8"/>
      <c r="F233" s="8"/>
      <c r="G233" s="8"/>
      <c r="H233" s="8"/>
    </row>
    <row r="234" spans="1:8" x14ac:dyDescent="0.2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2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2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2">
      <c r="A237" s="8" t="s">
        <v>161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161</v>
      </c>
    </row>
    <row r="238" spans="1:8" x14ac:dyDescent="0.2">
      <c r="A238" t="s">
        <v>85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87</v>
      </c>
    </row>
    <row r="239" spans="1:8" x14ac:dyDescent="0.2">
      <c r="A239" s="8" t="s">
        <v>160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160</v>
      </c>
    </row>
    <row r="240" spans="1:8" x14ac:dyDescent="0.2">
      <c r="A240" t="s">
        <v>55</v>
      </c>
      <c r="B240" s="4">
        <v>1.06</v>
      </c>
      <c r="C240" t="s">
        <v>18</v>
      </c>
      <c r="D240" t="s">
        <v>44</v>
      </c>
      <c r="E240" t="s">
        <v>24</v>
      </c>
      <c r="G240" t="s">
        <v>20</v>
      </c>
      <c r="H240" t="s">
        <v>43</v>
      </c>
    </row>
    <row r="241" spans="1:8" x14ac:dyDescent="0.2">
      <c r="A241" s="8" t="s">
        <v>163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163</v>
      </c>
    </row>
    <row r="242" spans="1:8" x14ac:dyDescent="0.2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2">
      <c r="A243" s="2"/>
      <c r="B243" s="2"/>
      <c r="C243" s="3"/>
      <c r="D243" s="2"/>
      <c r="E243" s="2"/>
      <c r="F243" s="2"/>
      <c r="G243" s="2"/>
      <c r="H243" s="2"/>
    </row>
    <row r="244" spans="1:8" x14ac:dyDescent="0.2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2">
      <c r="A245" s="8" t="s">
        <v>2</v>
      </c>
      <c r="B245" t="s">
        <v>169</v>
      </c>
      <c r="C245" s="8"/>
      <c r="D245" s="8"/>
      <c r="E245" s="8"/>
      <c r="F245" s="8"/>
      <c r="G245" s="8"/>
      <c r="H245" s="8"/>
    </row>
    <row r="246" spans="1:8" x14ac:dyDescent="0.2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2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2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2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2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2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2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2">
      <c r="A253" s="5" t="s">
        <v>170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171</v>
      </c>
    </row>
    <row r="254" spans="1:8" x14ac:dyDescent="0.2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2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2">
      <c r="A256" s="2"/>
      <c r="B256" s="2"/>
      <c r="C256" s="3"/>
      <c r="D256" s="2"/>
      <c r="E256" s="2"/>
      <c r="F256" s="2"/>
      <c r="G256" s="2"/>
      <c r="H256" s="2"/>
    </row>
    <row r="257" spans="1:8" x14ac:dyDescent="0.2">
      <c r="A257" s="19" t="s">
        <v>0</v>
      </c>
      <c r="B257" s="19" t="s">
        <v>187</v>
      </c>
      <c r="C257" s="20"/>
      <c r="D257" s="5"/>
      <c r="E257" s="5"/>
      <c r="F257" s="5"/>
      <c r="G257" s="5"/>
      <c r="H257" s="5"/>
    </row>
    <row r="258" spans="1:8" x14ac:dyDescent="0.2">
      <c r="A258" s="19" t="s">
        <v>2</v>
      </c>
      <c r="B258" s="5" t="s">
        <v>202</v>
      </c>
      <c r="C258" s="20"/>
      <c r="D258" s="5"/>
      <c r="E258" s="5"/>
      <c r="F258" s="5"/>
      <c r="G258" s="5"/>
      <c r="H258" s="5"/>
    </row>
    <row r="259" spans="1:8" x14ac:dyDescent="0.2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2">
      <c r="A260" s="1" t="s">
        <v>6</v>
      </c>
      <c r="B260" s="17" t="s">
        <v>188</v>
      </c>
      <c r="C260" s="20"/>
      <c r="D260" s="5"/>
      <c r="E260" s="5"/>
      <c r="F260" s="5"/>
      <c r="G260" s="5"/>
      <c r="H260" s="5"/>
    </row>
    <row r="261" spans="1:8" x14ac:dyDescent="0.2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2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2">
      <c r="A263" s="19" t="s">
        <v>203</v>
      </c>
      <c r="B263" s="5"/>
      <c r="C263" s="20"/>
      <c r="D263" s="21"/>
      <c r="E263" s="5"/>
      <c r="F263" s="5"/>
      <c r="G263" s="5"/>
      <c r="H263" s="5"/>
    </row>
    <row r="264" spans="1:8" x14ac:dyDescent="0.2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2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2">
      <c r="A266" s="17" t="s">
        <v>187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188</v>
      </c>
    </row>
    <row r="267" spans="1:8" x14ac:dyDescent="0.2">
      <c r="A267" t="s">
        <v>47</v>
      </c>
      <c r="B267" s="23">
        <v>2.8998115122517001E-2</v>
      </c>
      <c r="C267" t="s">
        <v>18</v>
      </c>
      <c r="D267" t="s">
        <v>19</v>
      </c>
      <c r="E267" s="5" t="s">
        <v>21</v>
      </c>
      <c r="F267" s="17"/>
      <c r="G267" s="17" t="s">
        <v>20</v>
      </c>
      <c r="H267" t="s">
        <v>22</v>
      </c>
    </row>
    <row r="268" spans="1:8" x14ac:dyDescent="0.2">
      <c r="A268" s="17" t="s">
        <v>204</v>
      </c>
      <c r="B268" s="6">
        <v>1.1684210526315801E-3</v>
      </c>
      <c r="C268" t="s">
        <v>18</v>
      </c>
      <c r="D268" s="17" t="s">
        <v>4</v>
      </c>
      <c r="E268" s="17" t="s">
        <v>24</v>
      </c>
      <c r="F268" s="17"/>
      <c r="G268" s="17" t="s">
        <v>20</v>
      </c>
      <c r="H268" s="18" t="s">
        <v>205</v>
      </c>
    </row>
    <row r="269" spans="1:8" x14ac:dyDescent="0.2">
      <c r="A269" s="17" t="s">
        <v>206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207</v>
      </c>
    </row>
    <row r="270" spans="1:8" x14ac:dyDescent="0.2">
      <c r="A270" s="17" t="s">
        <v>208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208</v>
      </c>
    </row>
    <row r="271" spans="1:8" x14ac:dyDescent="0.2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189</v>
      </c>
      <c r="G271" s="5" t="s">
        <v>31</v>
      </c>
    </row>
    <row r="272" spans="1:8" x14ac:dyDescent="0.2">
      <c r="A272" t="s">
        <v>101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189</v>
      </c>
      <c r="G272" s="5" t="s">
        <v>31</v>
      </c>
    </row>
    <row r="273" spans="1:7" x14ac:dyDescent="0.2">
      <c r="A273" t="s">
        <v>100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189</v>
      </c>
      <c r="G273" s="5" t="s">
        <v>31</v>
      </c>
    </row>
    <row r="274" spans="1:7" x14ac:dyDescent="0.2">
      <c r="A274" s="18" t="s">
        <v>209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189</v>
      </c>
      <c r="G274" s="5" t="s">
        <v>31</v>
      </c>
    </row>
    <row r="275" spans="1:7" x14ac:dyDescent="0.2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189</v>
      </c>
      <c r="G275" s="5" t="s">
        <v>31</v>
      </c>
    </row>
    <row r="276" spans="1:7" x14ac:dyDescent="0.2">
      <c r="A276" s="18" t="s">
        <v>197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189</v>
      </c>
      <c r="G276" s="5" t="s">
        <v>31</v>
      </c>
    </row>
    <row r="277" spans="1:7" x14ac:dyDescent="0.2">
      <c r="A277" s="18" t="s">
        <v>105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189</v>
      </c>
      <c r="G277" s="5" t="s">
        <v>31</v>
      </c>
    </row>
    <row r="278" spans="1:7" x14ac:dyDescent="0.2">
      <c r="A278" s="18" t="s">
        <v>210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189</v>
      </c>
      <c r="G278" s="5" t="s">
        <v>31</v>
      </c>
    </row>
    <row r="279" spans="1:7" x14ac:dyDescent="0.2">
      <c r="A279" s="18" t="s">
        <v>211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189</v>
      </c>
      <c r="G279" s="5" t="s">
        <v>31</v>
      </c>
    </row>
    <row r="280" spans="1:7" x14ac:dyDescent="0.2">
      <c r="A280" s="18" t="s">
        <v>212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189</v>
      </c>
      <c r="G280" s="5" t="s">
        <v>31</v>
      </c>
    </row>
    <row r="281" spans="1:7" x14ac:dyDescent="0.2">
      <c r="A281" s="18" t="s">
        <v>115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189</v>
      </c>
      <c r="G281" s="5" t="s">
        <v>31</v>
      </c>
    </row>
    <row r="282" spans="1:7" x14ac:dyDescent="0.2">
      <c r="A282" s="18" t="s">
        <v>213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189</v>
      </c>
      <c r="G282" s="5" t="s">
        <v>31</v>
      </c>
    </row>
    <row r="283" spans="1:7" x14ac:dyDescent="0.2">
      <c r="A283" s="18" t="s">
        <v>214</v>
      </c>
      <c r="B283" s="6">
        <v>0</v>
      </c>
      <c r="C283" s="17" t="s">
        <v>30</v>
      </c>
      <c r="E283" s="17" t="s">
        <v>9</v>
      </c>
      <c r="F283" s="17" t="s">
        <v>189</v>
      </c>
      <c r="G283" s="5" t="s">
        <v>31</v>
      </c>
    </row>
    <row r="284" spans="1:7" x14ac:dyDescent="0.2">
      <c r="A284" s="18" t="s">
        <v>198</v>
      </c>
      <c r="B284" s="15">
        <v>1.05263157894737E-7</v>
      </c>
      <c r="C284" s="17" t="s">
        <v>30</v>
      </c>
      <c r="E284" s="17" t="s">
        <v>9</v>
      </c>
      <c r="F284" s="17" t="s">
        <v>189</v>
      </c>
      <c r="G284" s="5" t="s">
        <v>31</v>
      </c>
    </row>
    <row r="285" spans="1:7" x14ac:dyDescent="0.2">
      <c r="A285" s="18" t="s">
        <v>108</v>
      </c>
      <c r="B285" s="15">
        <v>3.1578947368421103E-11</v>
      </c>
      <c r="C285" s="17" t="s">
        <v>30</v>
      </c>
      <c r="E285" s="17" t="s">
        <v>9</v>
      </c>
      <c r="F285" s="17" t="s">
        <v>189</v>
      </c>
      <c r="G285" s="5" t="s">
        <v>31</v>
      </c>
    </row>
    <row r="286" spans="1:7" x14ac:dyDescent="0.2">
      <c r="A286" s="18" t="s">
        <v>215</v>
      </c>
      <c r="B286" s="15">
        <v>1.0526315789473701E-8</v>
      </c>
      <c r="C286" s="17" t="s">
        <v>30</v>
      </c>
      <c r="E286" s="17" t="s">
        <v>9</v>
      </c>
      <c r="F286" s="17" t="s">
        <v>189</v>
      </c>
      <c r="G286" s="5" t="s">
        <v>31</v>
      </c>
    </row>
    <row r="287" spans="1:7" x14ac:dyDescent="0.2">
      <c r="A287" s="18" t="s">
        <v>216</v>
      </c>
      <c r="B287" s="15">
        <v>1.2631578947368401E-6</v>
      </c>
      <c r="C287" s="17" t="s">
        <v>30</v>
      </c>
      <c r="E287" s="17" t="s">
        <v>9</v>
      </c>
      <c r="F287" s="17" t="s">
        <v>189</v>
      </c>
      <c r="G287" s="5" t="s">
        <v>31</v>
      </c>
    </row>
    <row r="288" spans="1:7" x14ac:dyDescent="0.2">
      <c r="A288" s="18" t="s">
        <v>217</v>
      </c>
      <c r="B288" s="15">
        <v>2.1052631578947401E-7</v>
      </c>
      <c r="C288" s="17" t="s">
        <v>30</v>
      </c>
      <c r="E288" s="17" t="s">
        <v>9</v>
      </c>
      <c r="F288" s="17" t="s">
        <v>189</v>
      </c>
      <c r="G288" s="5" t="s">
        <v>31</v>
      </c>
    </row>
    <row r="289" spans="1:8" x14ac:dyDescent="0.2">
      <c r="A289" s="18" t="s">
        <v>218</v>
      </c>
      <c r="B289" s="15">
        <v>2.1052631578947401E-8</v>
      </c>
      <c r="C289" s="17" t="s">
        <v>30</v>
      </c>
      <c r="E289" s="17" t="s">
        <v>9</v>
      </c>
      <c r="F289" s="17" t="s">
        <v>189</v>
      </c>
      <c r="G289" s="5" t="s">
        <v>31</v>
      </c>
    </row>
    <row r="290" spans="1:8" x14ac:dyDescent="0.2">
      <c r="A290" s="18" t="s">
        <v>219</v>
      </c>
      <c r="B290" s="15">
        <v>2.1052631578947401E-7</v>
      </c>
      <c r="C290" s="5" t="s">
        <v>30</v>
      </c>
      <c r="E290" s="17" t="s">
        <v>9</v>
      </c>
      <c r="F290" s="17" t="s">
        <v>189</v>
      </c>
      <c r="G290" s="5" t="s">
        <v>31</v>
      </c>
    </row>
    <row r="291" spans="1:8" x14ac:dyDescent="0.2">
      <c r="A291" s="2"/>
      <c r="B291" s="2"/>
      <c r="C291" s="3"/>
      <c r="D291" s="2"/>
      <c r="E291" s="2"/>
      <c r="F291" s="2"/>
      <c r="G291" s="2"/>
      <c r="H291" s="2"/>
    </row>
    <row r="292" spans="1:8" x14ac:dyDescent="0.2">
      <c r="A292" s="19" t="s">
        <v>0</v>
      </c>
      <c r="B292" s="19" t="s">
        <v>208</v>
      </c>
      <c r="C292" s="20"/>
      <c r="D292" s="5"/>
      <c r="E292" s="5"/>
      <c r="F292" s="5"/>
      <c r="G292" s="5"/>
      <c r="H292" s="5"/>
    </row>
    <row r="293" spans="1:8" x14ac:dyDescent="0.2">
      <c r="A293" s="19" t="s">
        <v>2</v>
      </c>
      <c r="B293" s="5" t="s">
        <v>234</v>
      </c>
      <c r="C293" s="20"/>
      <c r="D293" s="5"/>
      <c r="E293" s="5"/>
      <c r="F293" s="5"/>
      <c r="G293" s="5"/>
      <c r="H293" s="5"/>
    </row>
    <row r="294" spans="1:8" x14ac:dyDescent="0.2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2">
      <c r="A295" s="1" t="s">
        <v>6</v>
      </c>
      <c r="B295" s="5" t="s">
        <v>208</v>
      </c>
      <c r="C295" s="20"/>
      <c r="D295" s="5"/>
      <c r="E295" s="5"/>
      <c r="F295" s="5"/>
      <c r="G295" s="5"/>
      <c r="H295" s="5"/>
    </row>
    <row r="296" spans="1:8" x14ac:dyDescent="0.2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2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2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2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2">
      <c r="A300" s="17" t="s">
        <v>208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208</v>
      </c>
    </row>
    <row r="301" spans="1:8" x14ac:dyDescent="0.2">
      <c r="A301" t="s">
        <v>55</v>
      </c>
      <c r="B301" s="22">
        <v>0.38400000000000001</v>
      </c>
      <c r="C301" t="s">
        <v>18</v>
      </c>
      <c r="D301" t="s">
        <v>4</v>
      </c>
      <c r="E301" t="s">
        <v>24</v>
      </c>
      <c r="F301" s="17"/>
      <c r="G301" s="17" t="s">
        <v>20</v>
      </c>
      <c r="H301" t="s">
        <v>43</v>
      </c>
    </row>
    <row r="302" spans="1:8" x14ac:dyDescent="0.2">
      <c r="A302" t="s">
        <v>221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222</v>
      </c>
    </row>
    <row r="303" spans="1:8" x14ac:dyDescent="0.2">
      <c r="A303" t="s">
        <v>223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224</v>
      </c>
    </row>
    <row r="304" spans="1:8" x14ac:dyDescent="0.2">
      <c r="A304" t="s">
        <v>225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226</v>
      </c>
    </row>
    <row r="305" spans="1:8" x14ac:dyDescent="0.2">
      <c r="A305" t="s">
        <v>227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228</v>
      </c>
    </row>
    <row r="306" spans="1:8" x14ac:dyDescent="0.2">
      <c r="A306" t="s">
        <v>229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230</v>
      </c>
    </row>
    <row r="307" spans="1:8" x14ac:dyDescent="0.2">
      <c r="A307" t="s">
        <v>88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89</v>
      </c>
    </row>
    <row r="308" spans="1:8" x14ac:dyDescent="0.2">
      <c r="A308" t="s">
        <v>231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232</v>
      </c>
    </row>
    <row r="309" spans="1:8" x14ac:dyDescent="0.2">
      <c r="A309" t="s">
        <v>90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91</v>
      </c>
    </row>
    <row r="310" spans="1:8" x14ac:dyDescent="0.2">
      <c r="A310" t="s">
        <v>95</v>
      </c>
      <c r="B310" s="15">
        <v>-2.2699999999999999E-4</v>
      </c>
      <c r="C310" t="s">
        <v>18</v>
      </c>
      <c r="D310" t="s">
        <v>233</v>
      </c>
      <c r="E310" t="s">
        <v>9</v>
      </c>
      <c r="G310" s="17" t="s">
        <v>20</v>
      </c>
      <c r="H310" t="s">
        <v>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97"/>
  <sheetViews>
    <sheetView topLeftCell="A58" workbookViewId="0">
      <selection activeCell="A79" sqref="A79"/>
    </sheetView>
  </sheetViews>
  <sheetFormatPr baseColWidth="10" defaultColWidth="8.83203125" defaultRowHeight="15" x14ac:dyDescent="0.2"/>
  <cols>
    <col min="1" max="1" width="86.5" bestFit="1" customWidth="1"/>
    <col min="3" max="3" width="38.16406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47</v>
      </c>
      <c r="B10" s="9">
        <v>0.747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48</v>
      </c>
      <c r="B11" s="9">
        <v>0.82599999999999996</v>
      </c>
      <c r="C11" t="s">
        <v>18</v>
      </c>
      <c r="D11" t="s">
        <v>19</v>
      </c>
      <c r="E11" t="s">
        <v>9</v>
      </c>
      <c r="F11" s="8"/>
      <c r="G11" t="s">
        <v>20</v>
      </c>
      <c r="H11" t="s">
        <v>26</v>
      </c>
    </row>
    <row r="12" spans="1:8" x14ac:dyDescent="0.2">
      <c r="A12" t="s">
        <v>49</v>
      </c>
      <c r="B12" s="9">
        <v>9.1900000000000003E-3</v>
      </c>
      <c r="C12" t="s">
        <v>18</v>
      </c>
      <c r="D12" t="s">
        <v>19</v>
      </c>
      <c r="E12" t="s">
        <v>9</v>
      </c>
      <c r="F12" s="8"/>
      <c r="G12" t="s">
        <v>20</v>
      </c>
      <c r="H12" t="s">
        <v>50</v>
      </c>
    </row>
    <row r="13" spans="1:8" x14ac:dyDescent="0.2">
      <c r="A13" t="s">
        <v>27</v>
      </c>
      <c r="B13" s="13">
        <v>4.0000000000000001E-10</v>
      </c>
      <c r="C13" t="s">
        <v>18</v>
      </c>
      <c r="D13" t="s">
        <v>4</v>
      </c>
      <c r="E13" t="s">
        <v>8</v>
      </c>
      <c r="F13" s="8"/>
      <c r="G13" t="s">
        <v>20</v>
      </c>
      <c r="H13" t="s">
        <v>28</v>
      </c>
    </row>
    <row r="14" spans="1:8" x14ac:dyDescent="0.2">
      <c r="A14" t="s">
        <v>172</v>
      </c>
      <c r="B14" s="13">
        <v>3.2499999999999999E-4</v>
      </c>
      <c r="C14" s="8" t="s">
        <v>16</v>
      </c>
      <c r="D14" t="s">
        <v>4</v>
      </c>
      <c r="E14" t="s">
        <v>9</v>
      </c>
      <c r="F14" s="8"/>
      <c r="G14" t="s">
        <v>20</v>
      </c>
      <c r="H14" t="s">
        <v>172</v>
      </c>
    </row>
    <row r="15" spans="1:8" x14ac:dyDescent="0.2">
      <c r="A15" t="s">
        <v>85</v>
      </c>
      <c r="B15" s="9">
        <v>1.17</v>
      </c>
      <c r="C15" s="8" t="s">
        <v>16</v>
      </c>
      <c r="D15" t="s">
        <v>4</v>
      </c>
      <c r="E15" t="s">
        <v>9</v>
      </c>
      <c r="F15" s="8"/>
      <c r="G15" t="s">
        <v>20</v>
      </c>
      <c r="H15" t="s">
        <v>87</v>
      </c>
    </row>
    <row r="16" spans="1:8" x14ac:dyDescent="0.2">
      <c r="A16" t="s">
        <v>120</v>
      </c>
      <c r="B16" s="13">
        <v>-8.7600000000000002E-5</v>
      </c>
      <c r="C16" t="s">
        <v>18</v>
      </c>
      <c r="D16" t="s">
        <v>19</v>
      </c>
      <c r="E16" t="s">
        <v>9</v>
      </c>
      <c r="F16" s="8"/>
      <c r="G16" t="s">
        <v>20</v>
      </c>
      <c r="H16" t="s">
        <v>93</v>
      </c>
    </row>
    <row r="17" spans="1:8" x14ac:dyDescent="0.2">
      <c r="A17" t="s">
        <v>32</v>
      </c>
      <c r="B17" s="4">
        <v>0.56200000000000006</v>
      </c>
      <c r="C17" t="s">
        <v>30</v>
      </c>
      <c r="E17" t="s">
        <v>21</v>
      </c>
      <c r="F17" t="s">
        <v>33</v>
      </c>
      <c r="G17" t="s">
        <v>31</v>
      </c>
    </row>
    <row r="18" spans="1:8" x14ac:dyDescent="0.2">
      <c r="A18" t="s">
        <v>97</v>
      </c>
      <c r="B18" s="9">
        <v>26.3</v>
      </c>
      <c r="C18" s="8" t="s">
        <v>16</v>
      </c>
      <c r="D18" t="s">
        <v>4</v>
      </c>
      <c r="E18" t="s">
        <v>23</v>
      </c>
      <c r="F18" s="8"/>
      <c r="G18" t="s">
        <v>20</v>
      </c>
      <c r="H18" t="s">
        <v>99</v>
      </c>
    </row>
    <row r="19" spans="1:8" x14ac:dyDescent="0.2">
      <c r="A19" t="s">
        <v>55</v>
      </c>
      <c r="B19" s="4">
        <v>0.93500000000000005</v>
      </c>
      <c r="C19" t="s">
        <v>18</v>
      </c>
      <c r="D19" t="s">
        <v>44</v>
      </c>
      <c r="E19" t="s">
        <v>24</v>
      </c>
      <c r="G19" t="s">
        <v>20</v>
      </c>
      <c r="H19" t="s">
        <v>43</v>
      </c>
    </row>
    <row r="20" spans="1:8" x14ac:dyDescent="0.2">
      <c r="A20" t="s">
        <v>34</v>
      </c>
      <c r="B20" s="15">
        <v>1.06E-3</v>
      </c>
      <c r="C20" t="s">
        <v>30</v>
      </c>
      <c r="E20" t="s">
        <v>9</v>
      </c>
      <c r="F20" t="s">
        <v>39</v>
      </c>
      <c r="G20" t="s">
        <v>31</v>
      </c>
    </row>
    <row r="21" spans="1:8" x14ac:dyDescent="0.2">
      <c r="A21" t="s">
        <v>35</v>
      </c>
      <c r="B21" s="15">
        <v>2.0100000000000001E-3</v>
      </c>
      <c r="C21" t="s">
        <v>30</v>
      </c>
      <c r="E21" t="s">
        <v>9</v>
      </c>
      <c r="F21" t="s">
        <v>39</v>
      </c>
      <c r="G21" t="s">
        <v>31</v>
      </c>
    </row>
    <row r="22" spans="1:8" x14ac:dyDescent="0.2">
      <c r="A22" t="s">
        <v>100</v>
      </c>
      <c r="B22" s="15">
        <v>8.6399999999999997E-4</v>
      </c>
      <c r="C22" t="s">
        <v>30</v>
      </c>
      <c r="E22" t="s">
        <v>9</v>
      </c>
      <c r="F22" t="s">
        <v>39</v>
      </c>
      <c r="G22" t="s">
        <v>31</v>
      </c>
    </row>
    <row r="23" spans="1:8" x14ac:dyDescent="0.2">
      <c r="A23" t="s">
        <v>101</v>
      </c>
      <c r="B23" s="15">
        <v>4.8500000000000002E-6</v>
      </c>
      <c r="C23" t="s">
        <v>30</v>
      </c>
      <c r="E23" t="s">
        <v>9</v>
      </c>
      <c r="F23" t="s">
        <v>39</v>
      </c>
      <c r="G23" t="s">
        <v>31</v>
      </c>
    </row>
    <row r="24" spans="1:8" x14ac:dyDescent="0.2">
      <c r="A24" t="s">
        <v>29</v>
      </c>
      <c r="B24" s="4">
        <v>1.43</v>
      </c>
      <c r="C24" t="s">
        <v>30</v>
      </c>
      <c r="E24" t="s">
        <v>9</v>
      </c>
      <c r="F24" t="s">
        <v>39</v>
      </c>
      <c r="G24" t="s">
        <v>31</v>
      </c>
    </row>
    <row r="25" spans="1:8" x14ac:dyDescent="0.2">
      <c r="A25" t="s">
        <v>37</v>
      </c>
      <c r="B25" s="15">
        <v>1E-3</v>
      </c>
      <c r="C25" t="s">
        <v>30</v>
      </c>
      <c r="E25" t="s">
        <v>9</v>
      </c>
      <c r="F25" t="s">
        <v>39</v>
      </c>
      <c r="G25" t="s">
        <v>31</v>
      </c>
    </row>
    <row r="26" spans="1:8" x14ac:dyDescent="0.2">
      <c r="A26" t="s">
        <v>38</v>
      </c>
      <c r="B26" s="15">
        <f>149/1000</f>
        <v>0.14899999999999999</v>
      </c>
      <c r="C26" t="s">
        <v>30</v>
      </c>
      <c r="E26" t="s">
        <v>21</v>
      </c>
      <c r="F26" t="s">
        <v>39</v>
      </c>
      <c r="G26" t="s">
        <v>31</v>
      </c>
    </row>
    <row r="27" spans="1:8" x14ac:dyDescent="0.2">
      <c r="A27" t="s">
        <v>36</v>
      </c>
      <c r="B27" s="15">
        <v>1.5099999999999999E-5</v>
      </c>
      <c r="C27" t="s">
        <v>30</v>
      </c>
      <c r="E27" t="s">
        <v>9</v>
      </c>
      <c r="F27" t="s">
        <v>42</v>
      </c>
      <c r="G27" t="s">
        <v>31</v>
      </c>
    </row>
    <row r="28" spans="1:8" x14ac:dyDescent="0.2">
      <c r="A28" t="s">
        <v>94</v>
      </c>
      <c r="B28" s="15">
        <v>1.15E-7</v>
      </c>
      <c r="C28" t="s">
        <v>30</v>
      </c>
      <c r="E28" t="s">
        <v>9</v>
      </c>
      <c r="F28" t="s">
        <v>42</v>
      </c>
      <c r="G28" t="s">
        <v>31</v>
      </c>
    </row>
    <row r="29" spans="1:8" x14ac:dyDescent="0.2">
      <c r="A29" t="s">
        <v>38</v>
      </c>
      <c r="B29" s="15">
        <f>422/1000</f>
        <v>0.42199999999999999</v>
      </c>
      <c r="C29" t="s">
        <v>30</v>
      </c>
      <c r="E29" t="s">
        <v>21</v>
      </c>
      <c r="F29" t="s">
        <v>42</v>
      </c>
      <c r="G29" t="s">
        <v>31</v>
      </c>
    </row>
    <row r="30" spans="1:8" x14ac:dyDescent="0.2">
      <c r="A30" s="8" t="s">
        <v>156</v>
      </c>
      <c r="B30" s="15">
        <v>-3.2499999999999999E-4</v>
      </c>
      <c r="C30" t="s">
        <v>18</v>
      </c>
      <c r="D30" t="s">
        <v>19</v>
      </c>
      <c r="E30" t="s">
        <v>9</v>
      </c>
      <c r="G30" t="s">
        <v>20</v>
      </c>
      <c r="H30" s="8" t="s">
        <v>157</v>
      </c>
    </row>
    <row r="31" spans="1:8" x14ac:dyDescent="0.2">
      <c r="A31" s="8" t="s">
        <v>121</v>
      </c>
      <c r="B31" s="13">
        <v>-1.56E-4</v>
      </c>
      <c r="C31" s="8" t="s">
        <v>18</v>
      </c>
      <c r="D31" s="8" t="s">
        <v>19</v>
      </c>
      <c r="E31" s="8" t="s">
        <v>21</v>
      </c>
      <c r="F31" s="8"/>
      <c r="G31" t="s">
        <v>20</v>
      </c>
      <c r="H31" s="8" t="s">
        <v>122</v>
      </c>
    </row>
    <row r="32" spans="1:8" x14ac:dyDescent="0.2">
      <c r="A32" s="2"/>
      <c r="B32" s="2"/>
      <c r="C32" s="3"/>
      <c r="D32" s="2"/>
      <c r="E32" s="2"/>
      <c r="F32" s="2"/>
      <c r="G32" s="2"/>
      <c r="H32" s="2"/>
    </row>
    <row r="33" spans="1:8" x14ac:dyDescent="0.2">
      <c r="A33" s="1" t="s">
        <v>0</v>
      </c>
      <c r="B33" s="1" t="s">
        <v>167</v>
      </c>
      <c r="C33" s="8"/>
      <c r="D33" s="8"/>
      <c r="E33" s="8"/>
      <c r="F33" s="8"/>
      <c r="G33" s="8"/>
      <c r="H33" s="8"/>
    </row>
    <row r="34" spans="1:8" x14ac:dyDescent="0.2">
      <c r="A34" s="8" t="s">
        <v>2</v>
      </c>
      <c r="B34" t="s">
        <v>168</v>
      </c>
      <c r="C34" s="8"/>
      <c r="D34" s="8"/>
      <c r="E34" s="8"/>
      <c r="F34" s="8"/>
      <c r="G34" s="8"/>
      <c r="H34" s="8"/>
    </row>
    <row r="35" spans="1:8" x14ac:dyDescent="0.2">
      <c r="A35" s="8" t="s">
        <v>3</v>
      </c>
      <c r="B35" t="s">
        <v>4</v>
      </c>
      <c r="C35" s="8"/>
      <c r="D35" s="8"/>
      <c r="E35" s="8"/>
      <c r="F35" s="8"/>
      <c r="G35" s="8"/>
      <c r="H35" s="8"/>
    </row>
    <row r="36" spans="1:8" x14ac:dyDescent="0.2">
      <c r="A36" s="8" t="s">
        <v>5</v>
      </c>
      <c r="B36" s="8">
        <v>1</v>
      </c>
      <c r="C36" s="8"/>
      <c r="D36" s="8"/>
      <c r="E36" s="8"/>
      <c r="F36" s="8"/>
      <c r="G36" s="8"/>
      <c r="H36" s="8"/>
    </row>
    <row r="37" spans="1:8" x14ac:dyDescent="0.2">
      <c r="A37" s="8" t="s">
        <v>6</v>
      </c>
      <c r="B37" t="s">
        <v>7</v>
      </c>
      <c r="C37" s="8"/>
      <c r="D37" s="8"/>
      <c r="E37" s="8"/>
      <c r="F37" s="8"/>
      <c r="G37" s="8"/>
      <c r="H37" s="8"/>
    </row>
    <row r="38" spans="1:8" x14ac:dyDescent="0.2">
      <c r="A38" s="8" t="s">
        <v>8</v>
      </c>
      <c r="B38" t="s">
        <v>9</v>
      </c>
      <c r="C38" s="8"/>
      <c r="D38" s="8"/>
      <c r="E38" s="8"/>
      <c r="F38" s="8"/>
      <c r="G38" s="8"/>
      <c r="H38" s="8"/>
    </row>
    <row r="39" spans="1:8" x14ac:dyDescent="0.2">
      <c r="A39" s="1" t="s">
        <v>10</v>
      </c>
      <c r="B39" s="8"/>
      <c r="C39" s="8"/>
      <c r="D39" s="8"/>
      <c r="E39" s="8"/>
      <c r="F39" s="8"/>
      <c r="G39" s="8"/>
      <c r="H39" s="8"/>
    </row>
    <row r="40" spans="1:8" x14ac:dyDescent="0.2">
      <c r="A40" s="8" t="s">
        <v>11</v>
      </c>
      <c r="B40" s="8" t="s">
        <v>12</v>
      </c>
      <c r="C40" s="8" t="s">
        <v>13</v>
      </c>
      <c r="D40" s="8" t="s">
        <v>3</v>
      </c>
      <c r="E40" s="8" t="s">
        <v>8</v>
      </c>
      <c r="F40" s="8" t="s">
        <v>14</v>
      </c>
      <c r="G40" s="8" t="s">
        <v>15</v>
      </c>
      <c r="H40" s="8" t="s">
        <v>6</v>
      </c>
    </row>
    <row r="41" spans="1:8" x14ac:dyDescent="0.2">
      <c r="A41" t="s">
        <v>167</v>
      </c>
      <c r="B41" s="9">
        <v>1</v>
      </c>
      <c r="C41" s="8" t="s">
        <v>16</v>
      </c>
      <c r="D41" t="s">
        <v>4</v>
      </c>
      <c r="E41" t="s">
        <v>9</v>
      </c>
      <c r="F41" s="8"/>
      <c r="G41" s="8" t="s">
        <v>17</v>
      </c>
      <c r="H41" t="s">
        <v>7</v>
      </c>
    </row>
    <row r="42" spans="1:8" x14ac:dyDescent="0.2">
      <c r="A42" t="s">
        <v>47</v>
      </c>
      <c r="B42" s="9">
        <v>0.747</v>
      </c>
      <c r="C42" t="s">
        <v>18</v>
      </c>
      <c r="D42" t="s">
        <v>19</v>
      </c>
      <c r="E42" t="s">
        <v>21</v>
      </c>
      <c r="F42" s="8"/>
      <c r="G42" t="s">
        <v>20</v>
      </c>
      <c r="H42" t="s">
        <v>22</v>
      </c>
    </row>
    <row r="43" spans="1:8" x14ac:dyDescent="0.2">
      <c r="A43" t="s">
        <v>48</v>
      </c>
      <c r="B43" s="9">
        <v>0.82599999999999996</v>
      </c>
      <c r="C43" t="s">
        <v>18</v>
      </c>
      <c r="D43" t="s">
        <v>19</v>
      </c>
      <c r="E43" t="s">
        <v>9</v>
      </c>
      <c r="F43" s="8"/>
      <c r="G43" t="s">
        <v>20</v>
      </c>
      <c r="H43" t="s">
        <v>26</v>
      </c>
    </row>
    <row r="44" spans="1:8" x14ac:dyDescent="0.2">
      <c r="A44" t="s">
        <v>49</v>
      </c>
      <c r="B44" s="9">
        <v>9.1900000000000003E-3</v>
      </c>
      <c r="C44" t="s">
        <v>18</v>
      </c>
      <c r="D44" t="s">
        <v>19</v>
      </c>
      <c r="E44" t="s">
        <v>9</v>
      </c>
      <c r="F44" s="8"/>
      <c r="G44" t="s">
        <v>20</v>
      </c>
      <c r="H44" t="s">
        <v>50</v>
      </c>
    </row>
    <row r="45" spans="1:8" x14ac:dyDescent="0.2">
      <c r="A45" t="s">
        <v>27</v>
      </c>
      <c r="B45" s="13">
        <v>4.0000000000000001E-10</v>
      </c>
      <c r="C45" t="s">
        <v>18</v>
      </c>
      <c r="D45" t="s">
        <v>4</v>
      </c>
      <c r="E45" t="s">
        <v>8</v>
      </c>
      <c r="F45" s="8"/>
      <c r="G45" t="s">
        <v>20</v>
      </c>
      <c r="H45" t="s">
        <v>28</v>
      </c>
    </row>
    <row r="46" spans="1:8" x14ac:dyDescent="0.2">
      <c r="A46" t="s">
        <v>172</v>
      </c>
      <c r="B46" s="13">
        <v>3.2499999999999999E-4</v>
      </c>
      <c r="C46" s="8" t="s">
        <v>16</v>
      </c>
      <c r="D46" t="s">
        <v>4</v>
      </c>
      <c r="E46" t="s">
        <v>9</v>
      </c>
      <c r="F46" s="8"/>
      <c r="G46" t="s">
        <v>20</v>
      </c>
      <c r="H46" t="s">
        <v>172</v>
      </c>
    </row>
    <row r="47" spans="1:8" x14ac:dyDescent="0.2">
      <c r="A47" t="s">
        <v>85</v>
      </c>
      <c r="B47" s="9">
        <v>1.41</v>
      </c>
      <c r="C47" s="8" t="s">
        <v>16</v>
      </c>
      <c r="D47" t="s">
        <v>4</v>
      </c>
      <c r="E47" t="s">
        <v>9</v>
      </c>
      <c r="F47" s="8"/>
      <c r="G47" t="s">
        <v>20</v>
      </c>
      <c r="H47" t="s">
        <v>87</v>
      </c>
    </row>
    <row r="48" spans="1:8" x14ac:dyDescent="0.2">
      <c r="A48" s="8" t="s">
        <v>123</v>
      </c>
      <c r="B48" s="9">
        <v>1.41</v>
      </c>
      <c r="C48" s="8" t="s">
        <v>16</v>
      </c>
      <c r="D48" t="s">
        <v>4</v>
      </c>
      <c r="E48" s="8" t="s">
        <v>9</v>
      </c>
      <c r="F48" s="8"/>
      <c r="G48" t="s">
        <v>20</v>
      </c>
      <c r="H48" s="8" t="s">
        <v>123</v>
      </c>
    </row>
    <row r="49" spans="1:8" x14ac:dyDescent="0.2">
      <c r="A49" t="s">
        <v>32</v>
      </c>
      <c r="B49" s="4">
        <v>0.57199999999999995</v>
      </c>
      <c r="C49" t="s">
        <v>30</v>
      </c>
      <c r="E49" t="s">
        <v>21</v>
      </c>
      <c r="F49" t="s">
        <v>33</v>
      </c>
      <c r="G49" t="s">
        <v>31</v>
      </c>
    </row>
    <row r="50" spans="1:8" x14ac:dyDescent="0.2">
      <c r="A50" t="s">
        <v>97</v>
      </c>
      <c r="B50" s="9">
        <v>26.3</v>
      </c>
      <c r="C50" s="8" t="s">
        <v>16</v>
      </c>
      <c r="D50" t="s">
        <v>4</v>
      </c>
      <c r="E50" t="s">
        <v>23</v>
      </c>
      <c r="F50" s="8"/>
      <c r="G50" t="s">
        <v>20</v>
      </c>
      <c r="H50" t="s">
        <v>99</v>
      </c>
    </row>
    <row r="51" spans="1:8" x14ac:dyDescent="0.2">
      <c r="A51" s="8" t="s">
        <v>161</v>
      </c>
      <c r="B51" s="9">
        <v>0.97</v>
      </c>
      <c r="C51" s="8" t="s">
        <v>16</v>
      </c>
      <c r="D51" t="s">
        <v>4</v>
      </c>
      <c r="E51" t="s">
        <v>24</v>
      </c>
      <c r="F51" s="8"/>
      <c r="G51" t="s">
        <v>20</v>
      </c>
      <c r="H51" s="8" t="s">
        <v>161</v>
      </c>
    </row>
    <row r="52" spans="1:8" x14ac:dyDescent="0.2">
      <c r="A52" s="8" t="s">
        <v>163</v>
      </c>
      <c r="B52" s="9">
        <v>0.95299999999999996</v>
      </c>
      <c r="C52" s="8" t="s">
        <v>16</v>
      </c>
      <c r="D52" t="s">
        <v>4</v>
      </c>
      <c r="E52" t="s">
        <v>23</v>
      </c>
      <c r="F52" s="8"/>
      <c r="G52" t="s">
        <v>20</v>
      </c>
      <c r="H52" s="8" t="s">
        <v>163</v>
      </c>
    </row>
    <row r="53" spans="1:8" x14ac:dyDescent="0.2">
      <c r="A53" t="s">
        <v>34</v>
      </c>
      <c r="B53" s="15">
        <v>7.36E-4</v>
      </c>
      <c r="C53" t="s">
        <v>30</v>
      </c>
      <c r="E53" t="s">
        <v>9</v>
      </c>
      <c r="F53" t="s">
        <v>39</v>
      </c>
      <c r="G53" t="s">
        <v>31</v>
      </c>
    </row>
    <row r="54" spans="1:8" x14ac:dyDescent="0.2">
      <c r="A54" t="s">
        <v>35</v>
      </c>
      <c r="B54" s="15">
        <v>2.0100000000000001E-3</v>
      </c>
      <c r="C54" t="s">
        <v>30</v>
      </c>
      <c r="E54" t="s">
        <v>9</v>
      </c>
      <c r="F54" t="s">
        <v>39</v>
      </c>
      <c r="G54" t="s">
        <v>31</v>
      </c>
    </row>
    <row r="55" spans="1:8" x14ac:dyDescent="0.2">
      <c r="A55" t="s">
        <v>100</v>
      </c>
      <c r="B55" s="15">
        <v>8.61E-4</v>
      </c>
      <c r="C55" t="s">
        <v>30</v>
      </c>
      <c r="E55" t="s">
        <v>9</v>
      </c>
      <c r="F55" t="s">
        <v>39</v>
      </c>
      <c r="G55" t="s">
        <v>31</v>
      </c>
    </row>
    <row r="56" spans="1:8" x14ac:dyDescent="0.2">
      <c r="A56" t="s">
        <v>101</v>
      </c>
      <c r="B56" s="15">
        <v>7.7599999999999999E-16</v>
      </c>
      <c r="C56" t="s">
        <v>30</v>
      </c>
      <c r="E56" t="s">
        <v>9</v>
      </c>
      <c r="F56" t="s">
        <v>39</v>
      </c>
      <c r="G56" t="s">
        <v>31</v>
      </c>
    </row>
    <row r="57" spans="1:8" x14ac:dyDescent="0.2">
      <c r="A57" t="s">
        <v>29</v>
      </c>
      <c r="B57" s="4">
        <v>2.6499999999999999E-2</v>
      </c>
      <c r="C57" t="s">
        <v>30</v>
      </c>
      <c r="E57" t="s">
        <v>9</v>
      </c>
      <c r="F57" t="s">
        <v>39</v>
      </c>
      <c r="G57" t="s">
        <v>31</v>
      </c>
    </row>
    <row r="58" spans="1:8" x14ac:dyDescent="0.2">
      <c r="A58" t="s">
        <v>37</v>
      </c>
      <c r="B58" s="15">
        <v>1E-3</v>
      </c>
      <c r="C58" t="s">
        <v>30</v>
      </c>
      <c r="E58" t="s">
        <v>9</v>
      </c>
      <c r="F58" t="s">
        <v>39</v>
      </c>
      <c r="G58" t="s">
        <v>31</v>
      </c>
    </row>
    <row r="59" spans="1:8" x14ac:dyDescent="0.2">
      <c r="A59" t="s">
        <v>38</v>
      </c>
      <c r="B59" s="15">
        <f>153.04/1000</f>
        <v>0.15303999999999998</v>
      </c>
      <c r="C59" t="s">
        <v>30</v>
      </c>
      <c r="E59" t="s">
        <v>21</v>
      </c>
      <c r="F59" t="s">
        <v>39</v>
      </c>
      <c r="G59" t="s">
        <v>31</v>
      </c>
    </row>
    <row r="60" spans="1:8" x14ac:dyDescent="0.2">
      <c r="A60" t="s">
        <v>36</v>
      </c>
      <c r="B60" s="15">
        <v>1.5099999999999999E-5</v>
      </c>
      <c r="C60" t="s">
        <v>30</v>
      </c>
      <c r="E60" t="s">
        <v>9</v>
      </c>
      <c r="F60" t="s">
        <v>42</v>
      </c>
      <c r="G60" t="s">
        <v>31</v>
      </c>
    </row>
    <row r="61" spans="1:8" x14ac:dyDescent="0.2">
      <c r="A61" t="s">
        <v>94</v>
      </c>
      <c r="B61" s="15">
        <v>1.15E-7</v>
      </c>
      <c r="C61" t="s">
        <v>30</v>
      </c>
      <c r="E61" t="s">
        <v>9</v>
      </c>
      <c r="F61" t="s">
        <v>42</v>
      </c>
      <c r="G61" t="s">
        <v>31</v>
      </c>
    </row>
    <row r="62" spans="1:8" x14ac:dyDescent="0.2">
      <c r="A62" t="s">
        <v>38</v>
      </c>
      <c r="B62" s="15">
        <f>419/1000</f>
        <v>0.41899999999999998</v>
      </c>
      <c r="C62" t="s">
        <v>30</v>
      </c>
      <c r="E62" t="s">
        <v>21</v>
      </c>
      <c r="F62" t="s">
        <v>42</v>
      </c>
      <c r="G62" t="s">
        <v>31</v>
      </c>
    </row>
    <row r="63" spans="1:8" x14ac:dyDescent="0.2">
      <c r="A63" s="8" t="s">
        <v>156</v>
      </c>
      <c r="B63" s="15">
        <v>-3.2499999999999999E-4</v>
      </c>
      <c r="C63" t="s">
        <v>18</v>
      </c>
      <c r="D63" t="s">
        <v>19</v>
      </c>
      <c r="E63" t="s">
        <v>9</v>
      </c>
      <c r="G63" t="s">
        <v>20</v>
      </c>
      <c r="H63" s="8" t="s">
        <v>157</v>
      </c>
    </row>
    <row r="64" spans="1:8" x14ac:dyDescent="0.2">
      <c r="A64" s="8" t="s">
        <v>121</v>
      </c>
      <c r="B64" s="13">
        <v>-1.56E-4</v>
      </c>
      <c r="C64" s="8" t="s">
        <v>18</v>
      </c>
      <c r="D64" s="8" t="s">
        <v>19</v>
      </c>
      <c r="E64" s="8" t="s">
        <v>21</v>
      </c>
      <c r="F64" s="8"/>
      <c r="G64" t="s">
        <v>20</v>
      </c>
      <c r="H64" s="8" t="s">
        <v>122</v>
      </c>
    </row>
    <row r="65" spans="1:8" x14ac:dyDescent="0.2">
      <c r="A65" s="2"/>
      <c r="B65" s="2"/>
      <c r="C65" s="3"/>
      <c r="D65" s="2"/>
      <c r="E65" s="2"/>
      <c r="F65" s="2"/>
      <c r="G65" s="2"/>
      <c r="H65" s="2"/>
    </row>
    <row r="66" spans="1:8" x14ac:dyDescent="0.2">
      <c r="A66" s="1" t="s">
        <v>0</v>
      </c>
      <c r="B66" s="1" t="s">
        <v>173</v>
      </c>
      <c r="C66" s="8"/>
      <c r="D66" s="8"/>
      <c r="E66" s="8"/>
      <c r="F66" s="8"/>
      <c r="G66" s="8"/>
      <c r="H66" s="8"/>
    </row>
    <row r="67" spans="1:8" x14ac:dyDescent="0.2">
      <c r="A67" s="8" t="s">
        <v>2</v>
      </c>
      <c r="B67" t="s">
        <v>168</v>
      </c>
      <c r="C67" s="8"/>
      <c r="D67" s="8"/>
      <c r="E67" s="8"/>
      <c r="F67" s="8"/>
      <c r="G67" s="8"/>
      <c r="H67" s="8"/>
    </row>
    <row r="68" spans="1:8" x14ac:dyDescent="0.2">
      <c r="A68" s="8" t="s">
        <v>3</v>
      </c>
      <c r="B68" t="s">
        <v>4</v>
      </c>
      <c r="C68" s="8"/>
      <c r="D68" s="8"/>
      <c r="E68" s="8"/>
      <c r="F68" s="8"/>
      <c r="G68" s="8"/>
      <c r="H68" s="8"/>
    </row>
    <row r="69" spans="1:8" x14ac:dyDescent="0.2">
      <c r="A69" s="8" t="s">
        <v>5</v>
      </c>
      <c r="B69" s="8">
        <v>1</v>
      </c>
      <c r="C69" s="8"/>
      <c r="D69" s="8"/>
      <c r="E69" s="8"/>
      <c r="F69" s="8"/>
      <c r="G69" s="8"/>
      <c r="H69" s="8"/>
    </row>
    <row r="70" spans="1:8" x14ac:dyDescent="0.2">
      <c r="A70" s="8" t="s">
        <v>6</v>
      </c>
      <c r="B70" t="s">
        <v>7</v>
      </c>
      <c r="C70" s="8"/>
      <c r="D70" s="8"/>
      <c r="E70" s="8"/>
      <c r="F70" s="8"/>
      <c r="G70" s="8"/>
      <c r="H70" s="8"/>
    </row>
    <row r="71" spans="1:8" x14ac:dyDescent="0.2">
      <c r="A71" s="8" t="s">
        <v>8</v>
      </c>
      <c r="B71" t="s">
        <v>9</v>
      </c>
      <c r="C71" s="8"/>
      <c r="D71" s="8"/>
      <c r="E71" s="8"/>
      <c r="F71" s="8"/>
      <c r="G71" s="8"/>
      <c r="H71" s="8"/>
    </row>
    <row r="72" spans="1:8" x14ac:dyDescent="0.2">
      <c r="A72" s="1" t="s">
        <v>10</v>
      </c>
      <c r="B72" s="8"/>
      <c r="C72" s="8"/>
      <c r="D72" s="8"/>
      <c r="E72" s="8"/>
      <c r="F72" s="8"/>
      <c r="G72" s="8"/>
      <c r="H72" s="8"/>
    </row>
    <row r="73" spans="1:8" x14ac:dyDescent="0.2">
      <c r="A73" s="8" t="s">
        <v>11</v>
      </c>
      <c r="B73" s="8" t="s">
        <v>12</v>
      </c>
      <c r="C73" s="8" t="s">
        <v>13</v>
      </c>
      <c r="D73" s="8" t="s">
        <v>3</v>
      </c>
      <c r="E73" s="8" t="s">
        <v>8</v>
      </c>
      <c r="F73" s="8" t="s">
        <v>14</v>
      </c>
      <c r="G73" s="8" t="s">
        <v>15</v>
      </c>
      <c r="H73" s="8" t="s">
        <v>6</v>
      </c>
    </row>
    <row r="74" spans="1:8" x14ac:dyDescent="0.2">
      <c r="A74" t="s">
        <v>173</v>
      </c>
      <c r="B74" s="9">
        <v>1</v>
      </c>
      <c r="C74" s="8" t="s">
        <v>16</v>
      </c>
      <c r="D74" t="s">
        <v>4</v>
      </c>
      <c r="E74" t="s">
        <v>9</v>
      </c>
      <c r="F74" s="8"/>
      <c r="G74" s="8" t="s">
        <v>17</v>
      </c>
      <c r="H74" t="s">
        <v>7</v>
      </c>
    </row>
    <row r="75" spans="1:8" x14ac:dyDescent="0.2">
      <c r="A75" s="8" t="s">
        <v>40</v>
      </c>
      <c r="B75" s="9">
        <v>0.81499999999999995</v>
      </c>
      <c r="C75" s="8" t="s">
        <v>16</v>
      </c>
      <c r="D75" t="s">
        <v>4</v>
      </c>
      <c r="E75" s="8" t="s">
        <v>9</v>
      </c>
      <c r="F75" s="8"/>
      <c r="G75" t="s">
        <v>20</v>
      </c>
      <c r="H75" t="s">
        <v>41</v>
      </c>
    </row>
    <row r="76" spans="1:8" x14ac:dyDescent="0.2">
      <c r="A76" t="s">
        <v>78</v>
      </c>
      <c r="B76" s="13">
        <v>5.5099999999999998E-5</v>
      </c>
      <c r="C76" s="8" t="s">
        <v>16</v>
      </c>
      <c r="D76" t="s">
        <v>4</v>
      </c>
      <c r="E76" t="s">
        <v>9</v>
      </c>
      <c r="F76" s="8"/>
      <c r="G76" t="s">
        <v>20</v>
      </c>
      <c r="H76" t="s">
        <v>78</v>
      </c>
    </row>
    <row r="77" spans="1:8" x14ac:dyDescent="0.2">
      <c r="A77" t="s">
        <v>27</v>
      </c>
      <c r="B77" s="13">
        <v>3.29E-10</v>
      </c>
      <c r="C77" t="s">
        <v>18</v>
      </c>
      <c r="D77" t="s">
        <v>4</v>
      </c>
      <c r="E77" t="s">
        <v>8</v>
      </c>
      <c r="F77" s="8"/>
      <c r="G77" t="s">
        <v>20</v>
      </c>
      <c r="H77" t="s">
        <v>28</v>
      </c>
    </row>
    <row r="78" spans="1:8" x14ac:dyDescent="0.2">
      <c r="A78" t="s">
        <v>32</v>
      </c>
      <c r="B78" s="4">
        <v>0.14899999999999999</v>
      </c>
      <c r="C78" t="s">
        <v>30</v>
      </c>
      <c r="E78" t="s">
        <v>21</v>
      </c>
      <c r="F78" t="s">
        <v>33</v>
      </c>
      <c r="G78" t="s">
        <v>31</v>
      </c>
    </row>
    <row r="79" spans="1:8" x14ac:dyDescent="0.2">
      <c r="A79" t="s">
        <v>55</v>
      </c>
      <c r="B79" s="4">
        <v>0.55600000000000005</v>
      </c>
      <c r="C79" t="s">
        <v>18</v>
      </c>
      <c r="D79" t="s">
        <v>44</v>
      </c>
      <c r="E79" t="s">
        <v>24</v>
      </c>
      <c r="G79" t="s">
        <v>20</v>
      </c>
      <c r="H79" t="s">
        <v>43</v>
      </c>
    </row>
    <row r="80" spans="1:8" x14ac:dyDescent="0.2">
      <c r="A80" t="s">
        <v>34</v>
      </c>
      <c r="B80" s="15">
        <v>7.67E-4</v>
      </c>
      <c r="C80" t="s">
        <v>30</v>
      </c>
      <c r="E80" t="s">
        <v>9</v>
      </c>
      <c r="F80" t="s">
        <v>39</v>
      </c>
      <c r="G80" t="s">
        <v>31</v>
      </c>
    </row>
    <row r="81" spans="1:8" x14ac:dyDescent="0.2">
      <c r="A81" t="s">
        <v>35</v>
      </c>
      <c r="B81" s="15">
        <v>1.6299999999999999E-3</v>
      </c>
      <c r="C81" t="s">
        <v>30</v>
      </c>
      <c r="E81" t="s">
        <v>9</v>
      </c>
      <c r="F81" t="s">
        <v>39</v>
      </c>
      <c r="G81" t="s">
        <v>31</v>
      </c>
    </row>
    <row r="82" spans="1:8" x14ac:dyDescent="0.2">
      <c r="A82" t="s">
        <v>37</v>
      </c>
      <c r="B82" s="15">
        <v>1E-3</v>
      </c>
      <c r="C82" t="s">
        <v>30</v>
      </c>
      <c r="E82" t="s">
        <v>9</v>
      </c>
      <c r="F82" t="s">
        <v>39</v>
      </c>
      <c r="G82" t="s">
        <v>31</v>
      </c>
    </row>
    <row r="83" spans="1:8" x14ac:dyDescent="0.2">
      <c r="A83" t="s">
        <v>38</v>
      </c>
      <c r="B83" s="15">
        <f>47.6/1000</f>
        <v>4.7600000000000003E-2</v>
      </c>
      <c r="C83" t="s">
        <v>30</v>
      </c>
      <c r="E83" t="s">
        <v>21</v>
      </c>
      <c r="F83" t="s">
        <v>39</v>
      </c>
      <c r="G83" t="s">
        <v>31</v>
      </c>
    </row>
    <row r="84" spans="1:8" x14ac:dyDescent="0.2">
      <c r="A84" t="s">
        <v>38</v>
      </c>
      <c r="B84" s="15">
        <f>101/1000</f>
        <v>0.10100000000000001</v>
      </c>
      <c r="C84" t="s">
        <v>30</v>
      </c>
      <c r="E84" t="s">
        <v>21</v>
      </c>
      <c r="F84" t="s">
        <v>42</v>
      </c>
      <c r="G84" t="s">
        <v>31</v>
      </c>
    </row>
    <row r="85" spans="1:8" x14ac:dyDescent="0.2">
      <c r="A85" s="8" t="s">
        <v>156</v>
      </c>
      <c r="B85" s="15">
        <v>-5.5099999999999998E-5</v>
      </c>
      <c r="C85" t="s">
        <v>18</v>
      </c>
      <c r="D85" t="s">
        <v>19</v>
      </c>
      <c r="E85" t="s">
        <v>9</v>
      </c>
      <c r="G85" t="s">
        <v>20</v>
      </c>
      <c r="H85" s="8" t="s">
        <v>157</v>
      </c>
    </row>
    <row r="86" spans="1:8" x14ac:dyDescent="0.2">
      <c r="B86" s="15"/>
    </row>
    <row r="87" spans="1:8" x14ac:dyDescent="0.2">
      <c r="B87" s="15"/>
    </row>
    <row r="88" spans="1:8" x14ac:dyDescent="0.2">
      <c r="B88" s="15"/>
    </row>
    <row r="89" spans="1:8" x14ac:dyDescent="0.2">
      <c r="B89" s="15"/>
    </row>
    <row r="90" spans="1:8" x14ac:dyDescent="0.2">
      <c r="B90" s="4"/>
    </row>
    <row r="91" spans="1:8" x14ac:dyDescent="0.2">
      <c r="B91" s="15"/>
    </row>
    <row r="92" spans="1:8" x14ac:dyDescent="0.2">
      <c r="B92" s="15"/>
    </row>
    <row r="93" spans="1:8" x14ac:dyDescent="0.2">
      <c r="B93" s="15"/>
    </row>
    <row r="94" spans="1:8" x14ac:dyDescent="0.2">
      <c r="B94" s="15"/>
    </row>
    <row r="95" spans="1:8" x14ac:dyDescent="0.2">
      <c r="B95" s="15"/>
    </row>
    <row r="96" spans="1:8" x14ac:dyDescent="0.2">
      <c r="B96" s="15"/>
    </row>
    <row r="97" spans="1:8" x14ac:dyDescent="0.2">
      <c r="A97" s="8"/>
      <c r="B97" s="13"/>
      <c r="C97" s="8"/>
      <c r="D97" s="8"/>
      <c r="E97" s="8"/>
      <c r="F97" s="8"/>
      <c r="H97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29" workbookViewId="0">
      <selection activeCell="A50" sqref="A50"/>
    </sheetView>
  </sheetViews>
  <sheetFormatPr baseColWidth="10" defaultColWidth="8.83203125" defaultRowHeight="15" x14ac:dyDescent="0.2"/>
  <cols>
    <col min="1" max="1" width="86.5" bestFit="1" customWidth="1"/>
    <col min="3" max="3" width="38.16406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174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176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175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174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175</v>
      </c>
    </row>
    <row r="10" spans="1:8" x14ac:dyDescent="0.2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165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166</v>
      </c>
    </row>
    <row r="12" spans="1:8" x14ac:dyDescent="0.2">
      <c r="A12" t="s">
        <v>55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178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179</v>
      </c>
    </row>
    <row r="14" spans="1:8" x14ac:dyDescent="0.2">
      <c r="A14" t="s">
        <v>180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181</v>
      </c>
    </row>
    <row r="15" spans="1:8" x14ac:dyDescent="0.2">
      <c r="A15" t="s">
        <v>73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74</v>
      </c>
    </row>
    <row r="16" spans="1:8" x14ac:dyDescent="0.2">
      <c r="A16" t="s">
        <v>182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49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50</v>
      </c>
    </row>
    <row r="18" spans="1:8" x14ac:dyDescent="0.2">
      <c r="A18" t="s">
        <v>183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186</v>
      </c>
    </row>
    <row r="19" spans="1:8" x14ac:dyDescent="0.2">
      <c r="A19" t="s">
        <v>184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185</v>
      </c>
    </row>
    <row r="20" spans="1:8" x14ac:dyDescent="0.2">
      <c r="A20" t="s">
        <v>100</v>
      </c>
      <c r="B20" s="13">
        <v>9.7999999999999997E-4</v>
      </c>
      <c r="C20" s="17" t="s">
        <v>30</v>
      </c>
      <c r="E20" s="17" t="s">
        <v>9</v>
      </c>
      <c r="F20" s="7" t="s">
        <v>189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190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189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191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192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193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194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192</v>
      </c>
      <c r="B29" s="15">
        <v>5.2999999999999998E-4</v>
      </c>
      <c r="C29" s="17" t="s">
        <v>30</v>
      </c>
      <c r="E29" s="17" t="s">
        <v>9</v>
      </c>
      <c r="F29" s="7" t="s">
        <v>189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195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196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197</v>
      </c>
      <c r="B33" s="15">
        <v>1.38E-5</v>
      </c>
      <c r="C33" s="17" t="s">
        <v>30</v>
      </c>
      <c r="E33" s="17" t="s">
        <v>9</v>
      </c>
      <c r="F33" s="7" t="s">
        <v>189</v>
      </c>
      <c r="G33" t="s">
        <v>31</v>
      </c>
    </row>
    <row r="34" spans="1:8" x14ac:dyDescent="0.2">
      <c r="A34" t="s">
        <v>198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199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200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201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177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220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175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177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175</v>
      </c>
    </row>
    <row r="48" spans="1:8" x14ac:dyDescent="0.2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187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188</v>
      </c>
    </row>
    <row r="50" spans="1:8" x14ac:dyDescent="0.2">
      <c r="A50" t="s">
        <v>55</v>
      </c>
      <c r="B50" s="4"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">
      <c r="A51" t="s">
        <v>178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179</v>
      </c>
    </row>
    <row r="52" spans="1:8" x14ac:dyDescent="0.2">
      <c r="A52" t="s">
        <v>180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181</v>
      </c>
    </row>
    <row r="53" spans="1:8" x14ac:dyDescent="0.2">
      <c r="A53" t="s">
        <v>73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74</v>
      </c>
    </row>
    <row r="54" spans="1:8" x14ac:dyDescent="0.2">
      <c r="A54" t="s">
        <v>182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49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50</v>
      </c>
    </row>
    <row r="56" spans="1:8" x14ac:dyDescent="0.2">
      <c r="A56" t="s">
        <v>183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186</v>
      </c>
    </row>
    <row r="57" spans="1:8" x14ac:dyDescent="0.2">
      <c r="A57" t="s">
        <v>184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185</v>
      </c>
    </row>
    <row r="58" spans="1:8" x14ac:dyDescent="0.2">
      <c r="A58" t="s">
        <v>100</v>
      </c>
      <c r="B58" s="13">
        <v>9.7999999999999997E-4</v>
      </c>
      <c r="C58" s="17" t="s">
        <v>30</v>
      </c>
      <c r="E58" s="17" t="s">
        <v>9</v>
      </c>
      <c r="F58" s="7" t="s">
        <v>189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190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189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191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192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193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194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192</v>
      </c>
      <c r="B67" s="15">
        <v>5.2999999999999998E-4</v>
      </c>
      <c r="C67" s="17" t="s">
        <v>30</v>
      </c>
      <c r="E67" s="17" t="s">
        <v>9</v>
      </c>
      <c r="F67" s="7" t="s">
        <v>189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195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196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197</v>
      </c>
      <c r="B71" s="15">
        <v>1.38E-5</v>
      </c>
      <c r="C71" s="17" t="s">
        <v>30</v>
      </c>
      <c r="E71" s="17" t="s">
        <v>9</v>
      </c>
      <c r="F71" s="7" t="s">
        <v>189</v>
      </c>
      <c r="G71" t="s">
        <v>31</v>
      </c>
    </row>
    <row r="72" spans="1:8" x14ac:dyDescent="0.2">
      <c r="A72" t="s">
        <v>198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199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200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201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Utilities</vt:lpstr>
      <vt:lpstr>Ammonia</vt:lpstr>
      <vt:lpstr>Methanol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Abhi Nabera</cp:lastModifiedBy>
  <dcterms:created xsi:type="dcterms:W3CDTF">2023-07-25T16:38:32Z</dcterms:created>
  <dcterms:modified xsi:type="dcterms:W3CDTF">2023-07-31T12:27:12Z</dcterms:modified>
</cp:coreProperties>
</file>