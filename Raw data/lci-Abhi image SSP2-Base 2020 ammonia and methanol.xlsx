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hinabera/Desktop/Prospective-LCA/Raw data/"/>
    </mc:Choice>
  </mc:AlternateContent>
  <xr:revisionPtr revIDLastSave="0" documentId="13_ncr:1_{475C2003-36D6-9C4C-9578-3A363D263702}" xr6:coauthVersionLast="47" xr6:coauthVersionMax="47" xr10:uidLastSave="{00000000-0000-0000-0000-000000000000}"/>
  <bookViews>
    <workbookView xWindow="0" yWindow="500" windowWidth="28800" windowHeight="17500" activeTab="1" xr2:uid="{79F87D26-5407-4579-9D8D-FA563FE5FD90}"/>
  </bookViews>
  <sheets>
    <sheet name="Utilities" sheetId="6" r:id="rId1"/>
    <sheet name="Ammonia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5" l="1"/>
  <c r="B62" i="5"/>
  <c r="B26" i="5"/>
  <c r="B59" i="5"/>
  <c r="B123" i="6"/>
  <c r="B124" i="6"/>
  <c r="B125" i="6"/>
  <c r="B126" i="6"/>
  <c r="B127" i="6"/>
  <c r="B128" i="6"/>
  <c r="B129" i="6"/>
  <c r="B198" i="6"/>
  <c r="B199" i="6"/>
  <c r="B211" i="6"/>
  <c r="B212" i="6"/>
</calcChain>
</file>

<file path=xl/sharedStrings.xml><?xml version="1.0" encoding="utf-8"?>
<sst xmlns="http://schemas.openxmlformats.org/spreadsheetml/2006/main" count="1152" uniqueCount="167">
  <si>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</si>
  <si>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</si>
  <si>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</si>
  <si>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</si>
  <si>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</si>
  <si>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</si>
  <si>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</si>
  <si>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</si>
  <si>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</si>
  <si>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</si>
  <si>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</si>
  <si>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</si>
  <si>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</si>
  <si>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</si>
  <si>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</si>
  <si>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</si>
  <si>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</si>
  <si>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</si>
  <si>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</si>
  <si>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</si>
  <si>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</si>
  <si>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</si>
  <si>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</si>
  <si>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</si>
  <si>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</si>
  <si>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</si>
  <si>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</si>
  <si>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</si>
  <si>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</si>
  <si>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</si>
  <si>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</si>
  <si>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</si>
  <si>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</si>
  <si>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</si>
  <si>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</si>
  <si>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</si>
  <si>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</si>
  <si>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</si>
  <si>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</si>
  <si>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</si>
  <si>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water</t>
  </si>
  <si>
    <t>electricity, high voltage</t>
  </si>
  <si>
    <t>World</t>
  </si>
  <si>
    <t>Database</t>
  </si>
  <si>
    <t>This is the activity for 1 kg of BAU ammonia</t>
  </si>
  <si>
    <t>market for natural gas, high pressure</t>
  </si>
  <si>
    <t>tap water production, conventional treatment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</si>
  <si>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</si>
  <si>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</si>
  <si>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</si>
  <si>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</si>
  <si>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</si>
  <si>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</si>
  <si>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</si>
  <si>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</si>
  <si>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</si>
  <si>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</si>
  <si>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</si>
  <si>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</si>
  <si>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</si>
  <si>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</si>
  <si>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</si>
  <si>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</si>
  <si>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</si>
  <si>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</si>
  <si>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</si>
  <si>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</si>
  <si>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</si>
  <si>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</si>
  <si>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</si>
  <si>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</si>
  <si>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</si>
  <si>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</si>
  <si>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</si>
  <si>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</si>
  <si>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</si>
  <si>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</si>
  <si>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</si>
  <si>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</si>
  <si>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</si>
  <si>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</si>
  <si>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</si>
  <si>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</si>
  <si>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carbon dioxide MEA capture, without energy consumption and flue gas emissions</t>
  </si>
  <si>
    <t>This is the activity for 1 kg of carbon dioxide MEA capture</t>
  </si>
  <si>
    <t>carbon dioxide MEA capture</t>
  </si>
  <si>
    <t>market for monoethanolamine</t>
  </si>
  <si>
    <t>monoethanolamine</t>
  </si>
  <si>
    <t>market for sodium hydroxide, without water, in 50% solution state</t>
  </si>
  <si>
    <t>sodium hydroxide, without water, in 50% solution state</t>
  </si>
  <si>
    <t>market for activated carbon, granular</t>
  </si>
  <si>
    <t>activated carbon, granular</t>
  </si>
  <si>
    <t>Monoethanolamine</t>
  </si>
  <si>
    <t>treatment of spent solvent mixture, hazardous waste incineration</t>
  </si>
  <si>
    <t>spent solvent mixture</t>
  </si>
  <si>
    <t>natural gas burnt in furnace excluding carbon dioxide generated in flue gas</t>
  </si>
  <si>
    <t>This is the activity for 1 MJ of natural gas burnt in furnace excluding carbon dioxide generated in flue gas</t>
  </si>
  <si>
    <t>natural gas burnt in furnace</t>
  </si>
  <si>
    <t>Methane, fossil</t>
  </si>
  <si>
    <t>Carbon monoxide, fossil</t>
  </si>
  <si>
    <t>NMVOC, non-methane volatile organic compounds, unspecified origin</t>
  </si>
  <si>
    <t>Sulfur oxides</t>
  </si>
  <si>
    <t>Particulates, &gt; 2.5 um, and &lt; 10um</t>
  </si>
  <si>
    <t>Particulates, &lt; 2.5 um</t>
  </si>
  <si>
    <t>Lead</t>
  </si>
  <si>
    <t>Cadmium</t>
  </si>
  <si>
    <t>Mercury</t>
  </si>
  <si>
    <t>Arsenic</t>
  </si>
  <si>
    <t>Chromium</t>
  </si>
  <si>
    <t>Copper</t>
  </si>
  <si>
    <t>Nickel</t>
  </si>
  <si>
    <t>Selenium</t>
  </si>
  <si>
    <t>Zinc</t>
  </si>
  <si>
    <t>Benzo(a)pyrene</t>
  </si>
  <si>
    <t>Benzo(b)fluoranthene</t>
  </si>
  <si>
    <t>Benzo(k)fluoranthene</t>
  </si>
  <si>
    <t>Indeno(1,2,3-cd)pyrene</t>
  </si>
  <si>
    <t>zeolite, powder</t>
  </si>
  <si>
    <t>wastewater, average</t>
  </si>
  <si>
    <t>carbon dioxide transport and injection in a geological resovoir</t>
  </si>
  <si>
    <t>carbon dioxide transport and injection in a geological resorvoir - only infrastrucutre, 400 km, 6 wells (3 km)</t>
  </si>
  <si>
    <t>carbon dioxide transport and injection, geological resorvoir, infrastructure</t>
  </si>
  <si>
    <t>Occupation, construction site</t>
  </si>
  <si>
    <t>square meter-year</t>
  </si>
  <si>
    <t>natural resource::land</t>
  </si>
  <si>
    <t>Sand, unspecified, in ground</t>
  </si>
  <si>
    <t>natural resource::in ground</t>
  </si>
  <si>
    <t>Transformation, from forest, unspecified</t>
  </si>
  <si>
    <t>square meter</t>
  </si>
  <si>
    <t>Transformation, to heterogeneous, agricultural</t>
  </si>
  <si>
    <t>bitumen seal production</t>
  </si>
  <si>
    <t>bitumen seal</t>
  </si>
  <si>
    <t>concrete, all types to generic market for concrete, medium strength</t>
  </si>
  <si>
    <t>concrete, medium strength</t>
  </si>
  <si>
    <t>copper production, cathode, solvent extraction and electrowinning process</t>
  </si>
  <si>
    <t>copper, cathode</t>
  </si>
  <si>
    <t>diesel, burned in building machine</t>
  </si>
  <si>
    <t>drawing of pipe, steel</t>
  </si>
  <si>
    <t>market for transport, freight, lorry &gt;32 metric ton, EURO6</t>
  </si>
  <si>
    <t>ton kilometer</t>
  </si>
  <si>
    <t>transport, freight, lorry &gt;32 metric ton, EURO6</t>
  </si>
  <si>
    <t>onshore well production, oil/gas</t>
  </si>
  <si>
    <t>meter</t>
  </si>
  <si>
    <t>onshore well, oil/gas</t>
  </si>
  <si>
    <t>polyethylene production, high density, granulate</t>
  </si>
  <si>
    <t>polyethylene, high density, granulate</t>
  </si>
  <si>
    <t>reinforcing steel production</t>
  </si>
  <si>
    <t>reinforcing steel</t>
  </si>
  <si>
    <t>steel production, converter, unalloyed</t>
  </si>
  <si>
    <t>steel, unalloyed</t>
  </si>
  <si>
    <t>steel production, electric, low-alloyed</t>
  </si>
  <si>
    <t>steel, low-alloyed</t>
  </si>
  <si>
    <t>treatment of inert waste, inert material landfill</t>
  </si>
  <si>
    <t>inert waste, for final disposal</t>
  </si>
  <si>
    <t>This is the activity for carbon dioxide injection and transport infrastructure</t>
  </si>
  <si>
    <t>This is the activity for carbon dioxide injection and transport and injection</t>
  </si>
  <si>
    <t>carbon dioxide transport and injection in a geological resovoir, only from natural gas combustion</t>
  </si>
  <si>
    <t>heat with CCS</t>
  </si>
  <si>
    <t>This is the activity for heating with CCS</t>
  </si>
  <si>
    <t>heat production, natural gas, at industrial furnace &gt;100kW</t>
  </si>
  <si>
    <t>heat, district or industrial, natural gas</t>
  </si>
  <si>
    <t>catalysts for ammonia synthesis from SMR</t>
  </si>
  <si>
    <t>market for wastewater, average</t>
  </si>
  <si>
    <t>market for tap water</t>
  </si>
  <si>
    <t>This is the activity for the production of BAU ammonia with CCS</t>
  </si>
  <si>
    <t>lci-Abhi image SSP2-Base 2020 ammonia and methanol</t>
  </si>
  <si>
    <t>ammonia, 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</si>
</sst>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1" applyFont="1"/>
    <xf numFmtId="2" fontId="0" fillId="0" borderId="0" xfId="0" applyNumberFormat="1" applyAlignment="1">
      <alignment horizontal="center"/>
    </xf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K227"/>
  <sheetViews>
    <sheetView zoomScaleNormal="100" workbookViewId="0">
      <selection activeCell="H225" sqref="A225:H225"/>
    </sheetView>
  </sheetViews>
  <sheetFormatPr baseColWidth="10" defaultColWidth="8.6640625" defaultRowHeight="15" x14ac:dyDescent="0.2"/>
  <cols>
    <col min="1" max="1" width="70.5" bestFit="1" customWidth="1"/>
    <col min="2" max="2" width="19.6640625" customWidth="1"/>
    <col min="3" max="3" width="38.33203125" bestFit="1" customWidth="1"/>
    <col min="4" max="4" width="7.6640625" bestFit="1" customWidth="1"/>
    <col min="5" max="5" width="11.6640625" bestFit="1" customWidth="1"/>
    <col min="6" max="6" width="9.5" bestFit="1" customWidth="1"/>
    <col min="7" max="7" width="12.1640625" bestFit="1" customWidth="1"/>
    <col min="8" max="8" width="25.1640625" bestFit="1" customWidth="1"/>
  </cols>
  <sheetData>
    <row r="1" spans="1:8" s="6" customFormat="1" x14ac:dyDescent="0.2">
      <c r="A1" s="8" t="s">
        <v>43</v>
      </c>
      <c r="B1" s="8" t="s">
        <v>165</v>
      </c>
      <c r="C1" s="9"/>
      <c r="D1" s="10"/>
      <c r="E1" s="10"/>
      <c r="F1" s="10"/>
      <c r="G1" s="10"/>
      <c r="H1" s="10"/>
    </row>
    <row r="2" spans="1:8" s="6" customFormat="1" x14ac:dyDescent="0.2">
      <c r="A2" s="2"/>
      <c r="B2" s="2"/>
      <c r="C2" s="3"/>
      <c r="D2" s="2"/>
      <c r="E2" s="2"/>
      <c r="F2" s="2"/>
      <c r="G2" s="2"/>
      <c r="H2" s="2"/>
    </row>
    <row r="3" spans="1:8" x14ac:dyDescent="0.2">
      <c r="A3" s="1" t="s">
        <v>0</v>
      </c>
      <c r="B3" s="1" t="s">
        <v>49</v>
      </c>
      <c r="C3" s="6"/>
      <c r="D3" s="6"/>
      <c r="E3" s="6"/>
      <c r="F3" s="6"/>
      <c r="G3" s="6"/>
      <c r="H3" s="6"/>
    </row>
    <row r="4" spans="1:8" x14ac:dyDescent="0.2">
      <c r="A4" s="6" t="s">
        <v>2</v>
      </c>
      <c r="B4" t="s">
        <v>50</v>
      </c>
      <c r="C4" s="6"/>
      <c r="D4" s="6"/>
      <c r="E4" s="6"/>
      <c r="F4" s="6"/>
      <c r="G4" s="6"/>
      <c r="H4" s="6"/>
    </row>
    <row r="5" spans="1:8" x14ac:dyDescent="0.2">
      <c r="A5" s="6" t="s">
        <v>3</v>
      </c>
      <c r="B5" t="s">
        <v>4</v>
      </c>
      <c r="C5" s="6"/>
      <c r="D5" s="6"/>
      <c r="E5" s="6"/>
      <c r="F5" s="6"/>
      <c r="G5" s="6"/>
      <c r="H5" s="6"/>
    </row>
    <row r="6" spans="1:8" x14ac:dyDescent="0.2">
      <c r="A6" s="6" t="s">
        <v>5</v>
      </c>
      <c r="B6" s="6">
        <v>1</v>
      </c>
      <c r="C6" s="6"/>
      <c r="D6" s="6"/>
      <c r="E6" s="6"/>
      <c r="F6" s="6"/>
      <c r="G6" s="6"/>
      <c r="H6" s="6"/>
    </row>
    <row r="7" spans="1:8" x14ac:dyDescent="0.2">
      <c r="A7" s="6" t="s">
        <v>6</v>
      </c>
      <c r="B7" t="s">
        <v>49</v>
      </c>
      <c r="C7" s="6"/>
      <c r="D7" s="6"/>
      <c r="E7" s="6"/>
      <c r="F7" s="6"/>
      <c r="G7" s="6"/>
      <c r="H7" s="6"/>
    </row>
    <row r="8" spans="1:8" x14ac:dyDescent="0.2">
      <c r="A8" s="6" t="s">
        <v>8</v>
      </c>
      <c r="B8" t="s">
        <v>9</v>
      </c>
      <c r="C8" s="6"/>
      <c r="D8" s="6"/>
      <c r="E8" s="6"/>
      <c r="F8" s="6"/>
      <c r="G8" s="6"/>
      <c r="H8" s="6"/>
    </row>
    <row r="9" spans="1:8" x14ac:dyDescent="0.2">
      <c r="A9" s="1" t="s">
        <v>10</v>
      </c>
      <c r="B9" s="6"/>
      <c r="C9" s="6"/>
      <c r="D9" s="6"/>
      <c r="E9" s="6"/>
      <c r="F9" s="6"/>
      <c r="G9" s="6"/>
      <c r="H9" s="6"/>
    </row>
    <row r="10" spans="1:8" x14ac:dyDescent="0.2">
      <c r="A10" s="6" t="s">
        <v>11</v>
      </c>
      <c r="B10" s="6" t="s">
        <v>12</v>
      </c>
      <c r="C10" s="6" t="s">
        <v>13</v>
      </c>
      <c r="D10" s="6" t="s">
        <v>3</v>
      </c>
      <c r="E10" s="6" t="s">
        <v>8</v>
      </c>
      <c r="F10" s="6" t="s">
        <v>14</v>
      </c>
      <c r="G10" s="6" t="s">
        <v>15</v>
      </c>
      <c r="H10" s="6" t="s">
        <v>6</v>
      </c>
    </row>
    <row r="11" spans="1:8" x14ac:dyDescent="0.2">
      <c r="A11" t="s">
        <v>49</v>
      </c>
      <c r="B11" s="7">
        <v>1</v>
      </c>
      <c r="C11" s="6" t="s">
        <v>16</v>
      </c>
      <c r="D11" t="s">
        <v>4</v>
      </c>
      <c r="E11" t="s">
        <v>9</v>
      </c>
      <c r="F11" s="6"/>
      <c r="G11" s="6" t="s">
        <v>17</v>
      </c>
      <c r="H11" t="s">
        <v>49</v>
      </c>
    </row>
    <row r="12" spans="1:8" x14ac:dyDescent="0.2">
      <c r="A12" t="s">
        <v>51</v>
      </c>
      <c r="B12" s="7">
        <v>1</v>
      </c>
      <c r="C12" t="s">
        <v>18</v>
      </c>
      <c r="D12" t="s">
        <v>4</v>
      </c>
      <c r="E12" t="s">
        <v>9</v>
      </c>
      <c r="F12" s="6"/>
      <c r="G12" t="s">
        <v>20</v>
      </c>
      <c r="H12" t="s">
        <v>52</v>
      </c>
    </row>
    <row r="13" spans="1:8" x14ac:dyDescent="0.2">
      <c r="A13" t="s">
        <v>53</v>
      </c>
      <c r="B13" s="4">
        <v>1.94</v>
      </c>
      <c r="C13" t="s">
        <v>18</v>
      </c>
      <c r="D13" t="s">
        <v>42</v>
      </c>
      <c r="E13" t="s">
        <v>24</v>
      </c>
      <c r="G13" t="s">
        <v>20</v>
      </c>
      <c r="H13" t="s">
        <v>41</v>
      </c>
    </row>
    <row r="14" spans="1:8" s="6" customFormat="1" x14ac:dyDescent="0.2">
      <c r="A14" s="2"/>
      <c r="B14" s="2"/>
      <c r="C14" s="3"/>
      <c r="D14" s="2"/>
      <c r="E14" s="2"/>
      <c r="F14" s="2"/>
      <c r="G14" s="2"/>
      <c r="H14" s="2"/>
    </row>
    <row r="15" spans="1:8" x14ac:dyDescent="0.2">
      <c r="A15" s="1" t="s">
        <v>0</v>
      </c>
      <c r="B15" s="1" t="s">
        <v>54</v>
      </c>
      <c r="C15" s="6"/>
      <c r="D15" s="6"/>
      <c r="E15" s="6"/>
      <c r="F15" s="6"/>
      <c r="G15" s="6"/>
      <c r="H15" s="6"/>
    </row>
    <row r="16" spans="1:8" x14ac:dyDescent="0.2">
      <c r="A16" s="6" t="s">
        <v>2</v>
      </c>
      <c r="B16" t="s">
        <v>55</v>
      </c>
      <c r="C16" s="6"/>
      <c r="D16" s="6"/>
      <c r="E16" s="6"/>
      <c r="F16" s="6"/>
      <c r="G16" s="6"/>
      <c r="H16" s="6"/>
    </row>
    <row r="17" spans="1:8" x14ac:dyDescent="0.2">
      <c r="A17" s="6" t="s">
        <v>3</v>
      </c>
      <c r="B17" t="s">
        <v>4</v>
      </c>
      <c r="C17" s="6"/>
      <c r="D17" s="6"/>
      <c r="E17" s="6"/>
      <c r="F17" s="6"/>
      <c r="G17" s="6"/>
      <c r="H17" s="6"/>
    </row>
    <row r="18" spans="1:8" x14ac:dyDescent="0.2">
      <c r="A18" s="6" t="s">
        <v>5</v>
      </c>
      <c r="B18" s="6">
        <v>1</v>
      </c>
      <c r="C18" s="6"/>
      <c r="D18" s="6"/>
      <c r="E18" s="6"/>
      <c r="F18" s="6"/>
      <c r="G18" s="6"/>
      <c r="H18" s="6"/>
    </row>
    <row r="19" spans="1:8" x14ac:dyDescent="0.2">
      <c r="A19" s="6" t="s">
        <v>6</v>
      </c>
      <c r="B19" t="s">
        <v>54</v>
      </c>
      <c r="C19" s="6"/>
      <c r="D19" s="6"/>
      <c r="E19" s="6"/>
      <c r="F19" s="6"/>
      <c r="G19" s="6"/>
      <c r="H19" s="6"/>
    </row>
    <row r="20" spans="1:8" x14ac:dyDescent="0.2">
      <c r="A20" s="6" t="s">
        <v>8</v>
      </c>
      <c r="B20" t="s">
        <v>9</v>
      </c>
      <c r="C20" s="6"/>
      <c r="D20" s="6"/>
      <c r="E20" s="6"/>
      <c r="F20" s="6"/>
      <c r="G20" s="6"/>
      <c r="H20" s="6"/>
    </row>
    <row r="21" spans="1:8" x14ac:dyDescent="0.2">
      <c r="A21" s="1" t="s">
        <v>10</v>
      </c>
      <c r="B21" s="6"/>
      <c r="C21" s="6"/>
      <c r="D21" s="6"/>
      <c r="E21" s="6"/>
      <c r="F21" s="6"/>
      <c r="G21" s="6"/>
      <c r="H21" s="6"/>
    </row>
    <row r="22" spans="1:8" x14ac:dyDescent="0.2">
      <c r="A22" s="6" t="s">
        <v>11</v>
      </c>
      <c r="B22" s="6" t="s">
        <v>12</v>
      </c>
      <c r="C22" s="6" t="s">
        <v>13</v>
      </c>
      <c r="D22" s="6" t="s">
        <v>3</v>
      </c>
      <c r="E22" s="6" t="s">
        <v>8</v>
      </c>
      <c r="F22" s="6" t="s">
        <v>14</v>
      </c>
      <c r="G22" s="6" t="s">
        <v>15</v>
      </c>
      <c r="H22" s="6" t="s">
        <v>6</v>
      </c>
    </row>
    <row r="23" spans="1:8" x14ac:dyDescent="0.2">
      <c r="A23" t="s">
        <v>54</v>
      </c>
      <c r="B23" s="7">
        <v>1</v>
      </c>
      <c r="C23" s="6" t="s">
        <v>16</v>
      </c>
      <c r="D23" t="s">
        <v>4</v>
      </c>
      <c r="E23" t="s">
        <v>9</v>
      </c>
      <c r="F23" s="6"/>
      <c r="G23" s="6" t="s">
        <v>17</v>
      </c>
      <c r="H23" t="s">
        <v>54</v>
      </c>
    </row>
    <row r="24" spans="1:8" x14ac:dyDescent="0.2">
      <c r="A24" t="s">
        <v>56</v>
      </c>
      <c r="B24" s="7">
        <v>0.1</v>
      </c>
      <c r="C24" t="s">
        <v>18</v>
      </c>
      <c r="D24" t="s">
        <v>4</v>
      </c>
      <c r="E24" t="s">
        <v>9</v>
      </c>
      <c r="F24" s="6"/>
      <c r="G24" t="s">
        <v>20</v>
      </c>
      <c r="H24" t="s">
        <v>57</v>
      </c>
    </row>
    <row r="25" spans="1:8" x14ac:dyDescent="0.2">
      <c r="A25" t="s">
        <v>58</v>
      </c>
      <c r="B25" s="4">
        <v>0.1</v>
      </c>
      <c r="C25" t="s">
        <v>18</v>
      </c>
      <c r="D25" t="s">
        <v>4</v>
      </c>
      <c r="E25" t="s">
        <v>9</v>
      </c>
      <c r="G25" t="s">
        <v>20</v>
      </c>
      <c r="H25" t="s">
        <v>59</v>
      </c>
    </row>
    <row r="26" spans="1:8" x14ac:dyDescent="0.2">
      <c r="A26" t="s">
        <v>60</v>
      </c>
      <c r="B26" s="4">
        <v>0.8</v>
      </c>
      <c r="C26" t="s">
        <v>18</v>
      </c>
      <c r="D26" t="s">
        <v>19</v>
      </c>
      <c r="E26" t="s">
        <v>9</v>
      </c>
      <c r="G26" t="s">
        <v>20</v>
      </c>
      <c r="H26" t="s">
        <v>117</v>
      </c>
    </row>
    <row r="27" spans="1:8" x14ac:dyDescent="0.2">
      <c r="A27" t="s">
        <v>53</v>
      </c>
      <c r="B27" s="4">
        <v>0.38800000000000001</v>
      </c>
      <c r="C27" t="s">
        <v>18</v>
      </c>
      <c r="D27" t="s">
        <v>42</v>
      </c>
      <c r="E27" t="s">
        <v>24</v>
      </c>
      <c r="G27" t="s">
        <v>20</v>
      </c>
      <c r="H27" t="s">
        <v>41</v>
      </c>
    </row>
    <row r="28" spans="1:8" x14ac:dyDescent="0.2">
      <c r="A28" s="2"/>
      <c r="B28" s="2"/>
      <c r="C28" s="3"/>
      <c r="D28" s="2"/>
      <c r="E28" s="2"/>
      <c r="F28" s="2"/>
      <c r="G28" s="2"/>
      <c r="H28" s="2"/>
    </row>
    <row r="29" spans="1:8" x14ac:dyDescent="0.2">
      <c r="A29" s="1" t="s">
        <v>0</v>
      </c>
      <c r="B29" s="1" t="s">
        <v>61</v>
      </c>
      <c r="C29" s="6"/>
      <c r="D29" s="6"/>
      <c r="E29" s="6"/>
      <c r="F29" s="6"/>
      <c r="G29" s="6"/>
      <c r="H29" s="6"/>
    </row>
    <row r="30" spans="1:8" x14ac:dyDescent="0.2">
      <c r="A30" s="6" t="s">
        <v>2</v>
      </c>
      <c r="B30" t="s">
        <v>62</v>
      </c>
      <c r="C30" s="6"/>
      <c r="D30" s="6"/>
      <c r="E30" s="6"/>
      <c r="F30" s="6"/>
      <c r="G30" s="6"/>
      <c r="H30" s="6"/>
    </row>
    <row r="31" spans="1:8" x14ac:dyDescent="0.2">
      <c r="A31" s="6" t="s">
        <v>3</v>
      </c>
      <c r="B31" t="s">
        <v>4</v>
      </c>
      <c r="C31" s="6"/>
      <c r="D31" s="6"/>
      <c r="E31" s="6"/>
      <c r="F31" s="6"/>
      <c r="G31" s="6"/>
      <c r="H31" s="6"/>
    </row>
    <row r="32" spans="1:8" x14ac:dyDescent="0.2">
      <c r="A32" s="6" t="s">
        <v>5</v>
      </c>
      <c r="B32" s="6">
        <v>1</v>
      </c>
      <c r="C32" s="6"/>
      <c r="D32" s="6"/>
      <c r="E32" s="6"/>
      <c r="F32" s="6"/>
      <c r="G32" s="6"/>
      <c r="H32" s="6"/>
    </row>
    <row r="33" spans="1:8" x14ac:dyDescent="0.2">
      <c r="A33" s="6" t="s">
        <v>6</v>
      </c>
      <c r="B33" t="s">
        <v>61</v>
      </c>
      <c r="C33" s="6"/>
      <c r="D33" s="6"/>
      <c r="E33" s="6"/>
      <c r="F33" s="6"/>
      <c r="G33" s="6"/>
      <c r="H33" s="6"/>
    </row>
    <row r="34" spans="1:8" x14ac:dyDescent="0.2">
      <c r="A34" s="6" t="s">
        <v>8</v>
      </c>
      <c r="B34" t="s">
        <v>9</v>
      </c>
      <c r="C34" s="6"/>
      <c r="D34" s="6"/>
      <c r="E34" s="6"/>
      <c r="F34" s="6"/>
      <c r="G34" s="6"/>
      <c r="H34" s="6"/>
    </row>
    <row r="35" spans="1:8" x14ac:dyDescent="0.2">
      <c r="A35" s="1" t="s">
        <v>10</v>
      </c>
      <c r="B35" s="6"/>
      <c r="C35" s="6"/>
      <c r="D35" s="6"/>
      <c r="E35" s="6"/>
      <c r="F35" s="6"/>
      <c r="G35" s="6"/>
      <c r="H35" s="6"/>
    </row>
    <row r="36" spans="1:8" x14ac:dyDescent="0.2">
      <c r="A36" s="6" t="s">
        <v>11</v>
      </c>
      <c r="B36" s="6" t="s">
        <v>12</v>
      </c>
      <c r="C36" s="6" t="s">
        <v>13</v>
      </c>
      <c r="D36" s="6" t="s">
        <v>3</v>
      </c>
      <c r="E36" s="6" t="s">
        <v>8</v>
      </c>
      <c r="F36" s="6" t="s">
        <v>14</v>
      </c>
      <c r="G36" s="6" t="s">
        <v>15</v>
      </c>
      <c r="H36" s="6" t="s">
        <v>6</v>
      </c>
    </row>
    <row r="37" spans="1:8" x14ac:dyDescent="0.2">
      <c r="A37" t="s">
        <v>61</v>
      </c>
      <c r="B37" s="7">
        <v>1</v>
      </c>
      <c r="C37" s="6" t="s">
        <v>16</v>
      </c>
      <c r="D37" t="s">
        <v>4</v>
      </c>
      <c r="E37" t="s">
        <v>9</v>
      </c>
      <c r="F37" s="6"/>
      <c r="G37" s="6" t="s">
        <v>17</v>
      </c>
      <c r="H37" t="s">
        <v>61</v>
      </c>
    </row>
    <row r="38" spans="1:8" x14ac:dyDescent="0.2">
      <c r="A38" t="s">
        <v>63</v>
      </c>
      <c r="B38" s="7">
        <v>0.879</v>
      </c>
      <c r="C38" t="s">
        <v>18</v>
      </c>
      <c r="D38" t="s">
        <v>4</v>
      </c>
      <c r="E38" t="s">
        <v>9</v>
      </c>
      <c r="F38" s="6"/>
      <c r="G38" t="s">
        <v>20</v>
      </c>
      <c r="H38" t="s">
        <v>64</v>
      </c>
    </row>
    <row r="39" spans="1:8" x14ac:dyDescent="0.2">
      <c r="A39" t="s">
        <v>65</v>
      </c>
      <c r="B39" s="4">
        <v>2.3999999999999998E-3</v>
      </c>
      <c r="C39" t="s">
        <v>18</v>
      </c>
      <c r="D39" t="s">
        <v>4</v>
      </c>
      <c r="E39" t="s">
        <v>9</v>
      </c>
      <c r="G39" t="s">
        <v>20</v>
      </c>
      <c r="H39" t="s">
        <v>66</v>
      </c>
    </row>
    <row r="40" spans="1:8" x14ac:dyDescent="0.2">
      <c r="A40" t="s">
        <v>67</v>
      </c>
      <c r="B40" s="4">
        <v>0.11799999999999999</v>
      </c>
      <c r="C40" t="s">
        <v>18</v>
      </c>
      <c r="D40" t="s">
        <v>4</v>
      </c>
      <c r="E40" t="s">
        <v>9</v>
      </c>
      <c r="G40" t="s">
        <v>20</v>
      </c>
      <c r="H40" t="s">
        <v>68</v>
      </c>
    </row>
    <row r="41" spans="1:8" x14ac:dyDescent="0.2">
      <c r="A41" t="s">
        <v>53</v>
      </c>
      <c r="B41" s="4">
        <v>1.94</v>
      </c>
      <c r="C41" t="s">
        <v>18</v>
      </c>
      <c r="D41" t="s">
        <v>42</v>
      </c>
      <c r="E41" t="s">
        <v>24</v>
      </c>
      <c r="G41" t="s">
        <v>20</v>
      </c>
      <c r="H41" t="s">
        <v>41</v>
      </c>
    </row>
    <row r="42" spans="1:8" x14ac:dyDescent="0.2">
      <c r="A42" s="2"/>
      <c r="B42" s="2"/>
      <c r="C42" s="3"/>
      <c r="D42" s="2"/>
      <c r="E42" s="2"/>
      <c r="F42" s="2"/>
      <c r="G42" s="2"/>
      <c r="H42" s="2"/>
    </row>
    <row r="43" spans="1:8" x14ac:dyDescent="0.2">
      <c r="A43" s="1" t="s">
        <v>0</v>
      </c>
      <c r="B43" s="1" t="s">
        <v>69</v>
      </c>
      <c r="C43" s="6"/>
      <c r="D43" s="6"/>
      <c r="E43" s="6"/>
      <c r="F43" s="6"/>
      <c r="G43" s="6"/>
      <c r="H43" s="6"/>
    </row>
    <row r="44" spans="1:8" x14ac:dyDescent="0.2">
      <c r="A44" s="6" t="s">
        <v>2</v>
      </c>
      <c r="B44" t="s">
        <v>70</v>
      </c>
      <c r="C44" s="6"/>
      <c r="D44" s="6"/>
      <c r="E44" s="6"/>
      <c r="F44" s="6"/>
      <c r="G44" s="6"/>
      <c r="H44" s="6"/>
    </row>
    <row r="45" spans="1:8" x14ac:dyDescent="0.2">
      <c r="A45" s="6" t="s">
        <v>3</v>
      </c>
      <c r="B45" t="s">
        <v>4</v>
      </c>
      <c r="C45" s="6"/>
      <c r="D45" s="6"/>
      <c r="E45" s="6"/>
      <c r="F45" s="6"/>
      <c r="G45" s="6"/>
      <c r="H45" s="6"/>
    </row>
    <row r="46" spans="1:8" x14ac:dyDescent="0.2">
      <c r="A46" s="6" t="s">
        <v>5</v>
      </c>
      <c r="B46" s="6">
        <v>1</v>
      </c>
      <c r="C46" s="6"/>
      <c r="D46" s="6"/>
      <c r="E46" s="6"/>
      <c r="F46" s="6"/>
      <c r="G46" s="6"/>
      <c r="H46" s="6"/>
    </row>
    <row r="47" spans="1:8" x14ac:dyDescent="0.2">
      <c r="A47" s="6" t="s">
        <v>6</v>
      </c>
      <c r="B47" t="s">
        <v>69</v>
      </c>
      <c r="C47" s="6"/>
      <c r="D47" s="6"/>
      <c r="E47" s="6"/>
      <c r="F47" s="6"/>
      <c r="G47" s="6"/>
      <c r="H47" s="6"/>
    </row>
    <row r="48" spans="1:8" x14ac:dyDescent="0.2">
      <c r="A48" s="6" t="s">
        <v>8</v>
      </c>
      <c r="B48" t="s">
        <v>9</v>
      </c>
      <c r="C48" s="6"/>
      <c r="D48" s="6"/>
      <c r="E48" s="6"/>
      <c r="F48" s="6"/>
      <c r="G48" s="6"/>
      <c r="H48" s="6"/>
    </row>
    <row r="49" spans="1:8" x14ac:dyDescent="0.2">
      <c r="A49" s="1" t="s">
        <v>10</v>
      </c>
      <c r="B49" s="6"/>
      <c r="C49" s="6"/>
      <c r="D49" s="6"/>
      <c r="E49" s="6"/>
      <c r="F49" s="6"/>
      <c r="G49" s="6"/>
      <c r="H49" s="6"/>
    </row>
    <row r="50" spans="1:8" x14ac:dyDescent="0.2">
      <c r="A50" s="6" t="s">
        <v>11</v>
      </c>
      <c r="B50" s="6" t="s">
        <v>12</v>
      </c>
      <c r="C50" s="6" t="s">
        <v>13</v>
      </c>
      <c r="D50" s="6" t="s">
        <v>3</v>
      </c>
      <c r="E50" s="6" t="s">
        <v>8</v>
      </c>
      <c r="F50" s="6" t="s">
        <v>14</v>
      </c>
      <c r="G50" s="6" t="s">
        <v>15</v>
      </c>
      <c r="H50" s="6" t="s">
        <v>6</v>
      </c>
    </row>
    <row r="51" spans="1:8" x14ac:dyDescent="0.2">
      <c r="A51" t="s">
        <v>69</v>
      </c>
      <c r="B51" s="7">
        <v>1</v>
      </c>
      <c r="C51" s="6" t="s">
        <v>16</v>
      </c>
      <c r="D51" t="s">
        <v>4</v>
      </c>
      <c r="E51" t="s">
        <v>9</v>
      </c>
      <c r="F51" s="6"/>
      <c r="G51" s="6" t="s">
        <v>17</v>
      </c>
      <c r="H51" t="s">
        <v>69</v>
      </c>
    </row>
    <row r="52" spans="1:8" x14ac:dyDescent="0.2">
      <c r="A52" t="s">
        <v>51</v>
      </c>
      <c r="B52" s="7">
        <v>0.435</v>
      </c>
      <c r="C52" t="s">
        <v>18</v>
      </c>
      <c r="D52" t="s">
        <v>4</v>
      </c>
      <c r="E52" t="s">
        <v>9</v>
      </c>
      <c r="F52" s="6"/>
      <c r="G52" t="s">
        <v>20</v>
      </c>
      <c r="H52" t="s">
        <v>52</v>
      </c>
    </row>
    <row r="53" spans="1:8" x14ac:dyDescent="0.2">
      <c r="A53" t="s">
        <v>71</v>
      </c>
      <c r="B53" s="4">
        <v>0.32500000000000001</v>
      </c>
      <c r="C53" t="s">
        <v>18</v>
      </c>
      <c r="D53" t="s">
        <v>4</v>
      </c>
      <c r="E53" t="s">
        <v>9</v>
      </c>
      <c r="G53" t="s">
        <v>20</v>
      </c>
      <c r="H53" t="s">
        <v>72</v>
      </c>
    </row>
    <row r="54" spans="1:8" x14ac:dyDescent="0.2">
      <c r="A54" t="s">
        <v>60</v>
      </c>
      <c r="B54" s="4">
        <v>0.24</v>
      </c>
      <c r="C54" t="s">
        <v>18</v>
      </c>
      <c r="D54" t="s">
        <v>19</v>
      </c>
      <c r="E54" t="s">
        <v>9</v>
      </c>
      <c r="G54" t="s">
        <v>20</v>
      </c>
      <c r="H54" t="s">
        <v>117</v>
      </c>
    </row>
    <row r="55" spans="1:8" x14ac:dyDescent="0.2">
      <c r="A55" t="s">
        <v>53</v>
      </c>
      <c r="B55" s="4">
        <v>1.48</v>
      </c>
      <c r="C55" t="s">
        <v>18</v>
      </c>
      <c r="D55" t="s">
        <v>42</v>
      </c>
      <c r="E55" t="s">
        <v>24</v>
      </c>
      <c r="G55" t="s">
        <v>20</v>
      </c>
      <c r="H55" t="s">
        <v>41</v>
      </c>
    </row>
    <row r="56" spans="1:8" x14ac:dyDescent="0.2">
      <c r="A56" s="2"/>
      <c r="B56" s="2"/>
      <c r="C56" s="3"/>
      <c r="D56" s="2"/>
      <c r="E56" s="2"/>
      <c r="F56" s="2"/>
      <c r="G56" s="2"/>
      <c r="H56" s="2"/>
    </row>
    <row r="57" spans="1:8" x14ac:dyDescent="0.2">
      <c r="A57" s="1" t="s">
        <v>0</v>
      </c>
      <c r="B57" s="1" t="s">
        <v>73</v>
      </c>
      <c r="C57" s="6"/>
      <c r="D57" s="6"/>
      <c r="E57" s="6"/>
      <c r="F57" s="6"/>
      <c r="G57" s="6"/>
      <c r="H57" s="6"/>
    </row>
    <row r="58" spans="1:8" x14ac:dyDescent="0.2">
      <c r="A58" s="6" t="s">
        <v>2</v>
      </c>
      <c r="B58" t="s">
        <v>74</v>
      </c>
      <c r="C58" s="6"/>
      <c r="D58" s="6"/>
      <c r="E58" s="6"/>
      <c r="F58" s="6"/>
      <c r="G58" s="6"/>
      <c r="H58" s="6"/>
    </row>
    <row r="59" spans="1:8" x14ac:dyDescent="0.2">
      <c r="A59" s="6" t="s">
        <v>3</v>
      </c>
      <c r="B59" t="s">
        <v>4</v>
      </c>
      <c r="C59" s="6"/>
      <c r="D59" s="6"/>
      <c r="E59" s="6"/>
      <c r="F59" s="6"/>
      <c r="G59" s="6"/>
      <c r="H59" s="6"/>
    </row>
    <row r="60" spans="1:8" x14ac:dyDescent="0.2">
      <c r="A60" s="6" t="s">
        <v>5</v>
      </c>
      <c r="B60" s="6">
        <v>1</v>
      </c>
      <c r="C60" s="6"/>
      <c r="D60" s="6"/>
      <c r="E60" s="6"/>
      <c r="F60" s="6"/>
      <c r="G60" s="6"/>
      <c r="H60" s="6"/>
    </row>
    <row r="61" spans="1:8" x14ac:dyDescent="0.2">
      <c r="A61" s="6" t="s">
        <v>6</v>
      </c>
      <c r="B61" t="s">
        <v>73</v>
      </c>
      <c r="C61" s="6"/>
      <c r="D61" s="6"/>
      <c r="E61" s="6"/>
      <c r="F61" s="6"/>
      <c r="G61" s="6"/>
      <c r="H61" s="6"/>
    </row>
    <row r="62" spans="1:8" x14ac:dyDescent="0.2">
      <c r="A62" s="6" t="s">
        <v>8</v>
      </c>
      <c r="B62" t="s">
        <v>9</v>
      </c>
      <c r="C62" s="6"/>
      <c r="D62" s="6"/>
      <c r="E62" s="6"/>
      <c r="F62" s="6"/>
      <c r="G62" s="6"/>
      <c r="H62" s="6"/>
    </row>
    <row r="63" spans="1:8" x14ac:dyDescent="0.2">
      <c r="A63" s="1" t="s">
        <v>10</v>
      </c>
      <c r="B63" s="6"/>
      <c r="C63" s="6"/>
      <c r="D63" s="6"/>
      <c r="E63" s="6"/>
      <c r="F63" s="6"/>
      <c r="G63" s="6"/>
      <c r="H63" s="6"/>
    </row>
    <row r="64" spans="1:8" x14ac:dyDescent="0.2">
      <c r="A64" s="6" t="s">
        <v>11</v>
      </c>
      <c r="B64" s="6" t="s">
        <v>12</v>
      </c>
      <c r="C64" s="6" t="s">
        <v>13</v>
      </c>
      <c r="D64" s="6" t="s">
        <v>3</v>
      </c>
      <c r="E64" s="6" t="s">
        <v>8</v>
      </c>
      <c r="F64" s="6" t="s">
        <v>14</v>
      </c>
      <c r="G64" s="6" t="s">
        <v>15</v>
      </c>
      <c r="H64" s="6" t="s">
        <v>6</v>
      </c>
    </row>
    <row r="65" spans="1:8" x14ac:dyDescent="0.2">
      <c r="A65" t="s">
        <v>73</v>
      </c>
      <c r="B65" s="7">
        <v>1</v>
      </c>
      <c r="C65" s="6" t="s">
        <v>16</v>
      </c>
      <c r="D65" t="s">
        <v>4</v>
      </c>
      <c r="E65" t="s">
        <v>9</v>
      </c>
      <c r="F65" s="6"/>
      <c r="G65" s="6" t="s">
        <v>17</v>
      </c>
      <c r="H65" t="s">
        <v>73</v>
      </c>
    </row>
    <row r="66" spans="1:8" x14ac:dyDescent="0.2">
      <c r="A66" t="s">
        <v>75</v>
      </c>
      <c r="B66" s="7">
        <v>0.25</v>
      </c>
      <c r="C66" t="s">
        <v>18</v>
      </c>
      <c r="D66" t="s">
        <v>4</v>
      </c>
      <c r="E66" t="s">
        <v>9</v>
      </c>
      <c r="F66" s="6"/>
      <c r="G66" t="s">
        <v>20</v>
      </c>
      <c r="H66" t="s">
        <v>25</v>
      </c>
    </row>
    <row r="67" spans="1:8" x14ac:dyDescent="0.2">
      <c r="A67" t="s">
        <v>60</v>
      </c>
      <c r="B67" s="4">
        <v>0.75</v>
      </c>
      <c r="C67" t="s">
        <v>18</v>
      </c>
      <c r="D67" t="s">
        <v>19</v>
      </c>
      <c r="E67" t="s">
        <v>9</v>
      </c>
      <c r="G67" t="s">
        <v>20</v>
      </c>
      <c r="H67" t="s">
        <v>117</v>
      </c>
    </row>
    <row r="68" spans="1:8" x14ac:dyDescent="0.2">
      <c r="A68" t="s">
        <v>53</v>
      </c>
      <c r="B68" s="4">
        <v>0.48499999999999999</v>
      </c>
      <c r="C68" t="s">
        <v>18</v>
      </c>
      <c r="D68" t="s">
        <v>42</v>
      </c>
      <c r="E68" t="s">
        <v>24</v>
      </c>
      <c r="G68" t="s">
        <v>20</v>
      </c>
      <c r="H68" t="s">
        <v>41</v>
      </c>
    </row>
    <row r="69" spans="1:8" x14ac:dyDescent="0.2">
      <c r="A69" s="2"/>
      <c r="B69" s="2"/>
      <c r="C69" s="3"/>
      <c r="D69" s="2"/>
      <c r="E69" s="2"/>
      <c r="F69" s="2"/>
      <c r="G69" s="2"/>
      <c r="H69" s="2"/>
    </row>
    <row r="70" spans="1:8" x14ac:dyDescent="0.2">
      <c r="A70" s="1" t="s">
        <v>0</v>
      </c>
      <c r="B70" s="1" t="s">
        <v>76</v>
      </c>
      <c r="C70" s="6"/>
      <c r="D70" s="6"/>
      <c r="E70" s="6"/>
      <c r="F70" s="6"/>
      <c r="G70" s="6"/>
      <c r="H70" s="6"/>
    </row>
    <row r="71" spans="1:8" x14ac:dyDescent="0.2">
      <c r="A71" s="6" t="s">
        <v>2</v>
      </c>
      <c r="B71" t="s">
        <v>77</v>
      </c>
      <c r="C71" s="6"/>
      <c r="D71" s="6"/>
      <c r="E71" s="6"/>
      <c r="F71" s="6"/>
      <c r="G71" s="6"/>
      <c r="H71" s="6"/>
    </row>
    <row r="72" spans="1:8" x14ac:dyDescent="0.2">
      <c r="A72" s="6" t="s">
        <v>3</v>
      </c>
      <c r="B72" t="s">
        <v>4</v>
      </c>
      <c r="C72" s="6"/>
      <c r="D72" s="6"/>
      <c r="E72" s="6"/>
      <c r="F72" s="6"/>
      <c r="G72" s="6"/>
      <c r="H72" s="6"/>
    </row>
    <row r="73" spans="1:8" x14ac:dyDescent="0.2">
      <c r="A73" s="6" t="s">
        <v>5</v>
      </c>
      <c r="B73" s="6">
        <v>1</v>
      </c>
      <c r="C73" s="6"/>
      <c r="D73" s="6"/>
      <c r="E73" s="6"/>
      <c r="F73" s="6"/>
      <c r="G73" s="6"/>
      <c r="H73" s="6"/>
    </row>
    <row r="74" spans="1:8" x14ac:dyDescent="0.2">
      <c r="A74" s="6" t="s">
        <v>6</v>
      </c>
      <c r="B74" t="s">
        <v>76</v>
      </c>
      <c r="C74" s="6"/>
      <c r="D74" s="6"/>
      <c r="E74" s="6"/>
      <c r="F74" s="6"/>
      <c r="G74" s="6"/>
      <c r="H74" s="6"/>
    </row>
    <row r="75" spans="1:8" x14ac:dyDescent="0.2">
      <c r="A75" s="6" t="s">
        <v>8</v>
      </c>
      <c r="B75" t="s">
        <v>9</v>
      </c>
      <c r="C75" s="6"/>
      <c r="D75" s="6"/>
      <c r="E75" s="6"/>
      <c r="F75" s="6"/>
      <c r="G75" s="6"/>
      <c r="H75" s="6"/>
    </row>
    <row r="76" spans="1:8" x14ac:dyDescent="0.2">
      <c r="A76" s="1" t="s">
        <v>10</v>
      </c>
      <c r="B76" s="6"/>
      <c r="C76" s="6"/>
      <c r="D76" s="6"/>
      <c r="E76" s="6"/>
      <c r="F76" s="6"/>
      <c r="G76" s="6"/>
      <c r="H76" s="6"/>
    </row>
    <row r="77" spans="1:8" x14ac:dyDescent="0.2">
      <c r="A77" s="6" t="s">
        <v>11</v>
      </c>
      <c r="B77" s="6" t="s">
        <v>12</v>
      </c>
      <c r="C77" s="6" t="s">
        <v>13</v>
      </c>
      <c r="D77" s="6" t="s">
        <v>3</v>
      </c>
      <c r="E77" s="6" t="s">
        <v>8</v>
      </c>
      <c r="F77" s="6" t="s">
        <v>14</v>
      </c>
      <c r="G77" s="6" t="s">
        <v>15</v>
      </c>
      <c r="H77" s="6" t="s">
        <v>6</v>
      </c>
    </row>
    <row r="78" spans="1:8" x14ac:dyDescent="0.2">
      <c r="A78" t="s">
        <v>76</v>
      </c>
      <c r="B78" s="7">
        <v>1</v>
      </c>
      <c r="C78" s="6" t="s">
        <v>16</v>
      </c>
      <c r="D78" t="s">
        <v>4</v>
      </c>
      <c r="E78" t="s">
        <v>9</v>
      </c>
      <c r="F78" s="6"/>
      <c r="G78" s="6" t="s">
        <v>17</v>
      </c>
      <c r="H78" t="s">
        <v>76</v>
      </c>
    </row>
    <row r="79" spans="1:8" x14ac:dyDescent="0.2">
      <c r="A79" t="s">
        <v>63</v>
      </c>
      <c r="B79" s="7">
        <v>0.97099999999999997</v>
      </c>
      <c r="C79" t="s">
        <v>18</v>
      </c>
      <c r="D79" t="s">
        <v>4</v>
      </c>
      <c r="E79" t="s">
        <v>9</v>
      </c>
      <c r="F79" s="6"/>
      <c r="G79" t="s">
        <v>20</v>
      </c>
      <c r="H79" t="s">
        <v>64</v>
      </c>
    </row>
    <row r="80" spans="1:8" x14ac:dyDescent="0.2">
      <c r="A80" t="s">
        <v>78</v>
      </c>
      <c r="B80" s="7">
        <v>0.03</v>
      </c>
      <c r="C80" t="s">
        <v>18</v>
      </c>
      <c r="D80" t="s">
        <v>19</v>
      </c>
      <c r="E80" t="s">
        <v>9</v>
      </c>
      <c r="F80" s="6"/>
      <c r="G80" t="s">
        <v>20</v>
      </c>
      <c r="H80" t="s">
        <v>79</v>
      </c>
    </row>
    <row r="81" spans="1:8" x14ac:dyDescent="0.2">
      <c r="A81" t="s">
        <v>60</v>
      </c>
      <c r="B81" s="4">
        <v>5.2499999999999998E-2</v>
      </c>
      <c r="C81" t="s">
        <v>18</v>
      </c>
      <c r="D81" t="s">
        <v>19</v>
      </c>
      <c r="E81" t="s">
        <v>9</v>
      </c>
      <c r="G81" t="s">
        <v>20</v>
      </c>
      <c r="H81" t="s">
        <v>117</v>
      </c>
    </row>
    <row r="82" spans="1:8" x14ac:dyDescent="0.2">
      <c r="A82" t="s">
        <v>53</v>
      </c>
      <c r="B82" s="4">
        <v>1.78</v>
      </c>
      <c r="C82" t="s">
        <v>18</v>
      </c>
      <c r="D82" t="s">
        <v>42</v>
      </c>
      <c r="E82" t="s">
        <v>24</v>
      </c>
      <c r="G82" t="s">
        <v>20</v>
      </c>
      <c r="H82" t="s">
        <v>41</v>
      </c>
    </row>
    <row r="83" spans="1:8" x14ac:dyDescent="0.2">
      <c r="A83" s="2"/>
      <c r="B83" s="2"/>
      <c r="C83" s="3"/>
      <c r="D83" s="2"/>
      <c r="E83" s="2"/>
      <c r="F83" s="2"/>
      <c r="G83" s="2"/>
      <c r="H83" s="2"/>
    </row>
    <row r="84" spans="1:8" x14ac:dyDescent="0.2">
      <c r="A84" s="1" t="s">
        <v>0</v>
      </c>
      <c r="B84" s="1" t="s">
        <v>80</v>
      </c>
      <c r="C84" s="6"/>
      <c r="D84" s="6"/>
      <c r="E84" s="6"/>
      <c r="F84" s="6"/>
      <c r="G84" s="6"/>
      <c r="H84" s="6"/>
    </row>
    <row r="85" spans="1:8" x14ac:dyDescent="0.2">
      <c r="A85" s="6" t="s">
        <v>2</v>
      </c>
      <c r="B85" t="s">
        <v>81</v>
      </c>
      <c r="C85" s="6"/>
      <c r="D85" s="6"/>
      <c r="E85" s="6"/>
      <c r="F85" s="6"/>
      <c r="G85" s="6"/>
      <c r="H85" s="6"/>
    </row>
    <row r="86" spans="1:8" x14ac:dyDescent="0.2">
      <c r="A86" s="6" t="s">
        <v>3</v>
      </c>
      <c r="B86" t="s">
        <v>4</v>
      </c>
      <c r="C86" s="6"/>
      <c r="D86" s="6"/>
      <c r="E86" s="6"/>
      <c r="F86" s="6"/>
      <c r="G86" s="6"/>
      <c r="H86" s="6"/>
    </row>
    <row r="87" spans="1:8" x14ac:dyDescent="0.2">
      <c r="A87" s="6" t="s">
        <v>5</v>
      </c>
      <c r="B87" s="6">
        <v>1</v>
      </c>
      <c r="C87" s="6"/>
      <c r="D87" s="6"/>
      <c r="E87" s="6"/>
      <c r="F87" s="6"/>
      <c r="G87" s="6"/>
      <c r="H87" s="6"/>
    </row>
    <row r="88" spans="1:8" x14ac:dyDescent="0.2">
      <c r="A88" s="6" t="s">
        <v>6</v>
      </c>
      <c r="B88" t="s">
        <v>80</v>
      </c>
      <c r="C88" s="6"/>
      <c r="D88" s="6"/>
      <c r="E88" s="6"/>
      <c r="F88" s="6"/>
      <c r="G88" s="6"/>
      <c r="H88" s="6"/>
    </row>
    <row r="89" spans="1:8" x14ac:dyDescent="0.2">
      <c r="A89" s="6" t="s">
        <v>8</v>
      </c>
      <c r="B89" t="s">
        <v>9</v>
      </c>
      <c r="C89" s="6"/>
      <c r="D89" s="6"/>
      <c r="E89" s="6"/>
      <c r="F89" s="6"/>
      <c r="G89" s="6"/>
      <c r="H89" s="6"/>
    </row>
    <row r="90" spans="1:8" x14ac:dyDescent="0.2">
      <c r="A90" s="1" t="s">
        <v>10</v>
      </c>
      <c r="B90" s="6"/>
      <c r="C90" s="6"/>
      <c r="D90" s="6"/>
      <c r="E90" s="6"/>
      <c r="F90" s="6"/>
      <c r="G90" s="6"/>
      <c r="H90" s="6"/>
    </row>
    <row r="91" spans="1:8" x14ac:dyDescent="0.2">
      <c r="A91" s="6" t="s">
        <v>11</v>
      </c>
      <c r="B91" s="6" t="s">
        <v>12</v>
      </c>
      <c r="C91" s="6" t="s">
        <v>13</v>
      </c>
      <c r="D91" s="6" t="s">
        <v>3</v>
      </c>
      <c r="E91" s="6" t="s">
        <v>8</v>
      </c>
      <c r="F91" s="6" t="s">
        <v>14</v>
      </c>
      <c r="G91" s="6" t="s">
        <v>15</v>
      </c>
      <c r="H91" s="6" t="s">
        <v>6</v>
      </c>
    </row>
    <row r="92" spans="1:8" x14ac:dyDescent="0.2">
      <c r="A92" t="s">
        <v>80</v>
      </c>
      <c r="B92" s="7">
        <v>1</v>
      </c>
      <c r="C92" s="6" t="s">
        <v>16</v>
      </c>
      <c r="D92" t="s">
        <v>4</v>
      </c>
      <c r="E92" t="s">
        <v>9</v>
      </c>
      <c r="F92" s="6"/>
      <c r="G92" s="6" t="s">
        <v>17</v>
      </c>
      <c r="H92" t="s">
        <v>80</v>
      </c>
    </row>
    <row r="93" spans="1:8" x14ac:dyDescent="0.2">
      <c r="A93" t="s">
        <v>75</v>
      </c>
      <c r="B93" s="7">
        <v>0.2</v>
      </c>
      <c r="C93" t="s">
        <v>18</v>
      </c>
      <c r="D93" t="s">
        <v>4</v>
      </c>
      <c r="E93" t="s">
        <v>9</v>
      </c>
      <c r="F93" s="6"/>
      <c r="G93" t="s">
        <v>20</v>
      </c>
      <c r="H93" t="s">
        <v>25</v>
      </c>
    </row>
    <row r="94" spans="1:8" x14ac:dyDescent="0.2">
      <c r="A94" t="s">
        <v>60</v>
      </c>
      <c r="B94" s="4">
        <v>0.8</v>
      </c>
      <c r="C94" t="s">
        <v>18</v>
      </c>
      <c r="D94" t="s">
        <v>19</v>
      </c>
      <c r="E94" t="s">
        <v>9</v>
      </c>
      <c r="G94" t="s">
        <v>20</v>
      </c>
      <c r="H94" t="s">
        <v>117</v>
      </c>
    </row>
    <row r="95" spans="1:8" x14ac:dyDescent="0.2">
      <c r="A95" t="s">
        <v>53</v>
      </c>
      <c r="B95" s="4">
        <v>0.38800000000000001</v>
      </c>
      <c r="C95" t="s">
        <v>18</v>
      </c>
      <c r="D95" t="s">
        <v>42</v>
      </c>
      <c r="E95" t="s">
        <v>24</v>
      </c>
      <c r="G95" t="s">
        <v>20</v>
      </c>
      <c r="H95" t="s">
        <v>41</v>
      </c>
    </row>
    <row r="96" spans="1:8" x14ac:dyDescent="0.2">
      <c r="A96" s="2"/>
      <c r="B96" s="2"/>
      <c r="C96" s="3"/>
      <c r="D96" s="2"/>
      <c r="E96" s="2"/>
      <c r="F96" s="2"/>
      <c r="G96" s="2"/>
      <c r="H96" s="2"/>
    </row>
    <row r="97" spans="1:8" x14ac:dyDescent="0.2">
      <c r="A97" s="1" t="s">
        <v>0</v>
      </c>
      <c r="B97" s="1" t="s">
        <v>161</v>
      </c>
      <c r="C97" s="6"/>
      <c r="D97" s="6"/>
      <c r="E97" s="6"/>
      <c r="F97" s="6"/>
      <c r="G97" s="6"/>
      <c r="H97" s="6"/>
    </row>
    <row r="98" spans="1:8" x14ac:dyDescent="0.2">
      <c r="A98" s="6" t="s">
        <v>2</v>
      </c>
      <c r="B98" t="s">
        <v>82</v>
      </c>
      <c r="C98" s="6"/>
      <c r="D98" s="6"/>
      <c r="E98" s="6"/>
      <c r="F98" s="6"/>
      <c r="G98" s="6"/>
      <c r="H98" s="6"/>
    </row>
    <row r="99" spans="1:8" x14ac:dyDescent="0.2">
      <c r="A99" s="6" t="s">
        <v>3</v>
      </c>
      <c r="B99" t="s">
        <v>4</v>
      </c>
      <c r="C99" s="6"/>
      <c r="D99" s="6"/>
      <c r="E99" s="6"/>
      <c r="F99" s="6"/>
      <c r="G99" s="6"/>
      <c r="H99" s="6"/>
    </row>
    <row r="100" spans="1:8" x14ac:dyDescent="0.2">
      <c r="A100" s="6" t="s">
        <v>5</v>
      </c>
      <c r="B100" s="6">
        <v>1</v>
      </c>
      <c r="C100" s="6"/>
      <c r="D100" s="6"/>
      <c r="E100" s="6"/>
      <c r="F100" s="6"/>
      <c r="G100" s="6"/>
      <c r="H100" s="6"/>
    </row>
    <row r="101" spans="1:8" x14ac:dyDescent="0.2">
      <c r="A101" s="6" t="s">
        <v>6</v>
      </c>
      <c r="B101" t="s">
        <v>161</v>
      </c>
      <c r="C101" s="6"/>
      <c r="D101" s="6"/>
      <c r="E101" s="6"/>
      <c r="F101" s="6"/>
      <c r="G101" s="6"/>
      <c r="H101" s="6"/>
    </row>
    <row r="102" spans="1:8" x14ac:dyDescent="0.2">
      <c r="A102" s="6" t="s">
        <v>8</v>
      </c>
      <c r="B102" t="s">
        <v>9</v>
      </c>
      <c r="C102" s="6"/>
      <c r="D102" s="6"/>
      <c r="E102" s="6"/>
      <c r="F102" s="6"/>
      <c r="G102" s="6"/>
      <c r="H102" s="6"/>
    </row>
    <row r="103" spans="1:8" x14ac:dyDescent="0.2">
      <c r="A103" s="1" t="s">
        <v>10</v>
      </c>
      <c r="B103" s="6"/>
      <c r="C103" s="6"/>
      <c r="D103" s="6"/>
      <c r="E103" s="6"/>
      <c r="F103" s="6"/>
      <c r="G103" s="6"/>
      <c r="H103" s="6"/>
    </row>
    <row r="104" spans="1:8" x14ac:dyDescent="0.2">
      <c r="A104" s="6" t="s">
        <v>11</v>
      </c>
      <c r="B104" s="6" t="s">
        <v>12</v>
      </c>
      <c r="C104" s="6" t="s">
        <v>13</v>
      </c>
      <c r="D104" s="6" t="s">
        <v>3</v>
      </c>
      <c r="E104" s="6" t="s">
        <v>8</v>
      </c>
      <c r="F104" s="6" t="s">
        <v>14</v>
      </c>
      <c r="G104" s="6" t="s">
        <v>15</v>
      </c>
      <c r="H104" s="6" t="s">
        <v>6</v>
      </c>
    </row>
    <row r="105" spans="1:8" x14ac:dyDescent="0.2">
      <c r="A105" t="s">
        <v>161</v>
      </c>
      <c r="B105" s="7">
        <v>1</v>
      </c>
      <c r="C105" s="6" t="s">
        <v>16</v>
      </c>
      <c r="D105" t="s">
        <v>4</v>
      </c>
      <c r="E105" t="s">
        <v>9</v>
      </c>
      <c r="F105" s="6"/>
      <c r="G105" s="6" t="s">
        <v>17</v>
      </c>
      <c r="H105" t="s">
        <v>161</v>
      </c>
    </row>
    <row r="106" spans="1:8" x14ac:dyDescent="0.2">
      <c r="A106" t="s">
        <v>49</v>
      </c>
      <c r="B106" s="7">
        <v>9.6199999999999994E-2</v>
      </c>
      <c r="C106" s="6" t="s">
        <v>16</v>
      </c>
      <c r="D106" t="s">
        <v>4</v>
      </c>
      <c r="E106" t="s">
        <v>9</v>
      </c>
      <c r="F106" s="6"/>
      <c r="G106" t="s">
        <v>20</v>
      </c>
      <c r="H106" t="s">
        <v>49</v>
      </c>
    </row>
    <row r="107" spans="1:8" x14ac:dyDescent="0.2">
      <c r="A107" t="s">
        <v>54</v>
      </c>
      <c r="B107" s="7">
        <v>1.44E-2</v>
      </c>
      <c r="C107" s="6" t="s">
        <v>16</v>
      </c>
      <c r="D107" t="s">
        <v>4</v>
      </c>
      <c r="E107" t="s">
        <v>9</v>
      </c>
      <c r="F107" s="6"/>
      <c r="G107" t="s">
        <v>20</v>
      </c>
      <c r="H107" t="s">
        <v>54</v>
      </c>
    </row>
    <row r="108" spans="1:8" x14ac:dyDescent="0.2">
      <c r="A108" t="s">
        <v>61</v>
      </c>
      <c r="B108" s="7">
        <v>0.17899999999999999</v>
      </c>
      <c r="C108" s="6" t="s">
        <v>16</v>
      </c>
      <c r="D108" t="s">
        <v>4</v>
      </c>
      <c r="E108" t="s">
        <v>9</v>
      </c>
      <c r="F108" s="6"/>
      <c r="G108" t="s">
        <v>20</v>
      </c>
      <c r="H108" t="s">
        <v>61</v>
      </c>
    </row>
    <row r="109" spans="1:8" x14ac:dyDescent="0.2">
      <c r="A109" t="s">
        <v>69</v>
      </c>
      <c r="B109" s="7">
        <v>0.36099999999999999</v>
      </c>
      <c r="C109" s="6" t="s">
        <v>16</v>
      </c>
      <c r="D109" t="s">
        <v>4</v>
      </c>
      <c r="E109" t="s">
        <v>9</v>
      </c>
      <c r="F109" s="6"/>
      <c r="G109" t="s">
        <v>20</v>
      </c>
      <c r="H109" t="s">
        <v>69</v>
      </c>
    </row>
    <row r="110" spans="1:8" x14ac:dyDescent="0.2">
      <c r="A110" t="s">
        <v>73</v>
      </c>
      <c r="B110" s="7">
        <v>4.5999999999999999E-2</v>
      </c>
      <c r="C110" s="6" t="s">
        <v>16</v>
      </c>
      <c r="D110" t="s">
        <v>4</v>
      </c>
      <c r="E110" t="s">
        <v>9</v>
      </c>
      <c r="F110" s="6"/>
      <c r="G110" t="s">
        <v>20</v>
      </c>
      <c r="H110" t="s">
        <v>73</v>
      </c>
    </row>
    <row r="111" spans="1:8" x14ac:dyDescent="0.2">
      <c r="A111" t="s">
        <v>76</v>
      </c>
      <c r="B111" s="7">
        <v>0.17</v>
      </c>
      <c r="C111" s="6" t="s">
        <v>16</v>
      </c>
      <c r="D111" t="s">
        <v>4</v>
      </c>
      <c r="E111" t="s">
        <v>9</v>
      </c>
      <c r="F111" s="6"/>
      <c r="G111" t="s">
        <v>20</v>
      </c>
      <c r="H111" t="s">
        <v>76</v>
      </c>
    </row>
    <row r="112" spans="1:8" x14ac:dyDescent="0.2">
      <c r="A112" t="s">
        <v>80</v>
      </c>
      <c r="B112" s="7">
        <v>0.13300000000000001</v>
      </c>
      <c r="C112" s="6" t="s">
        <v>16</v>
      </c>
      <c r="D112" t="s">
        <v>4</v>
      </c>
      <c r="E112" t="s">
        <v>9</v>
      </c>
      <c r="F112" s="6"/>
      <c r="G112" t="s">
        <v>20</v>
      </c>
      <c r="H112" t="s">
        <v>80</v>
      </c>
    </row>
    <row r="113" spans="1:8" x14ac:dyDescent="0.2">
      <c r="A113" s="2"/>
      <c r="B113" s="2"/>
      <c r="C113" s="3"/>
      <c r="D113" s="2"/>
      <c r="E113" s="2"/>
      <c r="F113" s="2"/>
      <c r="G113" s="2"/>
      <c r="H113" s="2"/>
    </row>
    <row r="114" spans="1:8" x14ac:dyDescent="0.2">
      <c r="A114" s="1" t="s">
        <v>0</v>
      </c>
      <c r="B114" s="1" t="s">
        <v>83</v>
      </c>
      <c r="C114" s="6"/>
      <c r="D114" s="6"/>
      <c r="E114" s="6"/>
      <c r="F114" s="6"/>
      <c r="G114" s="6"/>
      <c r="H114" s="6"/>
    </row>
    <row r="115" spans="1:8" x14ac:dyDescent="0.2">
      <c r="A115" s="6" t="s">
        <v>2</v>
      </c>
      <c r="B115" t="s">
        <v>84</v>
      </c>
      <c r="C115" s="6"/>
      <c r="D115" s="6"/>
      <c r="E115" s="6"/>
      <c r="F115" s="6"/>
      <c r="G115" s="6"/>
      <c r="H115" s="6"/>
    </row>
    <row r="116" spans="1:8" x14ac:dyDescent="0.2">
      <c r="A116" s="6" t="s">
        <v>3</v>
      </c>
      <c r="B116" t="s">
        <v>4</v>
      </c>
      <c r="C116" s="6"/>
      <c r="D116" s="6"/>
      <c r="E116" s="6"/>
      <c r="F116" s="6"/>
      <c r="G116" s="6"/>
      <c r="H116" s="6"/>
    </row>
    <row r="117" spans="1:8" x14ac:dyDescent="0.2">
      <c r="A117" s="6" t="s">
        <v>5</v>
      </c>
      <c r="B117" s="6">
        <v>1</v>
      </c>
      <c r="C117" s="6"/>
      <c r="D117" s="6"/>
      <c r="E117" s="6"/>
      <c r="F117" s="6"/>
      <c r="G117" s="6"/>
      <c r="H117" s="6"/>
    </row>
    <row r="118" spans="1:8" x14ac:dyDescent="0.2">
      <c r="A118" s="6" t="s">
        <v>6</v>
      </c>
      <c r="B118" t="s">
        <v>85</v>
      </c>
      <c r="C118" s="6"/>
      <c r="D118" s="6"/>
      <c r="E118" s="6"/>
      <c r="F118" s="6"/>
      <c r="G118" s="6"/>
      <c r="H118" s="6"/>
    </row>
    <row r="119" spans="1:8" x14ac:dyDescent="0.2">
      <c r="A119" s="6" t="s">
        <v>8</v>
      </c>
      <c r="B119" t="s">
        <v>9</v>
      </c>
      <c r="C119" s="6"/>
      <c r="D119" s="6"/>
      <c r="E119" s="6"/>
      <c r="F119" s="6"/>
      <c r="G119" s="6"/>
      <c r="H119" s="6"/>
    </row>
    <row r="120" spans="1:8" x14ac:dyDescent="0.2">
      <c r="A120" s="1" t="s">
        <v>10</v>
      </c>
      <c r="B120" s="6"/>
      <c r="C120" s="6"/>
      <c r="D120" s="6"/>
      <c r="E120" s="6"/>
      <c r="F120" s="6"/>
      <c r="G120" s="6"/>
      <c r="H120" s="6"/>
    </row>
    <row r="121" spans="1:8" x14ac:dyDescent="0.2">
      <c r="A121" s="6" t="s">
        <v>11</v>
      </c>
      <c r="B121" s="6" t="s">
        <v>12</v>
      </c>
      <c r="C121" s="6" t="s">
        <v>13</v>
      </c>
      <c r="D121" s="6" t="s">
        <v>3</v>
      </c>
      <c r="E121" s="6" t="s">
        <v>8</v>
      </c>
      <c r="F121" s="6" t="s">
        <v>14</v>
      </c>
      <c r="G121" s="6" t="s">
        <v>15</v>
      </c>
      <c r="H121" s="6" t="s">
        <v>6</v>
      </c>
    </row>
    <row r="122" spans="1:8" x14ac:dyDescent="0.2">
      <c r="A122" t="s">
        <v>83</v>
      </c>
      <c r="B122" s="7">
        <v>1</v>
      </c>
      <c r="C122" s="6" t="s">
        <v>16</v>
      </c>
      <c r="D122" t="s">
        <v>4</v>
      </c>
      <c r="E122" t="s">
        <v>9</v>
      </c>
      <c r="F122" s="6"/>
      <c r="G122" s="6" t="s">
        <v>17</v>
      </c>
      <c r="H122" t="s">
        <v>85</v>
      </c>
    </row>
    <row r="123" spans="1:8" x14ac:dyDescent="0.2">
      <c r="A123" t="s">
        <v>86</v>
      </c>
      <c r="B123" s="7">
        <f>1.5/1000</f>
        <v>1.5E-3</v>
      </c>
      <c r="C123" t="s">
        <v>18</v>
      </c>
      <c r="D123" t="s">
        <v>4</v>
      </c>
      <c r="E123" t="s">
        <v>9</v>
      </c>
      <c r="F123" s="6"/>
      <c r="G123" t="s">
        <v>20</v>
      </c>
      <c r="H123" t="s">
        <v>87</v>
      </c>
    </row>
    <row r="124" spans="1:8" x14ac:dyDescent="0.2">
      <c r="A124" t="s">
        <v>46</v>
      </c>
      <c r="B124" s="7">
        <f>3.5/1000</f>
        <v>3.5000000000000001E-3</v>
      </c>
      <c r="C124" t="s">
        <v>18</v>
      </c>
      <c r="D124" t="s">
        <v>19</v>
      </c>
      <c r="E124" t="s">
        <v>9</v>
      </c>
      <c r="F124" s="6"/>
      <c r="G124" t="s">
        <v>20</v>
      </c>
      <c r="H124" t="s">
        <v>26</v>
      </c>
    </row>
    <row r="125" spans="1:8" x14ac:dyDescent="0.2">
      <c r="A125" t="s">
        <v>88</v>
      </c>
      <c r="B125" s="11">
        <f>0.13/1000</f>
        <v>1.3000000000000002E-4</v>
      </c>
      <c r="C125" t="s">
        <v>18</v>
      </c>
      <c r="D125" t="s">
        <v>4</v>
      </c>
      <c r="E125" t="s">
        <v>9</v>
      </c>
      <c r="F125" s="6"/>
      <c r="G125" t="s">
        <v>20</v>
      </c>
      <c r="H125" t="s">
        <v>89</v>
      </c>
    </row>
    <row r="126" spans="1:8" x14ac:dyDescent="0.2">
      <c r="A126" t="s">
        <v>90</v>
      </c>
      <c r="B126" s="11">
        <f>0.075/1000</f>
        <v>7.4999999999999993E-5</v>
      </c>
      <c r="C126" t="s">
        <v>18</v>
      </c>
      <c r="D126" t="s">
        <v>4</v>
      </c>
      <c r="E126" t="s">
        <v>9</v>
      </c>
      <c r="F126" s="6"/>
      <c r="G126" t="s">
        <v>20</v>
      </c>
      <c r="H126" t="s">
        <v>91</v>
      </c>
    </row>
    <row r="127" spans="1:8" x14ac:dyDescent="0.2">
      <c r="A127" t="s">
        <v>35</v>
      </c>
      <c r="B127" s="13">
        <f>0.21/1000</f>
        <v>2.0999999999999998E-4</v>
      </c>
      <c r="C127" t="s">
        <v>30</v>
      </c>
      <c r="E127" t="s">
        <v>9</v>
      </c>
      <c r="F127" t="s">
        <v>39</v>
      </c>
      <c r="G127" t="s">
        <v>31</v>
      </c>
    </row>
    <row r="128" spans="1:8" x14ac:dyDescent="0.2">
      <c r="A128" t="s">
        <v>92</v>
      </c>
      <c r="B128" s="13">
        <f>0.0305/1000</f>
        <v>3.0499999999999999E-5</v>
      </c>
      <c r="C128" t="s">
        <v>30</v>
      </c>
      <c r="E128" t="s">
        <v>9</v>
      </c>
      <c r="F128" t="s">
        <v>39</v>
      </c>
      <c r="G128" t="s">
        <v>31</v>
      </c>
    </row>
    <row r="129" spans="1:11" x14ac:dyDescent="0.2">
      <c r="A129" t="s">
        <v>93</v>
      </c>
      <c r="B129" s="4">
        <f>-2.45/1000</f>
        <v>-2.4500000000000004E-3</v>
      </c>
      <c r="C129" t="s">
        <v>18</v>
      </c>
      <c r="D129" t="s">
        <v>19</v>
      </c>
      <c r="E129" t="s">
        <v>9</v>
      </c>
      <c r="G129" t="s">
        <v>20</v>
      </c>
      <c r="H129" t="s">
        <v>94</v>
      </c>
    </row>
    <row r="130" spans="1:11" x14ac:dyDescent="0.2">
      <c r="A130" s="2"/>
      <c r="B130" s="2"/>
      <c r="C130" s="3"/>
      <c r="D130" s="2"/>
      <c r="E130" s="2"/>
      <c r="F130" s="2"/>
      <c r="G130" s="2"/>
      <c r="H130" s="2"/>
    </row>
    <row r="131" spans="1:11" x14ac:dyDescent="0.2">
      <c r="A131" s="1" t="s">
        <v>0</v>
      </c>
      <c r="B131" s="1" t="s">
        <v>95</v>
      </c>
      <c r="C131" s="6"/>
      <c r="D131" s="6"/>
      <c r="E131" s="6"/>
      <c r="F131" s="6"/>
      <c r="G131" s="6"/>
      <c r="H131" s="6"/>
    </row>
    <row r="132" spans="1:11" x14ac:dyDescent="0.2">
      <c r="A132" s="6" t="s">
        <v>2</v>
      </c>
      <c r="B132" t="s">
        <v>96</v>
      </c>
      <c r="C132" s="6"/>
      <c r="D132" s="6"/>
      <c r="E132" s="6"/>
      <c r="F132" s="6"/>
      <c r="G132" s="6"/>
      <c r="H132" s="6"/>
    </row>
    <row r="133" spans="1:11" x14ac:dyDescent="0.2">
      <c r="A133" s="6" t="s">
        <v>3</v>
      </c>
      <c r="B133" t="s">
        <v>4</v>
      </c>
      <c r="C133" s="6"/>
      <c r="D133" s="6"/>
      <c r="E133" s="6"/>
      <c r="F133" s="6"/>
      <c r="G133" s="6"/>
      <c r="H133" s="6"/>
    </row>
    <row r="134" spans="1:11" x14ac:dyDescent="0.2">
      <c r="A134" s="6" t="s">
        <v>5</v>
      </c>
      <c r="B134" s="6">
        <v>1</v>
      </c>
      <c r="C134" s="6"/>
      <c r="D134" s="6"/>
      <c r="E134" s="6"/>
      <c r="F134" s="6"/>
      <c r="G134" s="6"/>
      <c r="H134" s="6"/>
    </row>
    <row r="135" spans="1:11" x14ac:dyDescent="0.2">
      <c r="A135" s="6" t="s">
        <v>6</v>
      </c>
      <c r="B135" t="s">
        <v>97</v>
      </c>
      <c r="C135" s="6"/>
      <c r="D135" s="6"/>
      <c r="E135" s="6"/>
      <c r="F135" s="6"/>
      <c r="G135" s="6"/>
      <c r="H135" s="6"/>
    </row>
    <row r="136" spans="1:11" x14ac:dyDescent="0.2">
      <c r="A136" s="6" t="s">
        <v>8</v>
      </c>
      <c r="B136" t="s">
        <v>23</v>
      </c>
      <c r="C136" s="6"/>
      <c r="D136" s="6"/>
      <c r="E136" s="6"/>
      <c r="F136" s="6"/>
      <c r="G136" s="6"/>
      <c r="H136" s="6"/>
    </row>
    <row r="137" spans="1:11" x14ac:dyDescent="0.2">
      <c r="A137" s="1" t="s">
        <v>10</v>
      </c>
      <c r="B137" s="6"/>
      <c r="C137" s="6"/>
      <c r="D137" s="6"/>
      <c r="E137" s="6"/>
      <c r="F137" s="6"/>
      <c r="G137" s="6"/>
      <c r="H137" s="6"/>
    </row>
    <row r="138" spans="1:11" x14ac:dyDescent="0.2">
      <c r="A138" s="6" t="s">
        <v>11</v>
      </c>
      <c r="B138" s="6" t="s">
        <v>12</v>
      </c>
      <c r="C138" s="6" t="s">
        <v>13</v>
      </c>
      <c r="D138" s="6" t="s">
        <v>3</v>
      </c>
      <c r="E138" s="6" t="s">
        <v>8</v>
      </c>
      <c r="F138" s="6" t="s">
        <v>14</v>
      </c>
      <c r="G138" s="6" t="s">
        <v>15</v>
      </c>
      <c r="H138" s="6" t="s">
        <v>6</v>
      </c>
    </row>
    <row r="139" spans="1:11" x14ac:dyDescent="0.2">
      <c r="A139" t="s">
        <v>95</v>
      </c>
      <c r="B139" s="7">
        <v>1</v>
      </c>
      <c r="C139" s="6" t="s">
        <v>16</v>
      </c>
      <c r="D139" t="s">
        <v>4</v>
      </c>
      <c r="E139" t="s">
        <v>23</v>
      </c>
      <c r="F139" s="6"/>
      <c r="G139" s="6" t="s">
        <v>17</v>
      </c>
      <c r="H139" t="s">
        <v>97</v>
      </c>
    </row>
    <row r="140" spans="1:11" x14ac:dyDescent="0.2">
      <c r="A140" t="s">
        <v>98</v>
      </c>
      <c r="B140" s="11">
        <v>9.9999999999999995E-7</v>
      </c>
      <c r="C140" t="s">
        <v>30</v>
      </c>
      <c r="E140" t="s">
        <v>9</v>
      </c>
      <c r="F140" t="s">
        <v>39</v>
      </c>
      <c r="G140" t="s">
        <v>31</v>
      </c>
      <c r="K140" s="12"/>
    </row>
    <row r="141" spans="1:11" x14ac:dyDescent="0.2">
      <c r="A141" t="s">
        <v>37</v>
      </c>
      <c r="B141" s="11">
        <v>6.3E-5</v>
      </c>
      <c r="C141" t="s">
        <v>30</v>
      </c>
      <c r="E141" t="s">
        <v>9</v>
      </c>
      <c r="F141" t="s">
        <v>39</v>
      </c>
      <c r="G141" t="s">
        <v>31</v>
      </c>
      <c r="K141" s="12"/>
    </row>
    <row r="142" spans="1:11" x14ac:dyDescent="0.2">
      <c r="A142" t="s">
        <v>99</v>
      </c>
      <c r="B142" s="11">
        <v>3.93E-5</v>
      </c>
      <c r="C142" t="s">
        <v>30</v>
      </c>
      <c r="E142" t="s">
        <v>9</v>
      </c>
      <c r="F142" t="s">
        <v>39</v>
      </c>
      <c r="G142" t="s">
        <v>31</v>
      </c>
      <c r="K142" s="12"/>
    </row>
    <row r="143" spans="1:11" x14ac:dyDescent="0.2">
      <c r="A143" t="s">
        <v>100</v>
      </c>
      <c r="B143" s="11">
        <v>2.5799999999999999E-6</v>
      </c>
      <c r="C143" t="s">
        <v>30</v>
      </c>
      <c r="E143" t="s">
        <v>9</v>
      </c>
      <c r="F143" t="s">
        <v>39</v>
      </c>
      <c r="G143" t="s">
        <v>31</v>
      </c>
      <c r="K143" s="12"/>
    </row>
    <row r="144" spans="1:11" x14ac:dyDescent="0.2">
      <c r="A144" t="s">
        <v>101</v>
      </c>
      <c r="B144" s="11">
        <v>2.8099999999999999E-7</v>
      </c>
      <c r="C144" t="s">
        <v>30</v>
      </c>
      <c r="E144" t="s">
        <v>9</v>
      </c>
      <c r="F144" t="s">
        <v>39</v>
      </c>
      <c r="G144" t="s">
        <v>31</v>
      </c>
      <c r="K144" s="12"/>
    </row>
    <row r="145" spans="1:11" x14ac:dyDescent="0.2">
      <c r="A145" t="s">
        <v>102</v>
      </c>
      <c r="B145" s="11">
        <v>8.8999999999999995E-7</v>
      </c>
      <c r="C145" t="s">
        <v>30</v>
      </c>
      <c r="E145" t="s">
        <v>9</v>
      </c>
      <c r="F145" t="s">
        <v>39</v>
      </c>
      <c r="G145" t="s">
        <v>31</v>
      </c>
      <c r="K145" s="12"/>
    </row>
    <row r="146" spans="1:11" x14ac:dyDescent="0.2">
      <c r="A146" t="s">
        <v>103</v>
      </c>
      <c r="B146" s="11">
        <v>8.8999999999999995E-7</v>
      </c>
      <c r="C146" t="s">
        <v>30</v>
      </c>
      <c r="E146" t="s">
        <v>9</v>
      </c>
      <c r="F146" t="s">
        <v>39</v>
      </c>
      <c r="G146" t="s">
        <v>31</v>
      </c>
      <c r="K146" s="12"/>
    </row>
    <row r="147" spans="1:11" x14ac:dyDescent="0.2">
      <c r="A147" t="s">
        <v>104</v>
      </c>
      <c r="B147" s="11">
        <v>1.5000000000000001E-12</v>
      </c>
      <c r="C147" t="s">
        <v>30</v>
      </c>
      <c r="E147" t="s">
        <v>9</v>
      </c>
      <c r="F147" t="s">
        <v>39</v>
      </c>
      <c r="G147" t="s">
        <v>31</v>
      </c>
      <c r="K147" s="12"/>
    </row>
    <row r="148" spans="1:11" x14ac:dyDescent="0.2">
      <c r="A148" t="s">
        <v>105</v>
      </c>
      <c r="B148" s="11">
        <v>2.4999999999999999E-13</v>
      </c>
      <c r="C148" t="s">
        <v>30</v>
      </c>
      <c r="E148" t="s">
        <v>9</v>
      </c>
      <c r="F148" t="s">
        <v>39</v>
      </c>
      <c r="G148" t="s">
        <v>31</v>
      </c>
      <c r="K148" s="12"/>
    </row>
    <row r="149" spans="1:11" x14ac:dyDescent="0.2">
      <c r="A149" t="s">
        <v>106</v>
      </c>
      <c r="B149" s="11">
        <v>9.9999999999999991E-11</v>
      </c>
      <c r="C149" t="s">
        <v>30</v>
      </c>
      <c r="E149" t="s">
        <v>9</v>
      </c>
      <c r="F149" t="s">
        <v>39</v>
      </c>
      <c r="G149" t="s">
        <v>31</v>
      </c>
      <c r="K149" s="12"/>
    </row>
    <row r="150" spans="1:11" x14ac:dyDescent="0.2">
      <c r="A150" t="s">
        <v>107</v>
      </c>
      <c r="B150" s="11">
        <v>1.2E-10</v>
      </c>
      <c r="C150" t="s">
        <v>30</v>
      </c>
      <c r="E150" t="s">
        <v>9</v>
      </c>
      <c r="F150" t="s">
        <v>39</v>
      </c>
      <c r="G150" t="s">
        <v>31</v>
      </c>
      <c r="K150" s="12"/>
    </row>
    <row r="151" spans="1:11" x14ac:dyDescent="0.2">
      <c r="A151" t="s">
        <v>108</v>
      </c>
      <c r="B151" s="11">
        <v>7.5999999999999999E-13</v>
      </c>
      <c r="C151" t="s">
        <v>30</v>
      </c>
      <c r="E151" t="s">
        <v>9</v>
      </c>
      <c r="F151" t="s">
        <v>39</v>
      </c>
      <c r="G151" t="s">
        <v>31</v>
      </c>
      <c r="K151" s="12"/>
    </row>
    <row r="152" spans="1:11" x14ac:dyDescent="0.2">
      <c r="A152" t="s">
        <v>109</v>
      </c>
      <c r="B152" s="11">
        <v>7.5999999999999992E-14</v>
      </c>
      <c r="C152" t="s">
        <v>30</v>
      </c>
      <c r="E152" t="s">
        <v>9</v>
      </c>
      <c r="F152" t="s">
        <v>39</v>
      </c>
      <c r="G152" t="s">
        <v>31</v>
      </c>
      <c r="K152" s="12"/>
    </row>
    <row r="153" spans="1:11" x14ac:dyDescent="0.2">
      <c r="A153" t="s">
        <v>110</v>
      </c>
      <c r="B153" s="11">
        <v>5.0999999999999995E-13</v>
      </c>
      <c r="C153" t="s">
        <v>30</v>
      </c>
      <c r="E153" t="s">
        <v>9</v>
      </c>
      <c r="F153" t="s">
        <v>39</v>
      </c>
      <c r="G153" t="s">
        <v>31</v>
      </c>
      <c r="K153" s="12"/>
    </row>
    <row r="154" spans="1:11" x14ac:dyDescent="0.2">
      <c r="A154" t="s">
        <v>111</v>
      </c>
      <c r="B154" s="11">
        <v>1.1199999999999999E-11</v>
      </c>
      <c r="C154" t="s">
        <v>30</v>
      </c>
      <c r="E154" t="s">
        <v>9</v>
      </c>
      <c r="F154" t="s">
        <v>39</v>
      </c>
      <c r="G154" t="s">
        <v>31</v>
      </c>
      <c r="K154" s="12"/>
    </row>
    <row r="155" spans="1:11" x14ac:dyDescent="0.2">
      <c r="A155" t="s">
        <v>112</v>
      </c>
      <c r="B155" s="11">
        <v>1.5000000000000001E-12</v>
      </c>
      <c r="C155" t="s">
        <v>30</v>
      </c>
      <c r="E155" t="s">
        <v>9</v>
      </c>
      <c r="F155" t="s">
        <v>39</v>
      </c>
      <c r="G155" t="s">
        <v>31</v>
      </c>
      <c r="K155" s="12"/>
    </row>
    <row r="156" spans="1:11" x14ac:dyDescent="0.2">
      <c r="A156" t="s">
        <v>113</v>
      </c>
      <c r="B156" s="11">
        <v>5.6000000000000004E-13</v>
      </c>
      <c r="C156" t="s">
        <v>30</v>
      </c>
      <c r="E156" t="s">
        <v>9</v>
      </c>
      <c r="F156" t="s">
        <v>39</v>
      </c>
      <c r="G156" t="s">
        <v>31</v>
      </c>
      <c r="K156" s="12"/>
    </row>
    <row r="157" spans="1:11" x14ac:dyDescent="0.2">
      <c r="A157" t="s">
        <v>114</v>
      </c>
      <c r="B157" s="11">
        <v>8.3999999999999995E-13</v>
      </c>
      <c r="C157" t="s">
        <v>30</v>
      </c>
      <c r="E157" t="s">
        <v>9</v>
      </c>
      <c r="F157" t="s">
        <v>39</v>
      </c>
      <c r="G157" t="s">
        <v>31</v>
      </c>
      <c r="K157" s="12"/>
    </row>
    <row r="158" spans="1:11" x14ac:dyDescent="0.2">
      <c r="A158" t="s">
        <v>115</v>
      </c>
      <c r="B158" s="11">
        <v>8.3999999999999995E-13</v>
      </c>
      <c r="C158" t="s">
        <v>30</v>
      </c>
      <c r="E158" t="s">
        <v>9</v>
      </c>
      <c r="F158" t="s">
        <v>39</v>
      </c>
      <c r="G158" t="s">
        <v>31</v>
      </c>
      <c r="K158" s="12"/>
    </row>
    <row r="159" spans="1:11" x14ac:dyDescent="0.2">
      <c r="A159" t="s">
        <v>116</v>
      </c>
      <c r="B159" s="11">
        <v>8.3999999999999995E-13</v>
      </c>
      <c r="C159" t="s">
        <v>30</v>
      </c>
      <c r="E159" t="s">
        <v>9</v>
      </c>
      <c r="F159" t="s">
        <v>39</v>
      </c>
      <c r="G159" t="s">
        <v>31</v>
      </c>
      <c r="K159" s="12"/>
    </row>
    <row r="160" spans="1:11" x14ac:dyDescent="0.2">
      <c r="A160" s="2"/>
      <c r="B160" s="2"/>
      <c r="C160" s="3"/>
      <c r="D160" s="2"/>
      <c r="E160" s="2"/>
      <c r="F160" s="2"/>
      <c r="G160" s="2"/>
      <c r="H160" s="2"/>
    </row>
    <row r="161" spans="1:11" x14ac:dyDescent="0.2">
      <c r="A161" s="1" t="s">
        <v>0</v>
      </c>
      <c r="B161" s="1" t="s">
        <v>120</v>
      </c>
      <c r="C161" s="6"/>
      <c r="D161" s="6"/>
      <c r="E161" s="6"/>
      <c r="F161" s="6"/>
      <c r="G161" s="6"/>
      <c r="H161" s="6"/>
      <c r="I161" s="6"/>
    </row>
    <row r="162" spans="1:11" x14ac:dyDescent="0.2">
      <c r="A162" s="6" t="s">
        <v>2</v>
      </c>
      <c r="B162" t="s">
        <v>154</v>
      </c>
      <c r="C162" s="6"/>
      <c r="D162" s="6"/>
      <c r="E162" s="6"/>
      <c r="F162" s="6"/>
      <c r="G162" s="6"/>
      <c r="H162" s="6"/>
      <c r="I162" s="6"/>
    </row>
    <row r="163" spans="1:11" x14ac:dyDescent="0.2">
      <c r="A163" s="6" t="s">
        <v>3</v>
      </c>
      <c r="B163" t="s">
        <v>4</v>
      </c>
      <c r="C163" s="6"/>
      <c r="D163" s="6"/>
      <c r="E163" s="6"/>
      <c r="F163" s="6"/>
      <c r="G163" s="6"/>
      <c r="H163" s="6"/>
      <c r="I163" s="6"/>
    </row>
    <row r="164" spans="1:11" x14ac:dyDescent="0.2">
      <c r="A164" s="6" t="s">
        <v>5</v>
      </c>
      <c r="B164" s="6">
        <v>1</v>
      </c>
      <c r="C164" s="6"/>
      <c r="D164" s="6"/>
      <c r="E164" s="6"/>
      <c r="F164" s="6"/>
      <c r="G164" s="6"/>
      <c r="H164" s="6"/>
      <c r="I164" s="6"/>
    </row>
    <row r="165" spans="1:11" x14ac:dyDescent="0.2">
      <c r="A165" s="6" t="s">
        <v>6</v>
      </c>
      <c r="B165" s="6" t="s">
        <v>121</v>
      </c>
      <c r="C165" s="6"/>
      <c r="D165" s="6"/>
      <c r="E165" s="6"/>
      <c r="F165" s="6"/>
      <c r="G165" s="6"/>
      <c r="H165" s="6"/>
      <c r="I165" s="6"/>
    </row>
    <row r="166" spans="1:11" x14ac:dyDescent="0.2">
      <c r="A166" s="6" t="s">
        <v>8</v>
      </c>
      <c r="B166" s="6" t="s">
        <v>9</v>
      </c>
      <c r="C166" s="6"/>
      <c r="D166" s="6"/>
      <c r="E166" s="6"/>
      <c r="F166" s="6"/>
      <c r="G166" s="6"/>
      <c r="H166" s="6"/>
      <c r="I166" s="6"/>
    </row>
    <row r="167" spans="1:11" x14ac:dyDescent="0.2">
      <c r="A167" s="1" t="s">
        <v>10</v>
      </c>
      <c r="B167" s="6"/>
      <c r="C167" s="6"/>
      <c r="D167" s="6"/>
      <c r="E167" s="6"/>
      <c r="F167" s="6"/>
      <c r="G167" s="6"/>
      <c r="H167" s="6"/>
      <c r="I167" s="6"/>
    </row>
    <row r="168" spans="1:11" x14ac:dyDescent="0.2">
      <c r="A168" s="6" t="s">
        <v>11</v>
      </c>
      <c r="B168" s="6" t="s">
        <v>12</v>
      </c>
      <c r="C168" s="6" t="s">
        <v>13</v>
      </c>
      <c r="D168" s="6" t="s">
        <v>3</v>
      </c>
      <c r="E168" s="6" t="s">
        <v>8</v>
      </c>
      <c r="F168" s="6" t="s">
        <v>14</v>
      </c>
      <c r="G168" s="6" t="s">
        <v>15</v>
      </c>
      <c r="H168" s="6" t="s">
        <v>6</v>
      </c>
      <c r="I168" s="6"/>
    </row>
    <row r="169" spans="1:11" x14ac:dyDescent="0.2">
      <c r="A169" s="6" t="s">
        <v>29</v>
      </c>
      <c r="B169" s="7">
        <v>0</v>
      </c>
      <c r="C169" s="6" t="s">
        <v>30</v>
      </c>
      <c r="D169" s="6"/>
      <c r="E169" s="6" t="s">
        <v>9</v>
      </c>
      <c r="F169" s="6" t="s">
        <v>39</v>
      </c>
      <c r="G169" s="6" t="s">
        <v>31</v>
      </c>
      <c r="H169" s="6"/>
      <c r="I169" s="6"/>
    </row>
    <row r="170" spans="1:11" x14ac:dyDescent="0.2">
      <c r="A170" s="6" t="s">
        <v>122</v>
      </c>
      <c r="B170" s="11">
        <v>1.4039999999999999E-5</v>
      </c>
      <c r="C170" s="6" t="s">
        <v>30</v>
      </c>
      <c r="D170" s="6"/>
      <c r="E170" s="6" t="s">
        <v>123</v>
      </c>
      <c r="F170" s="6" t="s">
        <v>124</v>
      </c>
      <c r="G170" s="6" t="s">
        <v>31</v>
      </c>
      <c r="H170" s="6"/>
      <c r="I170" s="6"/>
      <c r="K170" s="12"/>
    </row>
    <row r="171" spans="1:11" x14ac:dyDescent="0.2">
      <c r="A171" s="6" t="s">
        <v>125</v>
      </c>
      <c r="B171" s="7">
        <v>1.155E-2</v>
      </c>
      <c r="C171" s="6" t="s">
        <v>30</v>
      </c>
      <c r="D171" s="6"/>
      <c r="E171" s="6" t="s">
        <v>9</v>
      </c>
      <c r="F171" s="6" t="s">
        <v>126</v>
      </c>
      <c r="G171" s="6" t="s">
        <v>31</v>
      </c>
      <c r="H171" s="6"/>
      <c r="I171" s="6"/>
      <c r="K171" s="12"/>
    </row>
    <row r="172" spans="1:11" x14ac:dyDescent="0.2">
      <c r="A172" s="6" t="s">
        <v>127</v>
      </c>
      <c r="B172" s="11">
        <v>8.5109999999999986E-6</v>
      </c>
      <c r="C172" s="6" t="s">
        <v>30</v>
      </c>
      <c r="D172" s="6"/>
      <c r="E172" s="6" t="s">
        <v>128</v>
      </c>
      <c r="F172" s="6" t="s">
        <v>124</v>
      </c>
      <c r="G172" s="6" t="s">
        <v>31</v>
      </c>
      <c r="H172" s="6"/>
      <c r="I172" s="6"/>
      <c r="K172" s="12"/>
    </row>
    <row r="173" spans="1:11" x14ac:dyDescent="0.2">
      <c r="A173" s="6" t="s">
        <v>129</v>
      </c>
      <c r="B173" s="11">
        <v>8.5109999999999986E-6</v>
      </c>
      <c r="C173" s="6" t="s">
        <v>30</v>
      </c>
      <c r="D173" s="6"/>
      <c r="E173" s="6" t="s">
        <v>128</v>
      </c>
      <c r="F173" s="6" t="s">
        <v>124</v>
      </c>
      <c r="G173" s="6" t="s">
        <v>31</v>
      </c>
      <c r="H173" s="6"/>
      <c r="I173" s="6"/>
      <c r="K173" s="12"/>
    </row>
    <row r="174" spans="1:11" x14ac:dyDescent="0.2">
      <c r="A174" s="6" t="s">
        <v>120</v>
      </c>
      <c r="B174" s="7">
        <v>1</v>
      </c>
      <c r="C174" s="6" t="s">
        <v>16</v>
      </c>
      <c r="D174" t="s">
        <v>4</v>
      </c>
      <c r="E174" s="6" t="s">
        <v>9</v>
      </c>
      <c r="F174" s="6"/>
      <c r="G174" s="6" t="s">
        <v>17</v>
      </c>
      <c r="H174" s="6" t="s">
        <v>121</v>
      </c>
      <c r="I174" s="6"/>
      <c r="K174" s="12"/>
    </row>
    <row r="175" spans="1:11" x14ac:dyDescent="0.2">
      <c r="A175" s="6" t="s">
        <v>130</v>
      </c>
      <c r="B175" s="11">
        <v>9.8720000000000014E-6</v>
      </c>
      <c r="C175" s="6" t="s">
        <v>18</v>
      </c>
      <c r="D175" s="6" t="s">
        <v>19</v>
      </c>
      <c r="E175" s="6" t="s">
        <v>9</v>
      </c>
      <c r="F175" s="6"/>
      <c r="G175" s="6" t="s">
        <v>20</v>
      </c>
      <c r="H175" s="6" t="s">
        <v>131</v>
      </c>
      <c r="I175" s="6"/>
      <c r="K175" s="12"/>
    </row>
    <row r="176" spans="1:11" x14ac:dyDescent="0.2">
      <c r="A176" s="6" t="s">
        <v>132</v>
      </c>
      <c r="B176" s="11">
        <v>4.7780000000000002E-8</v>
      </c>
      <c r="C176" s="6" t="s">
        <v>18</v>
      </c>
      <c r="D176" s="6" t="s">
        <v>19</v>
      </c>
      <c r="E176" s="6" t="s">
        <v>21</v>
      </c>
      <c r="F176" s="6"/>
      <c r="G176" s="6" t="s">
        <v>20</v>
      </c>
      <c r="H176" s="6" t="s">
        <v>133</v>
      </c>
      <c r="I176" s="6"/>
      <c r="K176" s="12"/>
    </row>
    <row r="177" spans="1:11" x14ac:dyDescent="0.2">
      <c r="A177" s="6" t="s">
        <v>134</v>
      </c>
      <c r="B177" s="11">
        <v>1.9410000000000001E-6</v>
      </c>
      <c r="C177" s="6" t="s">
        <v>18</v>
      </c>
      <c r="D177" s="6" t="s">
        <v>4</v>
      </c>
      <c r="E177" s="6" t="s">
        <v>9</v>
      </c>
      <c r="F177" s="6"/>
      <c r="G177" s="6" t="s">
        <v>20</v>
      </c>
      <c r="H177" s="6" t="s">
        <v>135</v>
      </c>
      <c r="I177" s="6"/>
      <c r="K177" s="12"/>
    </row>
    <row r="178" spans="1:11" x14ac:dyDescent="0.2">
      <c r="A178" s="6" t="s">
        <v>136</v>
      </c>
      <c r="B178" s="7">
        <v>1.409E-2</v>
      </c>
      <c r="C178" s="6" t="s">
        <v>18</v>
      </c>
      <c r="D178" s="6" t="s">
        <v>4</v>
      </c>
      <c r="E178" s="6" t="s">
        <v>23</v>
      </c>
      <c r="F178" s="6"/>
      <c r="G178" s="6" t="s">
        <v>20</v>
      </c>
      <c r="H178" s="6" t="s">
        <v>136</v>
      </c>
      <c r="I178" s="6"/>
      <c r="K178" s="12"/>
    </row>
    <row r="179" spans="1:11" x14ac:dyDescent="0.2">
      <c r="A179" s="6" t="s">
        <v>137</v>
      </c>
      <c r="B179" s="11">
        <v>1.021E-3</v>
      </c>
      <c r="C179" s="6" t="s">
        <v>18</v>
      </c>
      <c r="D179" s="6" t="s">
        <v>19</v>
      </c>
      <c r="E179" s="6" t="s">
        <v>9</v>
      </c>
      <c r="F179" s="6"/>
      <c r="G179" s="6" t="s">
        <v>20</v>
      </c>
      <c r="H179" s="6" t="s">
        <v>137</v>
      </c>
      <c r="I179" s="6"/>
      <c r="K179" s="12"/>
    </row>
    <row r="180" spans="1:11" x14ac:dyDescent="0.2">
      <c r="A180" s="6" t="s">
        <v>138</v>
      </c>
      <c r="B180" s="11">
        <v>1.3140000000000001E-3</v>
      </c>
      <c r="C180" s="6" t="s">
        <v>18</v>
      </c>
      <c r="D180" s="6" t="s">
        <v>19</v>
      </c>
      <c r="E180" s="6" t="s">
        <v>139</v>
      </c>
      <c r="F180" s="6"/>
      <c r="G180" s="6" t="s">
        <v>20</v>
      </c>
      <c r="H180" s="6" t="s">
        <v>140</v>
      </c>
      <c r="I180" s="6"/>
      <c r="K180" s="12"/>
    </row>
    <row r="181" spans="1:11" x14ac:dyDescent="0.2">
      <c r="A181" s="6" t="s">
        <v>141</v>
      </c>
      <c r="B181" s="11">
        <v>8.2189999999999997E-8</v>
      </c>
      <c r="C181" s="6" t="s">
        <v>18</v>
      </c>
      <c r="D181" s="6" t="s">
        <v>4</v>
      </c>
      <c r="E181" s="6" t="s">
        <v>142</v>
      </c>
      <c r="F181" s="6"/>
      <c r="G181" s="6" t="s">
        <v>20</v>
      </c>
      <c r="H181" s="6" t="s">
        <v>143</v>
      </c>
      <c r="I181" s="6"/>
      <c r="K181" s="12"/>
    </row>
    <row r="182" spans="1:11" x14ac:dyDescent="0.2">
      <c r="A182" s="6" t="s">
        <v>144</v>
      </c>
      <c r="B182" s="11">
        <v>1.9740000000000001E-5</v>
      </c>
      <c r="C182" s="6" t="s">
        <v>18</v>
      </c>
      <c r="D182" s="6" t="s">
        <v>19</v>
      </c>
      <c r="E182" s="6" t="s">
        <v>9</v>
      </c>
      <c r="F182" s="6"/>
      <c r="G182" s="6" t="s">
        <v>20</v>
      </c>
      <c r="H182" s="6" t="s">
        <v>145</v>
      </c>
      <c r="I182" s="6"/>
      <c r="K182" s="12"/>
    </row>
    <row r="183" spans="1:11" x14ac:dyDescent="0.2">
      <c r="A183" s="6" t="s">
        <v>146</v>
      </c>
      <c r="B183" s="11">
        <v>1.021E-3</v>
      </c>
      <c r="C183" s="6" t="s">
        <v>18</v>
      </c>
      <c r="D183" s="6" t="s">
        <v>19</v>
      </c>
      <c r="E183" s="6" t="s">
        <v>9</v>
      </c>
      <c r="F183" s="6"/>
      <c r="G183" s="6" t="s">
        <v>20</v>
      </c>
      <c r="H183" s="6" t="s">
        <v>147</v>
      </c>
      <c r="I183" s="6"/>
      <c r="K183" s="12"/>
    </row>
    <row r="184" spans="1:11" x14ac:dyDescent="0.2">
      <c r="A184" s="6" t="s">
        <v>148</v>
      </c>
      <c r="B184" s="11">
        <v>1.7350000000000002E-5</v>
      </c>
      <c r="C184" s="6" t="s">
        <v>18</v>
      </c>
      <c r="D184" s="6" t="s">
        <v>19</v>
      </c>
      <c r="E184" s="6" t="s">
        <v>9</v>
      </c>
      <c r="F184" s="6"/>
      <c r="G184" s="6" t="s">
        <v>20</v>
      </c>
      <c r="H184" s="6" t="s">
        <v>149</v>
      </c>
      <c r="I184" s="6"/>
      <c r="K184" s="12"/>
    </row>
    <row r="185" spans="1:11" x14ac:dyDescent="0.2">
      <c r="A185" s="6" t="s">
        <v>150</v>
      </c>
      <c r="B185" s="11">
        <v>3.6990000000000003E-5</v>
      </c>
      <c r="C185" s="6" t="s">
        <v>18</v>
      </c>
      <c r="D185" s="6" t="s">
        <v>19</v>
      </c>
      <c r="E185" s="6" t="s">
        <v>9</v>
      </c>
      <c r="F185" s="6"/>
      <c r="G185" s="6" t="s">
        <v>20</v>
      </c>
      <c r="H185" s="6" t="s">
        <v>151</v>
      </c>
      <c r="I185" s="6"/>
      <c r="K185" s="12"/>
    </row>
    <row r="186" spans="1:11" x14ac:dyDescent="0.2">
      <c r="A186" s="6" t="s">
        <v>152</v>
      </c>
      <c r="B186" s="7">
        <v>-4.731E-3</v>
      </c>
      <c r="C186" s="6" t="s">
        <v>18</v>
      </c>
      <c r="D186" s="6" t="s">
        <v>19</v>
      </c>
      <c r="E186" s="6" t="s">
        <v>9</v>
      </c>
      <c r="F186" s="6"/>
      <c r="G186" s="6" t="s">
        <v>20</v>
      </c>
      <c r="H186" s="6" t="s">
        <v>153</v>
      </c>
      <c r="I186" s="6"/>
      <c r="K186" s="12"/>
    </row>
    <row r="187" spans="1:11" x14ac:dyDescent="0.2">
      <c r="A187" s="2"/>
      <c r="B187" s="2"/>
      <c r="C187" s="3"/>
      <c r="D187" s="2"/>
      <c r="E187" s="2"/>
      <c r="F187" s="2"/>
      <c r="G187" s="2"/>
      <c r="H187" s="2"/>
      <c r="K187" s="12"/>
    </row>
    <row r="188" spans="1:11" x14ac:dyDescent="0.2">
      <c r="A188" s="1" t="s">
        <v>0</v>
      </c>
      <c r="B188" s="1" t="s">
        <v>119</v>
      </c>
      <c r="C188" s="6"/>
      <c r="D188" s="6"/>
      <c r="E188" s="6"/>
      <c r="F188" s="6"/>
      <c r="G188" s="6"/>
      <c r="H188" s="6"/>
      <c r="K188" s="12"/>
    </row>
    <row r="189" spans="1:11" x14ac:dyDescent="0.2">
      <c r="A189" s="6" t="s">
        <v>2</v>
      </c>
      <c r="B189" t="s">
        <v>155</v>
      </c>
      <c r="C189" s="6"/>
      <c r="D189" s="6"/>
      <c r="E189" s="6"/>
      <c r="F189" s="6"/>
      <c r="G189" s="6"/>
      <c r="H189" s="6"/>
      <c r="K189" s="12"/>
    </row>
    <row r="190" spans="1:11" x14ac:dyDescent="0.2">
      <c r="A190" s="6" t="s">
        <v>3</v>
      </c>
      <c r="B190" t="s">
        <v>4</v>
      </c>
      <c r="C190" s="6"/>
      <c r="D190" s="6"/>
      <c r="E190" s="6"/>
      <c r="F190" s="6"/>
      <c r="G190" s="6"/>
      <c r="H190" s="6"/>
    </row>
    <row r="191" spans="1:11" x14ac:dyDescent="0.2">
      <c r="A191" s="6" t="s">
        <v>5</v>
      </c>
      <c r="B191" s="6">
        <v>1</v>
      </c>
      <c r="C191" s="6"/>
      <c r="D191" s="6"/>
      <c r="E191" s="6"/>
      <c r="F191" s="6"/>
      <c r="G191" s="6"/>
      <c r="H191" s="6"/>
    </row>
    <row r="192" spans="1:11" x14ac:dyDescent="0.2">
      <c r="A192" s="6" t="s">
        <v>6</v>
      </c>
      <c r="B192" t="s">
        <v>119</v>
      </c>
      <c r="C192" s="6"/>
      <c r="D192" s="6"/>
      <c r="E192" s="6"/>
      <c r="F192" s="6"/>
      <c r="G192" s="6"/>
      <c r="H192" s="6"/>
    </row>
    <row r="193" spans="1:8" x14ac:dyDescent="0.2">
      <c r="A193" s="6" t="s">
        <v>8</v>
      </c>
      <c r="B193" s="6" t="s">
        <v>9</v>
      </c>
      <c r="C193" s="6"/>
      <c r="D193" s="6"/>
      <c r="E193" s="6"/>
      <c r="F193" s="6"/>
      <c r="G193" s="6"/>
      <c r="H193" s="6"/>
    </row>
    <row r="194" spans="1:8" x14ac:dyDescent="0.2">
      <c r="A194" s="1" t="s">
        <v>10</v>
      </c>
      <c r="B194" s="6"/>
      <c r="C194" s="6"/>
      <c r="D194" s="6"/>
      <c r="E194" s="6"/>
      <c r="F194" s="6"/>
      <c r="G194" s="6"/>
      <c r="H194" s="6"/>
    </row>
    <row r="195" spans="1:8" x14ac:dyDescent="0.2">
      <c r="A195" s="6" t="s">
        <v>11</v>
      </c>
      <c r="B195" s="6" t="s">
        <v>12</v>
      </c>
      <c r="C195" s="6" t="s">
        <v>13</v>
      </c>
      <c r="D195" s="6" t="s">
        <v>3</v>
      </c>
      <c r="E195" s="6" t="s">
        <v>8</v>
      </c>
      <c r="F195" s="6" t="s">
        <v>14</v>
      </c>
      <c r="G195" s="6" t="s">
        <v>15</v>
      </c>
      <c r="H195" s="6" t="s">
        <v>6</v>
      </c>
    </row>
    <row r="196" spans="1:8" x14ac:dyDescent="0.2">
      <c r="A196" s="6" t="s">
        <v>119</v>
      </c>
      <c r="B196" s="7">
        <v>1</v>
      </c>
      <c r="C196" s="6" t="s">
        <v>16</v>
      </c>
      <c r="D196" t="s">
        <v>4</v>
      </c>
      <c r="E196" s="6" t="s">
        <v>9</v>
      </c>
      <c r="F196" s="6"/>
      <c r="G196" s="6" t="s">
        <v>17</v>
      </c>
      <c r="H196" s="6" t="s">
        <v>119</v>
      </c>
    </row>
    <row r="197" spans="1:8" x14ac:dyDescent="0.2">
      <c r="A197" s="6" t="s">
        <v>120</v>
      </c>
      <c r="B197" s="7">
        <v>1</v>
      </c>
      <c r="C197" s="6" t="s">
        <v>16</v>
      </c>
      <c r="D197" t="s">
        <v>4</v>
      </c>
      <c r="E197" s="6" t="s">
        <v>9</v>
      </c>
      <c r="F197" s="6"/>
      <c r="G197" t="s">
        <v>20</v>
      </c>
      <c r="H197" s="6" t="s">
        <v>121</v>
      </c>
    </row>
    <row r="198" spans="1:8" x14ac:dyDescent="0.2">
      <c r="A198" t="s">
        <v>53</v>
      </c>
      <c r="B198" s="4">
        <f>13.1/1000</f>
        <v>1.3099999999999999E-2</v>
      </c>
      <c r="C198" t="s">
        <v>18</v>
      </c>
      <c r="D198" t="s">
        <v>42</v>
      </c>
      <c r="E198" t="s">
        <v>24</v>
      </c>
      <c r="G198" t="s">
        <v>20</v>
      </c>
      <c r="H198" t="s">
        <v>41</v>
      </c>
    </row>
    <row r="199" spans="1:8" x14ac:dyDescent="0.2">
      <c r="A199" t="s">
        <v>29</v>
      </c>
      <c r="B199" s="13">
        <f>0.447/1000</f>
        <v>4.4700000000000002E-4</v>
      </c>
      <c r="C199" t="s">
        <v>30</v>
      </c>
      <c r="D199" s="6"/>
      <c r="E199" t="s">
        <v>9</v>
      </c>
      <c r="F199" t="s">
        <v>39</v>
      </c>
      <c r="G199" t="s">
        <v>31</v>
      </c>
      <c r="H199" s="6"/>
    </row>
    <row r="200" spans="1:8" x14ac:dyDescent="0.2">
      <c r="A200" s="2"/>
      <c r="B200" s="2"/>
      <c r="C200" s="3"/>
      <c r="D200" s="2"/>
      <c r="E200" s="2"/>
      <c r="F200" s="2"/>
      <c r="G200" s="2"/>
      <c r="H200" s="2"/>
    </row>
    <row r="201" spans="1:8" x14ac:dyDescent="0.2">
      <c r="A201" s="1" t="s">
        <v>0</v>
      </c>
      <c r="B201" s="1" t="s">
        <v>156</v>
      </c>
      <c r="C201" s="6"/>
      <c r="D201" s="6"/>
      <c r="E201" s="6"/>
      <c r="F201" s="6"/>
      <c r="G201" s="6"/>
      <c r="H201" s="6"/>
    </row>
    <row r="202" spans="1:8" x14ac:dyDescent="0.2">
      <c r="A202" s="6" t="s">
        <v>2</v>
      </c>
      <c r="B202" t="s">
        <v>155</v>
      </c>
      <c r="C202" s="6"/>
      <c r="D202" s="6"/>
      <c r="E202" s="6"/>
      <c r="F202" s="6"/>
      <c r="G202" s="6"/>
      <c r="H202" s="6"/>
    </row>
    <row r="203" spans="1:8" x14ac:dyDescent="0.2">
      <c r="A203" s="6" t="s">
        <v>3</v>
      </c>
      <c r="B203" t="s">
        <v>4</v>
      </c>
      <c r="C203" s="6"/>
      <c r="D203" s="6"/>
      <c r="E203" s="6"/>
      <c r="F203" s="6"/>
      <c r="G203" s="6"/>
      <c r="H203" s="6"/>
    </row>
    <row r="204" spans="1:8" x14ac:dyDescent="0.2">
      <c r="A204" s="6" t="s">
        <v>5</v>
      </c>
      <c r="B204" s="6">
        <v>1</v>
      </c>
      <c r="C204" s="6"/>
      <c r="D204" s="6"/>
      <c r="E204" s="6"/>
      <c r="F204" s="6"/>
      <c r="G204" s="6"/>
      <c r="H204" s="6"/>
    </row>
    <row r="205" spans="1:8" x14ac:dyDescent="0.2">
      <c r="A205" s="6" t="s">
        <v>6</v>
      </c>
      <c r="B205" t="s">
        <v>156</v>
      </c>
      <c r="C205" s="6"/>
      <c r="D205" s="6"/>
      <c r="E205" s="6"/>
      <c r="F205" s="6"/>
      <c r="G205" s="6"/>
      <c r="H205" s="6"/>
    </row>
    <row r="206" spans="1:8" x14ac:dyDescent="0.2">
      <c r="A206" s="6" t="s">
        <v>8</v>
      </c>
      <c r="B206" s="6" t="s">
        <v>9</v>
      </c>
      <c r="C206" s="6"/>
      <c r="D206" s="6"/>
      <c r="E206" s="6"/>
      <c r="F206" s="6"/>
      <c r="G206" s="6"/>
      <c r="H206" s="6"/>
    </row>
    <row r="207" spans="1:8" x14ac:dyDescent="0.2">
      <c r="A207" s="1" t="s">
        <v>10</v>
      </c>
      <c r="B207" s="6"/>
      <c r="C207" s="6"/>
      <c r="D207" s="6"/>
      <c r="E207" s="6"/>
      <c r="F207" s="6"/>
      <c r="G207" s="6"/>
      <c r="H207" s="6"/>
    </row>
    <row r="208" spans="1:8" x14ac:dyDescent="0.2">
      <c r="A208" s="6" t="s">
        <v>11</v>
      </c>
      <c r="B208" s="6" t="s">
        <v>12</v>
      </c>
      <c r="C208" s="6" t="s">
        <v>13</v>
      </c>
      <c r="D208" s="6" t="s">
        <v>3</v>
      </c>
      <c r="E208" s="6" t="s">
        <v>8</v>
      </c>
      <c r="F208" s="6" t="s">
        <v>14</v>
      </c>
      <c r="G208" s="6" t="s">
        <v>15</v>
      </c>
      <c r="H208" s="6" t="s">
        <v>6</v>
      </c>
    </row>
    <row r="209" spans="1:8" x14ac:dyDescent="0.2">
      <c r="A209" s="6" t="s">
        <v>156</v>
      </c>
      <c r="B209" s="7">
        <v>1</v>
      </c>
      <c r="C209" s="6" t="s">
        <v>16</v>
      </c>
      <c r="D209" t="s">
        <v>4</v>
      </c>
      <c r="E209" s="6" t="s">
        <v>9</v>
      </c>
      <c r="F209" s="6"/>
      <c r="G209" s="6" t="s">
        <v>17</v>
      </c>
      <c r="H209" s="6" t="s">
        <v>156</v>
      </c>
    </row>
    <row r="210" spans="1:8" x14ac:dyDescent="0.2">
      <c r="A210" s="6" t="s">
        <v>120</v>
      </c>
      <c r="B210" s="7">
        <v>1</v>
      </c>
      <c r="C210" s="6" t="s">
        <v>16</v>
      </c>
      <c r="D210" t="s">
        <v>4</v>
      </c>
      <c r="E210" s="6" t="s">
        <v>9</v>
      </c>
      <c r="F210" s="6"/>
      <c r="G210" t="s">
        <v>20</v>
      </c>
      <c r="H210" s="6" t="s">
        <v>121</v>
      </c>
    </row>
    <row r="211" spans="1:8" x14ac:dyDescent="0.2">
      <c r="A211" t="s">
        <v>53</v>
      </c>
      <c r="B211" s="4">
        <f>3.99/1000</f>
        <v>3.9900000000000005E-3</v>
      </c>
      <c r="C211" t="s">
        <v>18</v>
      </c>
      <c r="D211" t="s">
        <v>42</v>
      </c>
      <c r="E211" t="s">
        <v>24</v>
      </c>
      <c r="G211" t="s">
        <v>20</v>
      </c>
      <c r="H211" t="s">
        <v>41</v>
      </c>
    </row>
    <row r="212" spans="1:8" x14ac:dyDescent="0.2">
      <c r="A212" t="s">
        <v>29</v>
      </c>
      <c r="B212" s="13">
        <f>0.309/1000</f>
        <v>3.0899999999999998E-4</v>
      </c>
      <c r="C212" t="s">
        <v>30</v>
      </c>
      <c r="D212" s="6"/>
      <c r="E212" t="s">
        <v>9</v>
      </c>
      <c r="F212" t="s">
        <v>39</v>
      </c>
      <c r="G212" t="s">
        <v>31</v>
      </c>
      <c r="H212" s="6"/>
    </row>
    <row r="213" spans="1:8" x14ac:dyDescent="0.2">
      <c r="A213" s="2"/>
      <c r="B213" s="2"/>
      <c r="C213" s="3"/>
      <c r="D213" s="2"/>
      <c r="E213" s="2"/>
      <c r="F213" s="2"/>
      <c r="G213" s="2"/>
      <c r="H213" s="2"/>
    </row>
    <row r="214" spans="1:8" x14ac:dyDescent="0.2">
      <c r="A214" s="1" t="s">
        <v>0</v>
      </c>
      <c r="B214" s="1" t="s">
        <v>157</v>
      </c>
      <c r="C214" s="6"/>
      <c r="D214" s="6"/>
      <c r="E214" s="6"/>
      <c r="F214" s="6"/>
      <c r="G214" s="6"/>
      <c r="H214" s="6"/>
    </row>
    <row r="215" spans="1:8" x14ac:dyDescent="0.2">
      <c r="A215" s="6" t="s">
        <v>2</v>
      </c>
      <c r="B215" t="s">
        <v>158</v>
      </c>
      <c r="C215" s="6"/>
      <c r="D215" s="6"/>
      <c r="E215" s="6"/>
      <c r="F215" s="6"/>
      <c r="G215" s="6"/>
      <c r="H215" s="6"/>
    </row>
    <row r="216" spans="1:8" x14ac:dyDescent="0.2">
      <c r="A216" s="6" t="s">
        <v>3</v>
      </c>
      <c r="B216" t="s">
        <v>4</v>
      </c>
      <c r="C216" s="6"/>
      <c r="D216" s="6"/>
      <c r="E216" s="6"/>
      <c r="F216" s="6"/>
      <c r="G216" s="6"/>
      <c r="H216" s="6"/>
    </row>
    <row r="217" spans="1:8" x14ac:dyDescent="0.2">
      <c r="A217" s="6" t="s">
        <v>5</v>
      </c>
      <c r="B217" s="6">
        <v>1</v>
      </c>
      <c r="C217" s="6"/>
      <c r="D217" s="6"/>
      <c r="E217" s="6"/>
      <c r="F217" s="6"/>
      <c r="G217" s="6"/>
      <c r="H217" s="6"/>
    </row>
    <row r="218" spans="1:8" x14ac:dyDescent="0.2">
      <c r="A218" s="6" t="s">
        <v>6</v>
      </c>
      <c r="B218" t="s">
        <v>157</v>
      </c>
      <c r="C218" s="6"/>
      <c r="D218" s="6"/>
      <c r="E218" s="6"/>
      <c r="F218" s="6"/>
      <c r="G218" s="6"/>
      <c r="H218" s="6"/>
    </row>
    <row r="219" spans="1:8" x14ac:dyDescent="0.2">
      <c r="A219" s="6" t="s">
        <v>8</v>
      </c>
      <c r="B219" t="s">
        <v>23</v>
      </c>
      <c r="C219" s="6"/>
      <c r="D219" s="6"/>
      <c r="E219" s="6"/>
      <c r="F219" s="6"/>
      <c r="G219" s="6"/>
      <c r="H219" s="6"/>
    </row>
    <row r="220" spans="1:8" x14ac:dyDescent="0.2">
      <c r="A220" s="1" t="s">
        <v>10</v>
      </c>
      <c r="B220" s="6"/>
      <c r="C220" s="6"/>
      <c r="D220" s="6"/>
      <c r="E220" s="6"/>
      <c r="F220" s="6"/>
      <c r="G220" s="6"/>
      <c r="H220" s="6"/>
    </row>
    <row r="221" spans="1:8" x14ac:dyDescent="0.2">
      <c r="A221" s="6" t="s">
        <v>11</v>
      </c>
      <c r="B221" s="6" t="s">
        <v>12</v>
      </c>
      <c r="C221" s="6" t="s">
        <v>13</v>
      </c>
      <c r="D221" s="6" t="s">
        <v>3</v>
      </c>
      <c r="E221" s="6" t="s">
        <v>8</v>
      </c>
      <c r="F221" s="6" t="s">
        <v>14</v>
      </c>
      <c r="G221" s="6" t="s">
        <v>15</v>
      </c>
      <c r="H221" s="6" t="s">
        <v>6</v>
      </c>
    </row>
    <row r="222" spans="1:8" x14ac:dyDescent="0.2">
      <c r="A222" s="6" t="s">
        <v>157</v>
      </c>
      <c r="B222" s="7">
        <v>1</v>
      </c>
      <c r="C222" s="6" t="s">
        <v>16</v>
      </c>
      <c r="D222" t="s">
        <v>4</v>
      </c>
      <c r="E222" t="s">
        <v>23</v>
      </c>
      <c r="F222" s="6"/>
      <c r="G222" s="6" t="s">
        <v>17</v>
      </c>
      <c r="H222" s="6" t="s">
        <v>157</v>
      </c>
    </row>
    <row r="223" spans="1:8" x14ac:dyDescent="0.2">
      <c r="A223" t="s">
        <v>83</v>
      </c>
      <c r="B223" s="7">
        <v>6.7299999999999999E-2</v>
      </c>
      <c r="C223" s="6" t="s">
        <v>16</v>
      </c>
      <c r="D223" t="s">
        <v>4</v>
      </c>
      <c r="E223" t="s">
        <v>9</v>
      </c>
      <c r="F223" s="6"/>
      <c r="G223" t="s">
        <v>20</v>
      </c>
      <c r="H223" t="s">
        <v>85</v>
      </c>
    </row>
    <row r="224" spans="1:8" x14ac:dyDescent="0.2">
      <c r="A224" s="6" t="s">
        <v>156</v>
      </c>
      <c r="B224" s="7">
        <v>6.7299999999999999E-2</v>
      </c>
      <c r="C224" s="6" t="s">
        <v>16</v>
      </c>
      <c r="D224" t="s">
        <v>4</v>
      </c>
      <c r="E224" s="6" t="s">
        <v>9</v>
      </c>
      <c r="F224" s="6"/>
      <c r="G224" t="s">
        <v>20</v>
      </c>
      <c r="H224" s="6" t="s">
        <v>156</v>
      </c>
    </row>
    <row r="225" spans="1:8" x14ac:dyDescent="0.2">
      <c r="A225" s="6" t="s">
        <v>159</v>
      </c>
      <c r="B225" s="7">
        <v>1.27</v>
      </c>
      <c r="C225" t="s">
        <v>18</v>
      </c>
      <c r="D225" t="s">
        <v>19</v>
      </c>
      <c r="E225" s="6" t="s">
        <v>23</v>
      </c>
      <c r="F225" s="6"/>
      <c r="G225" t="s">
        <v>20</v>
      </c>
      <c r="H225" s="6" t="s">
        <v>160</v>
      </c>
    </row>
    <row r="226" spans="1:8" x14ac:dyDescent="0.2">
      <c r="A226" t="s">
        <v>53</v>
      </c>
      <c r="B226" s="13">
        <v>1.0500000000000001E-2</v>
      </c>
      <c r="C226" t="s">
        <v>18</v>
      </c>
      <c r="D226" t="s">
        <v>42</v>
      </c>
      <c r="E226" t="s">
        <v>24</v>
      </c>
      <c r="G226" t="s">
        <v>20</v>
      </c>
      <c r="H226" t="s">
        <v>41</v>
      </c>
    </row>
    <row r="227" spans="1:8" x14ac:dyDescent="0.2">
      <c r="A227" t="s">
        <v>29</v>
      </c>
      <c r="B227" s="13">
        <v>-6.7299999999999999E-2</v>
      </c>
      <c r="C227" t="s">
        <v>30</v>
      </c>
      <c r="D227" s="6"/>
      <c r="E227" t="s">
        <v>9</v>
      </c>
      <c r="F227" t="s">
        <v>39</v>
      </c>
      <c r="G227" t="s">
        <v>31</v>
      </c>
      <c r="H227" s="6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H65"/>
  <sheetViews>
    <sheetView tabSelected="1" topLeftCell="A41" zoomScaleNormal="100" workbookViewId="0">
      <selection activeCell="C56" sqref="C56"/>
    </sheetView>
  </sheetViews>
  <sheetFormatPr baseColWidth="10" defaultColWidth="8.6640625" defaultRowHeight="15" x14ac:dyDescent="0.2"/>
  <cols>
    <col min="1" max="1" width="86.5" bestFit="1" customWidth="1"/>
    <col min="2" max="2" width="9" bestFit="1" customWidth="1"/>
    <col min="3" max="3" width="38.33203125" bestFit="1" customWidth="1"/>
    <col min="5" max="5" width="12.5" bestFit="1" customWidth="1"/>
    <col min="6" max="6" width="23.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</v>
      </c>
      <c r="C1" s="6"/>
      <c r="D1" s="6"/>
      <c r="E1" s="6"/>
      <c r="F1" s="6"/>
      <c r="G1" s="6"/>
      <c r="H1" s="6"/>
    </row>
    <row r="2" spans="1:8" x14ac:dyDescent="0.2">
      <c r="A2" s="6" t="s">
        <v>2</v>
      </c>
      <c r="B2" t="s">
        <v>44</v>
      </c>
      <c r="C2" s="6"/>
      <c r="D2" s="6"/>
      <c r="E2" s="6"/>
      <c r="F2" s="6"/>
      <c r="G2" s="6"/>
      <c r="H2" s="6"/>
    </row>
    <row r="3" spans="1:8" x14ac:dyDescent="0.2">
      <c r="A3" s="6" t="s">
        <v>3</v>
      </c>
      <c r="B3" t="s">
        <v>4</v>
      </c>
      <c r="C3" s="6"/>
      <c r="D3" s="6"/>
      <c r="E3" s="6"/>
      <c r="F3" s="6"/>
      <c r="G3" s="6"/>
      <c r="H3" s="6"/>
    </row>
    <row r="4" spans="1:8" x14ac:dyDescent="0.2">
      <c r="A4" s="6" t="s">
        <v>5</v>
      </c>
      <c r="B4" s="6">
        <v>1</v>
      </c>
      <c r="C4" s="6"/>
      <c r="D4" s="6"/>
      <c r="E4" s="6"/>
      <c r="F4" s="6"/>
      <c r="G4" s="6"/>
      <c r="H4" s="6"/>
    </row>
    <row r="5" spans="1:8" x14ac:dyDescent="0.2">
      <c r="A5" s="6" t="s">
        <v>6</v>
      </c>
      <c r="B5" t="s">
        <v>7</v>
      </c>
      <c r="C5" s="6"/>
      <c r="D5" s="6"/>
      <c r="E5" s="6"/>
      <c r="F5" s="6"/>
      <c r="G5" s="6"/>
      <c r="H5" s="6"/>
    </row>
    <row r="6" spans="1:8" x14ac:dyDescent="0.2">
      <c r="A6" s="6" t="s">
        <v>8</v>
      </c>
      <c r="B6" t="s">
        <v>9</v>
      </c>
      <c r="C6" s="6"/>
      <c r="D6" s="6"/>
      <c r="E6" s="6"/>
      <c r="F6" s="6"/>
      <c r="G6" s="6"/>
      <c r="H6" s="6"/>
    </row>
    <row r="7" spans="1:8" x14ac:dyDescent="0.2">
      <c r="A7" s="1" t="s">
        <v>10</v>
      </c>
      <c r="B7" s="6"/>
      <c r="C7" s="6"/>
      <c r="D7" s="6"/>
      <c r="E7" s="6"/>
      <c r="F7" s="6"/>
      <c r="G7" s="6"/>
      <c r="H7" s="6"/>
    </row>
    <row r="8" spans="1:8" x14ac:dyDescent="0.2">
      <c r="A8" s="6" t="s">
        <v>11</v>
      </c>
      <c r="B8" s="6" t="s">
        <v>12</v>
      </c>
      <c r="C8" s="6" t="s">
        <v>13</v>
      </c>
      <c r="D8" s="6" t="s">
        <v>3</v>
      </c>
      <c r="E8" s="6" t="s">
        <v>8</v>
      </c>
      <c r="F8" s="6" t="s">
        <v>14</v>
      </c>
      <c r="G8" s="6" t="s">
        <v>15</v>
      </c>
      <c r="H8" s="6" t="s">
        <v>6</v>
      </c>
    </row>
    <row r="9" spans="1:8" x14ac:dyDescent="0.2">
      <c r="A9" t="s">
        <v>1</v>
      </c>
      <c r="B9" s="7">
        <v>1</v>
      </c>
      <c r="C9" s="6" t="s">
        <v>16</v>
      </c>
      <c r="D9" t="s">
        <v>4</v>
      </c>
      <c r="E9" t="s">
        <v>9</v>
      </c>
      <c r="F9" s="6"/>
      <c r="G9" s="6" t="s">
        <v>17</v>
      </c>
      <c r="H9" t="s">
        <v>7</v>
      </c>
    </row>
    <row r="10" spans="1:8" x14ac:dyDescent="0.2">
      <c r="A10" t="s">
        <v>45</v>
      </c>
      <c r="B10" s="7">
        <v>0.747</v>
      </c>
      <c r="C10" t="s">
        <v>18</v>
      </c>
      <c r="D10" t="s">
        <v>19</v>
      </c>
      <c r="E10" t="s">
        <v>21</v>
      </c>
      <c r="F10" s="6"/>
      <c r="G10" t="s">
        <v>20</v>
      </c>
      <c r="H10" t="s">
        <v>22</v>
      </c>
    </row>
    <row r="11" spans="1:8" x14ac:dyDescent="0.2">
      <c r="A11" t="s">
        <v>163</v>
      </c>
      <c r="B11" s="4">
        <v>0.82599999999999996</v>
      </c>
      <c r="C11" t="s">
        <v>18</v>
      </c>
      <c r="D11" t="s">
        <v>19</v>
      </c>
      <c r="E11" t="s">
        <v>9</v>
      </c>
      <c r="G11" t="s">
        <v>20</v>
      </c>
      <c r="H11" t="s">
        <v>26</v>
      </c>
    </row>
    <row r="12" spans="1:8" x14ac:dyDescent="0.2">
      <c r="A12" t="s">
        <v>47</v>
      </c>
      <c r="B12" s="4">
        <v>9.1900000000000003E-3</v>
      </c>
      <c r="C12" t="s">
        <v>18</v>
      </c>
      <c r="D12" t="s">
        <v>19</v>
      </c>
      <c r="E12" t="s">
        <v>9</v>
      </c>
      <c r="G12" t="s">
        <v>20</v>
      </c>
      <c r="H12" t="s">
        <v>48</v>
      </c>
    </row>
    <row r="13" spans="1:8" x14ac:dyDescent="0.2">
      <c r="A13" t="s">
        <v>27</v>
      </c>
      <c r="B13" s="11">
        <v>4.0000000000000001E-10</v>
      </c>
      <c r="C13" t="s">
        <v>18</v>
      </c>
      <c r="D13" t="s">
        <v>4</v>
      </c>
      <c r="E13" t="s">
        <v>8</v>
      </c>
      <c r="F13" s="6"/>
      <c r="G13" t="s">
        <v>20</v>
      </c>
      <c r="H13" t="s">
        <v>28</v>
      </c>
    </row>
    <row r="14" spans="1:8" x14ac:dyDescent="0.2">
      <c r="A14" t="s">
        <v>161</v>
      </c>
      <c r="B14" s="7">
        <v>3.2499999999999999E-4</v>
      </c>
      <c r="C14" s="6" t="s">
        <v>16</v>
      </c>
      <c r="D14" t="s">
        <v>4</v>
      </c>
      <c r="E14" t="s">
        <v>9</v>
      </c>
      <c r="F14" s="6"/>
      <c r="G14" t="s">
        <v>20</v>
      </c>
      <c r="H14" t="s">
        <v>161</v>
      </c>
    </row>
    <row r="15" spans="1:8" x14ac:dyDescent="0.2">
      <c r="A15" t="s">
        <v>83</v>
      </c>
      <c r="B15" s="7">
        <v>1.17</v>
      </c>
      <c r="C15" s="6" t="s">
        <v>16</v>
      </c>
      <c r="D15" t="s">
        <v>4</v>
      </c>
      <c r="E15" t="s">
        <v>9</v>
      </c>
      <c r="F15" s="6"/>
      <c r="G15" t="s">
        <v>20</v>
      </c>
      <c r="H15" t="s">
        <v>85</v>
      </c>
    </row>
    <row r="16" spans="1:8" x14ac:dyDescent="0.2">
      <c r="A16" t="s">
        <v>90</v>
      </c>
      <c r="B16" s="11">
        <v>8.7600000000000002E-5</v>
      </c>
      <c r="C16" t="s">
        <v>18</v>
      </c>
      <c r="D16" t="s">
        <v>4</v>
      </c>
      <c r="E16" t="s">
        <v>9</v>
      </c>
      <c r="G16" t="s">
        <v>20</v>
      </c>
      <c r="H16" t="s">
        <v>91</v>
      </c>
    </row>
    <row r="17" spans="1:8" x14ac:dyDescent="0.2">
      <c r="A17" t="s">
        <v>32</v>
      </c>
      <c r="B17" s="7">
        <v>0.56200000000000006</v>
      </c>
      <c r="C17" s="15" t="s">
        <v>30</v>
      </c>
      <c r="E17" t="s">
        <v>21</v>
      </c>
      <c r="F17" t="s">
        <v>33</v>
      </c>
      <c r="G17" t="s">
        <v>31</v>
      </c>
    </row>
    <row r="18" spans="1:8" x14ac:dyDescent="0.2">
      <c r="A18" t="s">
        <v>95</v>
      </c>
      <c r="B18" s="7">
        <v>26.3</v>
      </c>
      <c r="C18" s="6" t="s">
        <v>16</v>
      </c>
      <c r="D18" t="s">
        <v>4</v>
      </c>
      <c r="E18" t="s">
        <v>23</v>
      </c>
      <c r="F18" s="6"/>
      <c r="G18" t="s">
        <v>20</v>
      </c>
      <c r="H18" t="s">
        <v>97</v>
      </c>
    </row>
    <row r="19" spans="1:8" x14ac:dyDescent="0.2">
      <c r="A19" t="s">
        <v>53</v>
      </c>
      <c r="B19" s="4">
        <v>0.93500000000000005</v>
      </c>
      <c r="C19" t="s">
        <v>18</v>
      </c>
      <c r="D19" t="s">
        <v>42</v>
      </c>
      <c r="E19" t="s">
        <v>24</v>
      </c>
      <c r="G19" t="s">
        <v>20</v>
      </c>
      <c r="H19" t="s">
        <v>41</v>
      </c>
    </row>
    <row r="20" spans="1:8" x14ac:dyDescent="0.2">
      <c r="A20" s="12" t="s">
        <v>34</v>
      </c>
      <c r="B20" s="13">
        <v>1.06E-3</v>
      </c>
      <c r="C20" s="15" t="s">
        <v>30</v>
      </c>
      <c r="E20" t="s">
        <v>9</v>
      </c>
      <c r="F20" t="s">
        <v>39</v>
      </c>
      <c r="G20" t="s">
        <v>31</v>
      </c>
    </row>
    <row r="21" spans="1:8" x14ac:dyDescent="0.2">
      <c r="A21" t="s">
        <v>35</v>
      </c>
      <c r="B21" s="11">
        <v>2.0100000000000001E-3</v>
      </c>
      <c r="C21" s="15" t="s">
        <v>30</v>
      </c>
      <c r="E21" t="s">
        <v>9</v>
      </c>
      <c r="F21" t="s">
        <v>39</v>
      </c>
      <c r="G21" t="s">
        <v>31</v>
      </c>
    </row>
    <row r="22" spans="1:8" x14ac:dyDescent="0.2">
      <c r="A22" t="s">
        <v>98</v>
      </c>
      <c r="B22" s="11">
        <v>8.6399999999999997E-4</v>
      </c>
      <c r="C22" s="15" t="s">
        <v>30</v>
      </c>
      <c r="E22" t="s">
        <v>9</v>
      </c>
      <c r="F22" t="s">
        <v>39</v>
      </c>
      <c r="G22" t="s">
        <v>31</v>
      </c>
    </row>
    <row r="23" spans="1:8" x14ac:dyDescent="0.2">
      <c r="A23" t="s">
        <v>99</v>
      </c>
      <c r="B23" s="11">
        <v>4.8500000000000002E-6</v>
      </c>
      <c r="C23" s="15" t="s">
        <v>30</v>
      </c>
      <c r="E23" t="s">
        <v>9</v>
      </c>
      <c r="F23" t="s">
        <v>39</v>
      </c>
      <c r="G23" t="s">
        <v>31</v>
      </c>
      <c r="H23" s="12"/>
    </row>
    <row r="24" spans="1:8" x14ac:dyDescent="0.2">
      <c r="A24" t="s">
        <v>29</v>
      </c>
      <c r="B24" s="4">
        <v>1.43</v>
      </c>
      <c r="C24" s="15" t="s">
        <v>30</v>
      </c>
      <c r="E24" t="s">
        <v>9</v>
      </c>
      <c r="F24" t="s">
        <v>39</v>
      </c>
      <c r="G24" t="s">
        <v>31</v>
      </c>
      <c r="H24" s="12"/>
    </row>
    <row r="25" spans="1:8" x14ac:dyDescent="0.2">
      <c r="A25" t="s">
        <v>37</v>
      </c>
      <c r="B25" s="13">
        <v>1E-3</v>
      </c>
      <c r="C25" s="15" t="s">
        <v>30</v>
      </c>
      <c r="E25" t="s">
        <v>9</v>
      </c>
      <c r="F25" t="s">
        <v>39</v>
      </c>
      <c r="G25" t="s">
        <v>31</v>
      </c>
    </row>
    <row r="26" spans="1:8" x14ac:dyDescent="0.2">
      <c r="A26" t="s">
        <v>38</v>
      </c>
      <c r="B26" s="16">
        <f>149/1000</f>
        <v>0.14899999999999999</v>
      </c>
      <c r="C26" s="15" t="s">
        <v>30</v>
      </c>
      <c r="E26" t="s">
        <v>21</v>
      </c>
      <c r="F26" t="s">
        <v>39</v>
      </c>
      <c r="G26" t="s">
        <v>31</v>
      </c>
    </row>
    <row r="27" spans="1:8" x14ac:dyDescent="0.2">
      <c r="A27" t="s">
        <v>36</v>
      </c>
      <c r="B27" s="13">
        <v>1.5099999999999999E-5</v>
      </c>
      <c r="C27" s="15" t="s">
        <v>30</v>
      </c>
      <c r="E27" t="s">
        <v>9</v>
      </c>
      <c r="F27" s="15" t="s">
        <v>40</v>
      </c>
      <c r="G27" t="s">
        <v>31</v>
      </c>
    </row>
    <row r="28" spans="1:8" x14ac:dyDescent="0.2">
      <c r="A28" t="s">
        <v>92</v>
      </c>
      <c r="B28" s="13">
        <v>1.15E-7</v>
      </c>
      <c r="C28" s="15" t="s">
        <v>30</v>
      </c>
      <c r="E28" t="s">
        <v>9</v>
      </c>
      <c r="F28" s="15" t="s">
        <v>40</v>
      </c>
      <c r="G28" t="s">
        <v>31</v>
      </c>
    </row>
    <row r="29" spans="1:8" x14ac:dyDescent="0.2">
      <c r="A29" t="s">
        <v>38</v>
      </c>
      <c r="B29" s="16">
        <f>422/1000</f>
        <v>0.42199999999999999</v>
      </c>
      <c r="C29" s="15" t="s">
        <v>30</v>
      </c>
      <c r="E29" t="s">
        <v>21</v>
      </c>
      <c r="F29" s="15" t="s">
        <v>40</v>
      </c>
      <c r="G29" t="s">
        <v>31</v>
      </c>
    </row>
    <row r="30" spans="1:8" x14ac:dyDescent="0.2">
      <c r="A30" t="s">
        <v>152</v>
      </c>
      <c r="B30" s="13">
        <v>-3.2499999999999999E-4</v>
      </c>
      <c r="C30" t="s">
        <v>18</v>
      </c>
      <c r="D30" t="s">
        <v>19</v>
      </c>
      <c r="E30" t="s">
        <v>9</v>
      </c>
      <c r="F30" s="15"/>
      <c r="G30" t="s">
        <v>20</v>
      </c>
      <c r="H30" t="s">
        <v>153</v>
      </c>
    </row>
    <row r="31" spans="1:8" x14ac:dyDescent="0.2">
      <c r="A31" t="s">
        <v>162</v>
      </c>
      <c r="B31" s="13">
        <v>-1.56E-4</v>
      </c>
      <c r="C31" t="s">
        <v>18</v>
      </c>
      <c r="D31" t="s">
        <v>19</v>
      </c>
      <c r="E31" s="5" t="s">
        <v>21</v>
      </c>
      <c r="F31" s="15"/>
      <c r="G31" t="s">
        <v>20</v>
      </c>
      <c r="H31" t="s">
        <v>118</v>
      </c>
    </row>
    <row r="32" spans="1:8" x14ac:dyDescent="0.2">
      <c r="A32" s="2"/>
      <c r="B32" s="2"/>
      <c r="C32" s="3"/>
      <c r="D32" s="2"/>
      <c r="E32" s="2"/>
      <c r="F32" s="2"/>
      <c r="G32" s="2"/>
      <c r="H32" s="2"/>
    </row>
    <row r="33" spans="1:8" x14ac:dyDescent="0.2">
      <c r="A33" s="1" t="s">
        <v>0</v>
      </c>
      <c r="B33" s="1" t="s">
        <v>166</v>
      </c>
    </row>
    <row r="34" spans="1:8" x14ac:dyDescent="0.2">
      <c r="A34" t="s">
        <v>2</v>
      </c>
      <c r="B34" t="s">
        <v>164</v>
      </c>
    </row>
    <row r="35" spans="1:8" x14ac:dyDescent="0.2">
      <c r="A35" t="s">
        <v>3</v>
      </c>
      <c r="B35" t="s">
        <v>4</v>
      </c>
    </row>
    <row r="36" spans="1:8" x14ac:dyDescent="0.2">
      <c r="A36" t="s">
        <v>5</v>
      </c>
      <c r="B36">
        <v>1</v>
      </c>
    </row>
    <row r="37" spans="1:8" x14ac:dyDescent="0.2">
      <c r="A37" t="s">
        <v>6</v>
      </c>
      <c r="B37" t="s">
        <v>7</v>
      </c>
    </row>
    <row r="38" spans="1:8" x14ac:dyDescent="0.2">
      <c r="A38" t="s">
        <v>8</v>
      </c>
      <c r="B38" t="s">
        <v>9</v>
      </c>
    </row>
    <row r="39" spans="1:8" x14ac:dyDescent="0.2">
      <c r="A39" s="1" t="s">
        <v>10</v>
      </c>
    </row>
    <row r="40" spans="1:8" x14ac:dyDescent="0.2">
      <c r="A40" t="s">
        <v>11</v>
      </c>
      <c r="B40" t="s">
        <v>12</v>
      </c>
      <c r="C40" t="s">
        <v>13</v>
      </c>
      <c r="D40" t="s">
        <v>3</v>
      </c>
      <c r="E40" t="s">
        <v>8</v>
      </c>
      <c r="F40" t="s">
        <v>14</v>
      </c>
      <c r="G40" t="s">
        <v>15</v>
      </c>
      <c r="H40" t="s">
        <v>6</v>
      </c>
    </row>
    <row r="41" spans="1:8" x14ac:dyDescent="0.2">
      <c r="A41" t="s">
        <v>166</v>
      </c>
      <c r="B41" s="4">
        <v>1</v>
      </c>
      <c r="C41" s="14" t="s">
        <v>16</v>
      </c>
      <c r="D41" t="s">
        <v>4</v>
      </c>
      <c r="E41" t="s">
        <v>9</v>
      </c>
      <c r="G41" t="s">
        <v>17</v>
      </c>
      <c r="H41" t="s">
        <v>7</v>
      </c>
    </row>
    <row r="42" spans="1:8" x14ac:dyDescent="0.2">
      <c r="A42" t="s">
        <v>45</v>
      </c>
      <c r="B42" s="7">
        <v>0.747</v>
      </c>
      <c r="C42" t="s">
        <v>18</v>
      </c>
      <c r="D42" t="s">
        <v>19</v>
      </c>
      <c r="E42" t="s">
        <v>21</v>
      </c>
      <c r="F42" s="6"/>
      <c r="G42" t="s">
        <v>20</v>
      </c>
      <c r="H42" t="s">
        <v>22</v>
      </c>
    </row>
    <row r="43" spans="1:8" x14ac:dyDescent="0.2">
      <c r="A43" t="s">
        <v>163</v>
      </c>
      <c r="B43" s="4">
        <v>0.82599999999999996</v>
      </c>
      <c r="C43" t="s">
        <v>18</v>
      </c>
      <c r="D43" t="s">
        <v>19</v>
      </c>
      <c r="E43" t="s">
        <v>9</v>
      </c>
      <c r="G43" t="s">
        <v>20</v>
      </c>
      <c r="H43" t="s">
        <v>26</v>
      </c>
    </row>
    <row r="44" spans="1:8" x14ac:dyDescent="0.2">
      <c r="A44" t="s">
        <v>47</v>
      </c>
      <c r="B44" s="4">
        <v>9.1900000000000003E-3</v>
      </c>
      <c r="C44" t="s">
        <v>18</v>
      </c>
      <c r="D44" t="s">
        <v>19</v>
      </c>
      <c r="E44" t="s">
        <v>9</v>
      </c>
      <c r="G44" t="s">
        <v>20</v>
      </c>
      <c r="H44" t="s">
        <v>48</v>
      </c>
    </row>
    <row r="45" spans="1:8" x14ac:dyDescent="0.2">
      <c r="A45" t="s">
        <v>27</v>
      </c>
      <c r="B45" s="11">
        <v>4.0000000000000001E-10</v>
      </c>
      <c r="C45" t="s">
        <v>18</v>
      </c>
      <c r="D45" t="s">
        <v>4</v>
      </c>
      <c r="E45" t="s">
        <v>8</v>
      </c>
      <c r="F45" s="6"/>
      <c r="G45" t="s">
        <v>20</v>
      </c>
      <c r="H45" t="s">
        <v>28</v>
      </c>
    </row>
    <row r="46" spans="1:8" x14ac:dyDescent="0.2">
      <c r="A46" t="s">
        <v>161</v>
      </c>
      <c r="B46" s="7">
        <v>3.2499999999999999E-4</v>
      </c>
      <c r="C46" s="6" t="s">
        <v>16</v>
      </c>
      <c r="D46" t="s">
        <v>4</v>
      </c>
      <c r="E46" t="s">
        <v>9</v>
      </c>
      <c r="F46" s="6"/>
      <c r="G46" t="s">
        <v>20</v>
      </c>
      <c r="H46" t="s">
        <v>161</v>
      </c>
    </row>
    <row r="47" spans="1:8" x14ac:dyDescent="0.2">
      <c r="A47" t="s">
        <v>83</v>
      </c>
      <c r="B47" s="7">
        <v>1.41</v>
      </c>
      <c r="C47" s="6" t="s">
        <v>16</v>
      </c>
      <c r="D47" t="s">
        <v>4</v>
      </c>
      <c r="E47" t="s">
        <v>9</v>
      </c>
      <c r="F47" s="6"/>
      <c r="G47" t="s">
        <v>20</v>
      </c>
      <c r="H47" t="s">
        <v>85</v>
      </c>
    </row>
    <row r="48" spans="1:8" x14ac:dyDescent="0.2">
      <c r="A48" s="6" t="s">
        <v>119</v>
      </c>
      <c r="B48" s="7">
        <v>1.41</v>
      </c>
      <c r="C48" s="6" t="s">
        <v>16</v>
      </c>
      <c r="D48" t="s">
        <v>4</v>
      </c>
      <c r="E48" s="6" t="s">
        <v>9</v>
      </c>
      <c r="F48" s="6"/>
      <c r="G48" t="s">
        <v>20</v>
      </c>
      <c r="H48" s="6" t="s">
        <v>119</v>
      </c>
    </row>
    <row r="49" spans="1:8" x14ac:dyDescent="0.2">
      <c r="A49" t="s">
        <v>32</v>
      </c>
      <c r="B49" s="7">
        <v>0.57199999999999995</v>
      </c>
      <c r="C49" s="15" t="s">
        <v>30</v>
      </c>
      <c r="E49" t="s">
        <v>21</v>
      </c>
      <c r="F49" t="s">
        <v>33</v>
      </c>
      <c r="G49" t="s">
        <v>31</v>
      </c>
    </row>
    <row r="50" spans="1:8" x14ac:dyDescent="0.2">
      <c r="A50" t="s">
        <v>95</v>
      </c>
      <c r="B50" s="7">
        <v>26.3</v>
      </c>
      <c r="C50" s="6" t="s">
        <v>16</v>
      </c>
      <c r="D50" t="s">
        <v>4</v>
      </c>
      <c r="E50" t="s">
        <v>23</v>
      </c>
      <c r="F50" s="6"/>
      <c r="G50" t="s">
        <v>20</v>
      </c>
      <c r="H50" t="s">
        <v>97</v>
      </c>
    </row>
    <row r="51" spans="1:8" x14ac:dyDescent="0.2">
      <c r="A51" t="s">
        <v>53</v>
      </c>
      <c r="B51" s="4">
        <v>0.97</v>
      </c>
      <c r="C51" t="s">
        <v>18</v>
      </c>
      <c r="D51" t="s">
        <v>42</v>
      </c>
      <c r="E51" t="s">
        <v>24</v>
      </c>
      <c r="G51" t="s">
        <v>20</v>
      </c>
      <c r="H51" t="s">
        <v>41</v>
      </c>
    </row>
    <row r="52" spans="1:8" x14ac:dyDescent="0.2">
      <c r="A52" s="6" t="s">
        <v>157</v>
      </c>
      <c r="B52" s="4">
        <v>0.95299999999999996</v>
      </c>
      <c r="C52" s="6" t="s">
        <v>16</v>
      </c>
      <c r="D52" t="s">
        <v>4</v>
      </c>
      <c r="E52" t="s">
        <v>23</v>
      </c>
      <c r="F52" s="6"/>
      <c r="G52" t="s">
        <v>20</v>
      </c>
      <c r="H52" s="6" t="s">
        <v>157</v>
      </c>
    </row>
    <row r="53" spans="1:8" x14ac:dyDescent="0.2">
      <c r="A53" s="12" t="s">
        <v>34</v>
      </c>
      <c r="B53" s="13">
        <v>7.36E-4</v>
      </c>
      <c r="C53" s="15" t="s">
        <v>30</v>
      </c>
      <c r="E53" t="s">
        <v>9</v>
      </c>
      <c r="F53" t="s">
        <v>39</v>
      </c>
      <c r="G53" t="s">
        <v>31</v>
      </c>
    </row>
    <row r="54" spans="1:8" x14ac:dyDescent="0.2">
      <c r="A54" t="s">
        <v>35</v>
      </c>
      <c r="B54" s="11">
        <v>2.0100000000000001E-3</v>
      </c>
      <c r="C54" s="15" t="s">
        <v>30</v>
      </c>
      <c r="E54" t="s">
        <v>9</v>
      </c>
      <c r="F54" t="s">
        <v>39</v>
      </c>
      <c r="G54" t="s">
        <v>31</v>
      </c>
    </row>
    <row r="55" spans="1:8" x14ac:dyDescent="0.2">
      <c r="A55" t="s">
        <v>98</v>
      </c>
      <c r="B55" s="11">
        <v>8.61E-4</v>
      </c>
      <c r="C55" s="15" t="s">
        <v>30</v>
      </c>
      <c r="E55" t="s">
        <v>9</v>
      </c>
      <c r="F55" t="s">
        <v>39</v>
      </c>
      <c r="G55" t="s">
        <v>31</v>
      </c>
    </row>
    <row r="56" spans="1:8" x14ac:dyDescent="0.2">
      <c r="A56" t="s">
        <v>99</v>
      </c>
      <c r="B56" s="11">
        <v>7.7599999999999999E-16</v>
      </c>
      <c r="C56" s="15" t="s">
        <v>30</v>
      </c>
      <c r="E56" t="s">
        <v>9</v>
      </c>
      <c r="F56" t="s">
        <v>39</v>
      </c>
      <c r="G56" t="s">
        <v>31</v>
      </c>
      <c r="H56" s="12"/>
    </row>
    <row r="57" spans="1:8" x14ac:dyDescent="0.2">
      <c r="A57" t="s">
        <v>29</v>
      </c>
      <c r="B57" s="4">
        <v>2.6499999999999999E-2</v>
      </c>
      <c r="C57" s="15" t="s">
        <v>30</v>
      </c>
      <c r="E57" t="s">
        <v>9</v>
      </c>
      <c r="F57" t="s">
        <v>39</v>
      </c>
      <c r="G57" t="s">
        <v>31</v>
      </c>
      <c r="H57" s="12"/>
    </row>
    <row r="58" spans="1:8" x14ac:dyDescent="0.2">
      <c r="A58" t="s">
        <v>37</v>
      </c>
      <c r="B58" s="13">
        <v>1E-3</v>
      </c>
      <c r="C58" s="15" t="s">
        <v>30</v>
      </c>
      <c r="E58" t="s">
        <v>9</v>
      </c>
      <c r="F58" t="s">
        <v>39</v>
      </c>
      <c r="G58" t="s">
        <v>31</v>
      </c>
    </row>
    <row r="59" spans="1:8" x14ac:dyDescent="0.2">
      <c r="A59" t="s">
        <v>38</v>
      </c>
      <c r="B59" s="16">
        <f>153.04/1000</f>
        <v>0.15303999999999998</v>
      </c>
      <c r="C59" s="15" t="s">
        <v>30</v>
      </c>
      <c r="E59" t="s">
        <v>21</v>
      </c>
      <c r="F59" t="s">
        <v>39</v>
      </c>
      <c r="G59" t="s">
        <v>31</v>
      </c>
    </row>
    <row r="60" spans="1:8" x14ac:dyDescent="0.2">
      <c r="A60" t="s">
        <v>36</v>
      </c>
      <c r="B60" s="13">
        <v>1.5099999999999999E-5</v>
      </c>
      <c r="C60" s="15" t="s">
        <v>30</v>
      </c>
      <c r="E60" t="s">
        <v>9</v>
      </c>
      <c r="F60" s="15" t="s">
        <v>40</v>
      </c>
      <c r="G60" t="s">
        <v>31</v>
      </c>
    </row>
    <row r="61" spans="1:8" x14ac:dyDescent="0.2">
      <c r="A61" t="s">
        <v>92</v>
      </c>
      <c r="B61" s="13">
        <v>1.15E-7</v>
      </c>
      <c r="C61" s="15" t="s">
        <v>30</v>
      </c>
      <c r="E61" t="s">
        <v>9</v>
      </c>
      <c r="F61" s="15" t="s">
        <v>40</v>
      </c>
      <c r="G61" t="s">
        <v>31</v>
      </c>
    </row>
    <row r="62" spans="1:8" x14ac:dyDescent="0.2">
      <c r="A62" t="s">
        <v>38</v>
      </c>
      <c r="B62" s="16">
        <f>419/1000</f>
        <v>0.41899999999999998</v>
      </c>
      <c r="C62" s="15" t="s">
        <v>30</v>
      </c>
      <c r="E62" t="s">
        <v>21</v>
      </c>
      <c r="F62" s="15" t="s">
        <v>40</v>
      </c>
      <c r="G62" t="s">
        <v>31</v>
      </c>
    </row>
    <row r="63" spans="1:8" x14ac:dyDescent="0.2">
      <c r="A63" t="s">
        <v>152</v>
      </c>
      <c r="B63" s="13">
        <v>-3.2499999999999999E-4</v>
      </c>
      <c r="C63" t="s">
        <v>18</v>
      </c>
      <c r="D63" t="s">
        <v>19</v>
      </c>
      <c r="E63" t="s">
        <v>9</v>
      </c>
      <c r="F63" s="15"/>
      <c r="G63" t="s">
        <v>20</v>
      </c>
      <c r="H63" t="s">
        <v>153</v>
      </c>
    </row>
    <row r="64" spans="1:8" x14ac:dyDescent="0.2">
      <c r="A64" t="s">
        <v>162</v>
      </c>
      <c r="B64" s="13">
        <v>-1.56E-4</v>
      </c>
      <c r="C64" t="s">
        <v>18</v>
      </c>
      <c r="D64" t="s">
        <v>19</v>
      </c>
      <c r="E64" s="5" t="s">
        <v>21</v>
      </c>
      <c r="F64" s="15"/>
      <c r="G64" t="s">
        <v>20</v>
      </c>
      <c r="H64" t="s">
        <v>118</v>
      </c>
    </row>
    <row r="65" spans="1:8" x14ac:dyDescent="0.2">
      <c r="A65" s="6"/>
      <c r="B65" s="11"/>
      <c r="C65" s="6"/>
      <c r="D65" s="6"/>
      <c r="E65" s="6"/>
      <c r="F65" s="6"/>
      <c r="H65" s="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Utilities</vt:lpstr>
      <vt:lpstr>Ammonia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2023-12-15T14:18:19Z</dcterms:modified>
</cp:coreProperties>
</file>