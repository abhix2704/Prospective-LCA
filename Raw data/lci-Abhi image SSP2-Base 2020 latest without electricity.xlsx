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hinabera/Desktop/Prospective-LCA/Raw data/"/>
    </mc:Choice>
  </mc:AlternateContent>
  <xr:revisionPtr revIDLastSave="0" documentId="13_ncr:1_{9BAB1119-2006-1E42-A346-D9B3B7A09383}" xr6:coauthVersionLast="47" xr6:coauthVersionMax="47" xr10:uidLastSave="{00000000-0000-0000-0000-000000000000}"/>
  <bookViews>
    <workbookView xWindow="0" yWindow="500" windowWidth="28800" windowHeight="17500" activeTab="3" xr2:uid="{79F87D26-5407-4579-9D8D-FA563FE5FD90}"/>
  </bookViews>
  <sheets>
    <sheet name="Utilities" sheetId="6" r:id="rId1"/>
    <sheet name="Ammonia" sheetId="5" r:id="rId2"/>
    <sheet name="Methanol" sheetId="7" r:id="rId3"/>
    <sheet name="Ethylene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4" i="6" l="1"/>
  <c r="B36" i="5"/>
  <c r="B45" i="5"/>
  <c r="B126" i="6"/>
  <c r="B50" i="7"/>
  <c r="B158" i="6" l="1"/>
  <c r="B66" i="5" l="1"/>
  <c r="B67" i="5"/>
  <c r="B17" i="7"/>
  <c r="B18" i="7"/>
  <c r="B55" i="7"/>
  <c r="B56" i="7"/>
  <c r="B12" i="8"/>
</calcChain>
</file>

<file path=xl/sharedStrings.xml><?xml version="1.0" encoding="utf-8"?>
<sst xmlns="http://schemas.openxmlformats.org/spreadsheetml/2006/main" count="1304" uniqueCount="164">
  <si>
    <t>Activity</t>
  </si>
  <si>
    <t>ammonia, BAU</t>
  </si>
  <si>
    <t>comment</t>
  </si>
  <si>
    <t>location</t>
  </si>
  <si>
    <t>GLO</t>
  </si>
  <si>
    <t>production amount</t>
  </si>
  <si>
    <t>reference product</t>
  </si>
  <si>
    <t>ammonia, Abhi</t>
  </si>
  <si>
    <t>unit</t>
  </si>
  <si>
    <t>kilogram</t>
  </si>
  <si>
    <t>Exchanges</t>
  </si>
  <si>
    <t>name</t>
  </si>
  <si>
    <t>amount</t>
  </si>
  <si>
    <t>database</t>
  </si>
  <si>
    <t>categories</t>
  </si>
  <si>
    <t>type</t>
  </si>
  <si>
    <t>lci-Abhi image SSP2-Base 2020</t>
  </si>
  <si>
    <t>production</t>
  </si>
  <si>
    <t>ecoinvent 3.8 cutoff image SSP2-Base 2020</t>
  </si>
  <si>
    <t>RoW</t>
  </si>
  <si>
    <t>technosphere</t>
  </si>
  <si>
    <t>cubic meter</t>
  </si>
  <si>
    <t>natural gas, high pressure</t>
  </si>
  <si>
    <t>megajoule</t>
  </si>
  <si>
    <t>kilowatt hour</t>
  </si>
  <si>
    <t>nickel, class 1</t>
  </si>
  <si>
    <t>tap water</t>
  </si>
  <si>
    <t>market for chemical factory, organics</t>
  </si>
  <si>
    <t>chemical factory, organics</t>
  </si>
  <si>
    <t>Carbon dioxide, fossil</t>
  </si>
  <si>
    <t>biosphere3</t>
  </si>
  <si>
    <t>biosphere</t>
  </si>
  <si>
    <t>Water, cooling, unspecified natural origin</t>
  </si>
  <si>
    <t>natural resource::in water</t>
  </si>
  <si>
    <t>Hydrogen</t>
  </si>
  <si>
    <t>Ammonia</t>
  </si>
  <si>
    <t>Nitrogen</t>
  </si>
  <si>
    <t>Nitrogen oxides</t>
  </si>
  <si>
    <t>Water</t>
  </si>
  <si>
    <t>air</t>
  </si>
  <si>
    <t>nitrogen gaseous, from cryogenic distillation, without compression</t>
  </si>
  <si>
    <t>nitrogen, Abhi</t>
  </si>
  <si>
    <t>water</t>
  </si>
  <si>
    <t>electricity, high voltage</t>
  </si>
  <si>
    <t>Database</t>
  </si>
  <si>
    <t>This is the activity for 1 kg of BAU ammonia</t>
  </si>
  <si>
    <t>market for natural gas, high pressure</t>
  </si>
  <si>
    <t>market for water, deionised</t>
  </si>
  <si>
    <t>water, deionised</t>
  </si>
  <si>
    <t>desulfurization catalyst</t>
  </si>
  <si>
    <t>This is the activity for 1 kg of desulfurization catalyst</t>
  </si>
  <si>
    <t>market for zinc oxide</t>
  </si>
  <si>
    <t>zinc oxide</t>
  </si>
  <si>
    <t>market group for electricity, high voltage</t>
  </si>
  <si>
    <t>hydrodesulfurization catalyst</t>
  </si>
  <si>
    <t>This is the activity for 1 kg of hydrodesulfurization catalyst</t>
  </si>
  <si>
    <t>cobalt production</t>
  </si>
  <si>
    <t>cobalt</t>
  </si>
  <si>
    <t>molybdenum trioxide production</t>
  </si>
  <si>
    <t>molybdenum trioxide</t>
  </si>
  <si>
    <t>zeolite production, powder</t>
  </si>
  <si>
    <t>high temperature shift catalyst</t>
  </si>
  <si>
    <t>This is the activity for 1 kg of high temperature shift catalyst</t>
  </si>
  <si>
    <t>magnetite production</t>
  </si>
  <si>
    <t>magnetite</t>
  </si>
  <si>
    <t>market for magnesium oxide</t>
  </si>
  <si>
    <t>magnesium oxide</t>
  </si>
  <si>
    <t>market for chromium oxide, flakes</t>
  </si>
  <si>
    <t>chromium oxide, flakes</t>
  </si>
  <si>
    <t>low temperature shift catalyst</t>
  </si>
  <si>
    <t>This is the activity for 1 kg of low temperature shift catalyst</t>
  </si>
  <si>
    <t>market for copper oxide</t>
  </si>
  <si>
    <t>copper oxide</t>
  </si>
  <si>
    <t>methanation catalyst</t>
  </si>
  <si>
    <t>This is the activity for 1 kg of methanation catalyst</t>
  </si>
  <si>
    <t>smelting and refining of nickel concentrate, 16% Ni</t>
  </si>
  <si>
    <t>ammonia synthesis catalyst</t>
  </si>
  <si>
    <t>This is the activity for 1 kg of ammonia synthesis catalyst</t>
  </si>
  <si>
    <t>lime production, milled, loose</t>
  </si>
  <si>
    <t>lime</t>
  </si>
  <si>
    <t>reforming catalyst</t>
  </si>
  <si>
    <t>This is the activity for 1 kg of reforming catalyst</t>
  </si>
  <si>
    <t>This is the activity for 1 kg of catalysts for ammonia synthesis</t>
  </si>
  <si>
    <t>market for monoethanolamine</t>
  </si>
  <si>
    <t>monoethanolamine</t>
  </si>
  <si>
    <t>Monoethanolamine</t>
  </si>
  <si>
    <t>Methane, fossil</t>
  </si>
  <si>
    <t>Carbon monoxide, fossil</t>
  </si>
  <si>
    <t>Particulates, &lt; 2.5 um</t>
  </si>
  <si>
    <t>Mercury</t>
  </si>
  <si>
    <t>Benzo(a)pyrene</t>
  </si>
  <si>
    <t>zeolite, powder</t>
  </si>
  <si>
    <t>wastewater, average</t>
  </si>
  <si>
    <t>treatment of inert waste, inert material landfill</t>
  </si>
  <si>
    <t>inert waste, for final disposal</t>
  </si>
  <si>
    <t>heat production, natural gas, at industrial furnace &gt;100kW</t>
  </si>
  <si>
    <t>heat, district or industrial, natural gas</t>
  </si>
  <si>
    <t>ammonia, blue</t>
  </si>
  <si>
    <t>This is the activity for 1 kg of blue ammonia</t>
  </si>
  <si>
    <t>This is the activity for 1 kg of nitrogen from cryogenic distillation</t>
  </si>
  <si>
    <t>air separation facility construction</t>
  </si>
  <si>
    <t>air separation facility</t>
  </si>
  <si>
    <t>catalysts for ammonia synthesis from SMR</t>
  </si>
  <si>
    <t>ammonia; hydrogen, PEM electrolysis, electricity mix</t>
  </si>
  <si>
    <t>methanol, BAU</t>
  </si>
  <si>
    <t>methanol, Abhi</t>
  </si>
  <si>
    <t>This is the activity for 1 kg of BAU methanol</t>
  </si>
  <si>
    <t>methanol, blue</t>
  </si>
  <si>
    <t>market for zinc</t>
  </si>
  <si>
    <t>zinc</t>
  </si>
  <si>
    <t>market for molybdenum</t>
  </si>
  <si>
    <t>molybdenum</t>
  </si>
  <si>
    <t>market for nickel, class 1</t>
  </si>
  <si>
    <t>market for aluminium oxide, non-metallurgical</t>
  </si>
  <si>
    <t>market for methanol factory</t>
  </si>
  <si>
    <t>methanol factory</t>
  </si>
  <si>
    <t>aluminium oxide, non-metallurgical</t>
  </si>
  <si>
    <t>natural gas heating, with CCS</t>
  </si>
  <si>
    <t>heating, Abhi</t>
  </si>
  <si>
    <t>air::non-urban air or from high stacks</t>
  </si>
  <si>
    <t>Chloride</t>
  </si>
  <si>
    <t>BOD5, Biological Oxygen Demand</t>
  </si>
  <si>
    <t>Methanol</t>
  </si>
  <si>
    <t>TOC, Total Organic Carbon</t>
  </si>
  <si>
    <t>AOX, Adsorbable Organic Halogen as Cl</t>
  </si>
  <si>
    <t>Suspended solids, unspecified</t>
  </si>
  <si>
    <t>DOC, Dissolved Organic Carbon</t>
  </si>
  <si>
    <t>Sulfur dioxide</t>
  </si>
  <si>
    <t>Formaldehyde</t>
  </si>
  <si>
    <t>Phosphorus</t>
  </si>
  <si>
    <t>COD, Chemical Oxygen Demand</t>
  </si>
  <si>
    <t>Phenol</t>
  </si>
  <si>
    <t>market group for electricity, low voltage</t>
  </si>
  <si>
    <t>electricity, low voltage</t>
  </si>
  <si>
    <t>industrial furnace production, natural gas</t>
  </si>
  <si>
    <t>industrial furnace, natural gas</t>
  </si>
  <si>
    <t>Dinitrogen monoxide</t>
  </si>
  <si>
    <t>Acetaldehyde</t>
  </si>
  <si>
    <t>Acetic acid</t>
  </si>
  <si>
    <t>Benzene</t>
  </si>
  <si>
    <t>Butane</t>
  </si>
  <si>
    <t>Dioxins, measured as 2,3,7,8-tetrachlorodibenzo-p-dioxin</t>
  </si>
  <si>
    <t>PAH, polycyclic aromatic hydrocarbons</t>
  </si>
  <si>
    <t>Pentane</t>
  </si>
  <si>
    <t>Propane</t>
  </si>
  <si>
    <t>Propionic acid</t>
  </si>
  <si>
    <t>Toluene</t>
  </si>
  <si>
    <t>This is the activity for 1 kg of blue methanol</t>
  </si>
  <si>
    <t>This is the activity for the production of ethylene via fMTO</t>
  </si>
  <si>
    <t>ethylene, Abhi</t>
  </si>
  <si>
    <t>steam production, in chemical industry</t>
  </si>
  <si>
    <t>steam, in chemical industry</t>
  </si>
  <si>
    <t>market for wastewater, average</t>
  </si>
  <si>
    <t>ethylene, MTO; methanol, BAU</t>
  </si>
  <si>
    <t>market for tap water</t>
  </si>
  <si>
    <t>market for solvent, organic</t>
  </si>
  <si>
    <t>solvent, organic</t>
  </si>
  <si>
    <t>market for municipal solid waste</t>
  </si>
  <si>
    <t>municipal solid waste</t>
  </si>
  <si>
    <t>air::urban air close to ground</t>
  </si>
  <si>
    <t>water::surface water</t>
  </si>
  <si>
    <t xml:space="preserve">air </t>
  </si>
  <si>
    <t>This is the activity for 1 kg of BAU ammonia with CCS</t>
  </si>
  <si>
    <t>market group for natural gas, high 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</si>
</sst>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left"/>
    </xf>
    <xf numFmtId="164" fontId="0" fillId="0" borderId="0" xfId="0" applyNumberFormat="1" applyAlignment="1">
      <alignment horizontal="center"/>
    </xf>
    <xf numFmtId="0" fontId="3" fillId="0" borderId="0" xfId="0" applyFont="1"/>
    <xf numFmtId="1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4" fillId="3" borderId="0" xfId="1" applyFont="1" applyFill="1"/>
    <xf numFmtId="0" fontId="3" fillId="3" borderId="0" xfId="0" applyFont="1" applyFill="1" applyAlignment="1">
      <alignment horizontal="left"/>
    </xf>
    <xf numFmtId="0" fontId="3" fillId="3" borderId="0" xfId="1" applyFont="1" applyFill="1"/>
    <xf numFmtId="11" fontId="1" fillId="0" borderId="0" xfId="0" applyNumberFormat="1" applyFont="1" applyAlignment="1">
      <alignment horizontal="center"/>
    </xf>
    <xf numFmtId="11" fontId="0" fillId="0" borderId="0" xfId="0" applyNumberFormat="1"/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0" borderId="0" xfId="1" applyFont="1"/>
    <xf numFmtId="11" fontId="3" fillId="0" borderId="0" xfId="1" applyNumberFormat="1" applyFont="1" applyAlignment="1">
      <alignment horizontal="left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left"/>
    </xf>
  </cellXfs>
  <cellStyles count="2">
    <cellStyle name="Normal" xfId="0" builtinId="0"/>
    <cellStyle name="Normal 11" xfId="1" xr:uid="{D5C3E5E0-2437-4066-8988-DB8BCB10E0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8D1F9-2651-4D58-AB8D-D63402B2F76A}">
  <dimension ref="A1:H158"/>
  <sheetViews>
    <sheetView topLeftCell="A121" zoomScaleNormal="100" workbookViewId="0">
      <selection activeCell="D158" sqref="D158"/>
    </sheetView>
  </sheetViews>
  <sheetFormatPr baseColWidth="10" defaultColWidth="8.6640625" defaultRowHeight="15" x14ac:dyDescent="0.2"/>
  <cols>
    <col min="1" max="1" width="70.5" bestFit="1" customWidth="1"/>
    <col min="2" max="2" width="19.6640625" customWidth="1"/>
    <col min="3" max="3" width="38.33203125" bestFit="1" customWidth="1"/>
    <col min="4" max="4" width="7.6640625" bestFit="1" customWidth="1"/>
    <col min="5" max="5" width="11.6640625" bestFit="1" customWidth="1"/>
    <col min="6" max="6" width="9.5" bestFit="1" customWidth="1"/>
    <col min="7" max="7" width="12.1640625" bestFit="1" customWidth="1"/>
    <col min="8" max="8" width="25.1640625" bestFit="1" customWidth="1"/>
  </cols>
  <sheetData>
    <row r="1" spans="1:8" s="8" customFormat="1" x14ac:dyDescent="0.2">
      <c r="A1" s="10" t="s">
        <v>44</v>
      </c>
      <c r="B1" s="10" t="s">
        <v>16</v>
      </c>
      <c r="C1" s="11"/>
      <c r="D1" s="12"/>
      <c r="E1" s="12"/>
      <c r="F1" s="12"/>
      <c r="G1" s="12"/>
      <c r="H1" s="12"/>
    </row>
    <row r="2" spans="1:8" s="8" customFormat="1" x14ac:dyDescent="0.2">
      <c r="A2" s="2"/>
      <c r="B2" s="2"/>
      <c r="C2" s="3"/>
      <c r="D2" s="2"/>
      <c r="E2" s="2"/>
      <c r="F2" s="2"/>
      <c r="G2" s="2"/>
      <c r="H2" s="2"/>
    </row>
    <row r="3" spans="1:8" x14ac:dyDescent="0.2">
      <c r="A3" s="1" t="s">
        <v>0</v>
      </c>
      <c r="B3" s="1" t="s">
        <v>49</v>
      </c>
      <c r="C3" s="8"/>
      <c r="D3" s="8"/>
      <c r="E3" s="8"/>
      <c r="F3" s="8"/>
      <c r="G3" s="8"/>
      <c r="H3" s="8"/>
    </row>
    <row r="4" spans="1:8" x14ac:dyDescent="0.2">
      <c r="A4" s="8" t="s">
        <v>2</v>
      </c>
      <c r="B4" t="s">
        <v>50</v>
      </c>
      <c r="C4" s="8"/>
      <c r="D4" s="8"/>
      <c r="E4" s="8"/>
      <c r="F4" s="8"/>
      <c r="G4" s="8"/>
      <c r="H4" s="8"/>
    </row>
    <row r="5" spans="1:8" x14ac:dyDescent="0.2">
      <c r="A5" s="8" t="s">
        <v>3</v>
      </c>
      <c r="B5" t="s">
        <v>4</v>
      </c>
      <c r="C5" s="8"/>
      <c r="D5" s="8"/>
      <c r="E5" s="8"/>
      <c r="F5" s="8"/>
      <c r="G5" s="8"/>
      <c r="H5" s="8"/>
    </row>
    <row r="6" spans="1:8" x14ac:dyDescent="0.2">
      <c r="A6" s="8" t="s">
        <v>5</v>
      </c>
      <c r="B6" s="8">
        <v>1</v>
      </c>
      <c r="C6" s="8"/>
      <c r="D6" s="8"/>
      <c r="E6" s="8"/>
      <c r="F6" s="8"/>
      <c r="G6" s="8"/>
      <c r="H6" s="8"/>
    </row>
    <row r="7" spans="1:8" x14ac:dyDescent="0.2">
      <c r="A7" s="8" t="s">
        <v>6</v>
      </c>
      <c r="B7" t="s">
        <v>49</v>
      </c>
      <c r="C7" s="8"/>
      <c r="D7" s="8"/>
      <c r="E7" s="8"/>
      <c r="F7" s="8"/>
      <c r="G7" s="8"/>
      <c r="H7" s="8"/>
    </row>
    <row r="8" spans="1:8" x14ac:dyDescent="0.2">
      <c r="A8" s="8" t="s">
        <v>8</v>
      </c>
      <c r="B8" t="s">
        <v>9</v>
      </c>
      <c r="C8" s="8"/>
      <c r="D8" s="8"/>
      <c r="E8" s="8"/>
      <c r="F8" s="8"/>
      <c r="G8" s="8"/>
      <c r="H8" s="8"/>
    </row>
    <row r="9" spans="1:8" x14ac:dyDescent="0.2">
      <c r="A9" s="1" t="s">
        <v>10</v>
      </c>
      <c r="B9" s="8"/>
      <c r="C9" s="8"/>
      <c r="D9" s="8"/>
      <c r="E9" s="8"/>
      <c r="F9" s="8"/>
      <c r="G9" s="8"/>
      <c r="H9" s="8"/>
    </row>
    <row r="10" spans="1:8" x14ac:dyDescent="0.2">
      <c r="A10" s="8" t="s">
        <v>11</v>
      </c>
      <c r="B10" s="8" t="s">
        <v>12</v>
      </c>
      <c r="C10" s="8" t="s">
        <v>13</v>
      </c>
      <c r="D10" s="8" t="s">
        <v>3</v>
      </c>
      <c r="E10" s="8" t="s">
        <v>8</v>
      </c>
      <c r="F10" s="8" t="s">
        <v>14</v>
      </c>
      <c r="G10" s="8" t="s">
        <v>15</v>
      </c>
      <c r="H10" s="8" t="s">
        <v>6</v>
      </c>
    </row>
    <row r="11" spans="1:8" x14ac:dyDescent="0.2">
      <c r="A11" t="s">
        <v>49</v>
      </c>
      <c r="B11" s="9">
        <v>1</v>
      </c>
      <c r="C11" s="8" t="s">
        <v>16</v>
      </c>
      <c r="D11" t="s">
        <v>4</v>
      </c>
      <c r="E11" t="s">
        <v>9</v>
      </c>
      <c r="F11" s="8"/>
      <c r="G11" s="8" t="s">
        <v>17</v>
      </c>
      <c r="H11" t="s">
        <v>49</v>
      </c>
    </row>
    <row r="12" spans="1:8" x14ac:dyDescent="0.2">
      <c r="A12" t="s">
        <v>51</v>
      </c>
      <c r="B12" s="9">
        <v>1</v>
      </c>
      <c r="C12" t="s">
        <v>18</v>
      </c>
      <c r="D12" t="s">
        <v>4</v>
      </c>
      <c r="E12" t="s">
        <v>9</v>
      </c>
      <c r="F12" s="8"/>
      <c r="G12" t="s">
        <v>20</v>
      </c>
      <c r="H12" t="s">
        <v>52</v>
      </c>
    </row>
    <row r="13" spans="1:8" x14ac:dyDescent="0.2">
      <c r="A13" t="s">
        <v>53</v>
      </c>
      <c r="B13" s="4">
        <v>1.94</v>
      </c>
      <c r="C13" t="s">
        <v>18</v>
      </c>
      <c r="D13" t="s">
        <v>4</v>
      </c>
      <c r="E13" t="s">
        <v>24</v>
      </c>
      <c r="G13" t="s">
        <v>20</v>
      </c>
      <c r="H13" t="s">
        <v>43</v>
      </c>
    </row>
    <row r="14" spans="1:8" s="8" customFormat="1" x14ac:dyDescent="0.2">
      <c r="A14" s="2"/>
      <c r="B14" s="2"/>
      <c r="C14" s="3"/>
      <c r="D14" s="2"/>
      <c r="E14" s="2"/>
      <c r="F14" s="2"/>
      <c r="G14" s="2"/>
      <c r="H14" s="2"/>
    </row>
    <row r="15" spans="1:8" x14ac:dyDescent="0.2">
      <c r="A15" s="1" t="s">
        <v>0</v>
      </c>
      <c r="B15" s="1" t="s">
        <v>54</v>
      </c>
      <c r="C15" s="8"/>
      <c r="D15" s="8"/>
      <c r="E15" s="8"/>
      <c r="F15" s="8"/>
      <c r="G15" s="8"/>
      <c r="H15" s="8"/>
    </row>
    <row r="16" spans="1:8" x14ac:dyDescent="0.2">
      <c r="A16" s="8" t="s">
        <v>2</v>
      </c>
      <c r="B16" t="s">
        <v>55</v>
      </c>
      <c r="C16" s="8"/>
      <c r="D16" s="8"/>
      <c r="E16" s="8"/>
      <c r="F16" s="8"/>
      <c r="G16" s="8"/>
      <c r="H16" s="8"/>
    </row>
    <row r="17" spans="1:8" x14ac:dyDescent="0.2">
      <c r="A17" s="8" t="s">
        <v>3</v>
      </c>
      <c r="B17" t="s">
        <v>4</v>
      </c>
      <c r="C17" s="8"/>
      <c r="D17" s="8"/>
      <c r="E17" s="8"/>
      <c r="F17" s="8"/>
      <c r="G17" s="8"/>
      <c r="H17" s="8"/>
    </row>
    <row r="18" spans="1:8" x14ac:dyDescent="0.2">
      <c r="A18" s="8" t="s">
        <v>5</v>
      </c>
      <c r="B18" s="8">
        <v>1</v>
      </c>
      <c r="C18" s="8"/>
      <c r="D18" s="8"/>
      <c r="E18" s="8"/>
      <c r="F18" s="8"/>
      <c r="G18" s="8"/>
      <c r="H18" s="8"/>
    </row>
    <row r="19" spans="1:8" x14ac:dyDescent="0.2">
      <c r="A19" s="8" t="s">
        <v>6</v>
      </c>
      <c r="B19" t="s">
        <v>54</v>
      </c>
      <c r="C19" s="8"/>
      <c r="D19" s="8"/>
      <c r="E19" s="8"/>
      <c r="F19" s="8"/>
      <c r="G19" s="8"/>
      <c r="H19" s="8"/>
    </row>
    <row r="20" spans="1:8" x14ac:dyDescent="0.2">
      <c r="A20" s="8" t="s">
        <v>8</v>
      </c>
      <c r="B20" t="s">
        <v>9</v>
      </c>
      <c r="C20" s="8"/>
      <c r="D20" s="8"/>
      <c r="E20" s="8"/>
      <c r="F20" s="8"/>
      <c r="G20" s="8"/>
      <c r="H20" s="8"/>
    </row>
    <row r="21" spans="1:8" x14ac:dyDescent="0.2">
      <c r="A21" s="1" t="s">
        <v>10</v>
      </c>
      <c r="B21" s="8"/>
      <c r="C21" s="8"/>
      <c r="D21" s="8"/>
      <c r="E21" s="8"/>
      <c r="F21" s="8"/>
      <c r="G21" s="8"/>
      <c r="H21" s="8"/>
    </row>
    <row r="22" spans="1:8" x14ac:dyDescent="0.2">
      <c r="A22" s="8" t="s">
        <v>11</v>
      </c>
      <c r="B22" s="8" t="s">
        <v>12</v>
      </c>
      <c r="C22" s="8" t="s">
        <v>13</v>
      </c>
      <c r="D22" s="8" t="s">
        <v>3</v>
      </c>
      <c r="E22" s="8" t="s">
        <v>8</v>
      </c>
      <c r="F22" s="8" t="s">
        <v>14</v>
      </c>
      <c r="G22" s="8" t="s">
        <v>15</v>
      </c>
      <c r="H22" s="8" t="s">
        <v>6</v>
      </c>
    </row>
    <row r="23" spans="1:8" x14ac:dyDescent="0.2">
      <c r="A23" t="s">
        <v>54</v>
      </c>
      <c r="B23" s="9">
        <v>1</v>
      </c>
      <c r="C23" s="8" t="s">
        <v>16</v>
      </c>
      <c r="D23" t="s">
        <v>4</v>
      </c>
      <c r="E23" t="s">
        <v>9</v>
      </c>
      <c r="F23" s="8"/>
      <c r="G23" s="8" t="s">
        <v>17</v>
      </c>
      <c r="H23" t="s">
        <v>54</v>
      </c>
    </row>
    <row r="24" spans="1:8" x14ac:dyDescent="0.2">
      <c r="A24" t="s">
        <v>56</v>
      </c>
      <c r="B24" s="9">
        <v>0.1</v>
      </c>
      <c r="C24" t="s">
        <v>18</v>
      </c>
      <c r="D24" t="s">
        <v>4</v>
      </c>
      <c r="E24" t="s">
        <v>9</v>
      </c>
      <c r="F24" s="8"/>
      <c r="G24" t="s">
        <v>20</v>
      </c>
      <c r="H24" t="s">
        <v>57</v>
      </c>
    </row>
    <row r="25" spans="1:8" x14ac:dyDescent="0.2">
      <c r="A25" t="s">
        <v>58</v>
      </c>
      <c r="B25" s="4">
        <v>0.1</v>
      </c>
      <c r="C25" t="s">
        <v>18</v>
      </c>
      <c r="D25" t="s">
        <v>4</v>
      </c>
      <c r="E25" t="s">
        <v>9</v>
      </c>
      <c r="G25" t="s">
        <v>20</v>
      </c>
      <c r="H25" t="s">
        <v>59</v>
      </c>
    </row>
    <row r="26" spans="1:8" x14ac:dyDescent="0.2">
      <c r="A26" t="s">
        <v>60</v>
      </c>
      <c r="B26" s="4">
        <v>0.8</v>
      </c>
      <c r="C26" t="s">
        <v>18</v>
      </c>
      <c r="D26" t="s">
        <v>19</v>
      </c>
      <c r="E26" t="s">
        <v>9</v>
      </c>
      <c r="G26" t="s">
        <v>20</v>
      </c>
      <c r="H26" t="s">
        <v>91</v>
      </c>
    </row>
    <row r="27" spans="1:8" x14ac:dyDescent="0.2">
      <c r="A27" t="s">
        <v>53</v>
      </c>
      <c r="B27" s="4">
        <v>0.38800000000000001</v>
      </c>
      <c r="C27" t="s">
        <v>18</v>
      </c>
      <c r="D27" t="s">
        <v>4</v>
      </c>
      <c r="E27" t="s">
        <v>24</v>
      </c>
      <c r="G27" t="s">
        <v>20</v>
      </c>
      <c r="H27" t="s">
        <v>43</v>
      </c>
    </row>
    <row r="28" spans="1:8" x14ac:dyDescent="0.2">
      <c r="A28" s="2"/>
      <c r="B28" s="2"/>
      <c r="C28" s="3"/>
      <c r="D28" s="2"/>
      <c r="E28" s="2"/>
      <c r="F28" s="2"/>
      <c r="G28" s="2"/>
      <c r="H28" s="2"/>
    </row>
    <row r="29" spans="1:8" x14ac:dyDescent="0.2">
      <c r="A29" s="1" t="s">
        <v>0</v>
      </c>
      <c r="B29" s="1" t="s">
        <v>61</v>
      </c>
      <c r="C29" s="8"/>
      <c r="D29" s="8"/>
      <c r="E29" s="8"/>
      <c r="F29" s="8"/>
      <c r="G29" s="8"/>
      <c r="H29" s="8"/>
    </row>
    <row r="30" spans="1:8" x14ac:dyDescent="0.2">
      <c r="A30" s="8" t="s">
        <v>2</v>
      </c>
      <c r="B30" t="s">
        <v>62</v>
      </c>
      <c r="C30" s="8"/>
      <c r="D30" s="8"/>
      <c r="E30" s="8"/>
      <c r="F30" s="8"/>
      <c r="G30" s="8"/>
      <c r="H30" s="8"/>
    </row>
    <row r="31" spans="1:8" x14ac:dyDescent="0.2">
      <c r="A31" s="8" t="s">
        <v>3</v>
      </c>
      <c r="B31" t="s">
        <v>4</v>
      </c>
      <c r="C31" s="8"/>
      <c r="D31" s="8"/>
      <c r="E31" s="8"/>
      <c r="F31" s="8"/>
      <c r="G31" s="8"/>
      <c r="H31" s="8"/>
    </row>
    <row r="32" spans="1:8" x14ac:dyDescent="0.2">
      <c r="A32" s="8" t="s">
        <v>5</v>
      </c>
      <c r="B32" s="8">
        <v>1</v>
      </c>
      <c r="C32" s="8"/>
      <c r="D32" s="8"/>
      <c r="E32" s="8"/>
      <c r="F32" s="8"/>
      <c r="G32" s="8"/>
      <c r="H32" s="8"/>
    </row>
    <row r="33" spans="1:8" x14ac:dyDescent="0.2">
      <c r="A33" s="8" t="s">
        <v>6</v>
      </c>
      <c r="B33" t="s">
        <v>61</v>
      </c>
      <c r="C33" s="8"/>
      <c r="D33" s="8"/>
      <c r="E33" s="8"/>
      <c r="F33" s="8"/>
      <c r="G33" s="8"/>
      <c r="H33" s="8"/>
    </row>
    <row r="34" spans="1:8" x14ac:dyDescent="0.2">
      <c r="A34" s="8" t="s">
        <v>8</v>
      </c>
      <c r="B34" t="s">
        <v>9</v>
      </c>
      <c r="C34" s="8"/>
      <c r="D34" s="8"/>
      <c r="E34" s="8"/>
      <c r="F34" s="8"/>
      <c r="G34" s="8"/>
      <c r="H34" s="8"/>
    </row>
    <row r="35" spans="1:8" x14ac:dyDescent="0.2">
      <c r="A35" s="1" t="s">
        <v>10</v>
      </c>
      <c r="B35" s="8"/>
      <c r="C35" s="8"/>
      <c r="D35" s="8"/>
      <c r="E35" s="8"/>
      <c r="F35" s="8"/>
      <c r="G35" s="8"/>
      <c r="H35" s="8"/>
    </row>
    <row r="36" spans="1:8" x14ac:dyDescent="0.2">
      <c r="A36" s="8" t="s">
        <v>11</v>
      </c>
      <c r="B36" s="8" t="s">
        <v>12</v>
      </c>
      <c r="C36" s="8" t="s">
        <v>13</v>
      </c>
      <c r="D36" s="8" t="s">
        <v>3</v>
      </c>
      <c r="E36" s="8" t="s">
        <v>8</v>
      </c>
      <c r="F36" s="8" t="s">
        <v>14</v>
      </c>
      <c r="G36" s="8" t="s">
        <v>15</v>
      </c>
      <c r="H36" s="8" t="s">
        <v>6</v>
      </c>
    </row>
    <row r="37" spans="1:8" x14ac:dyDescent="0.2">
      <c r="A37" t="s">
        <v>61</v>
      </c>
      <c r="B37" s="9">
        <v>1</v>
      </c>
      <c r="C37" s="8" t="s">
        <v>16</v>
      </c>
      <c r="D37" t="s">
        <v>4</v>
      </c>
      <c r="E37" t="s">
        <v>9</v>
      </c>
      <c r="F37" s="8"/>
      <c r="G37" s="8" t="s">
        <v>17</v>
      </c>
      <c r="H37" t="s">
        <v>61</v>
      </c>
    </row>
    <row r="38" spans="1:8" x14ac:dyDescent="0.2">
      <c r="A38" t="s">
        <v>63</v>
      </c>
      <c r="B38" s="9">
        <v>0.879</v>
      </c>
      <c r="C38" t="s">
        <v>18</v>
      </c>
      <c r="D38" t="s">
        <v>4</v>
      </c>
      <c r="E38" t="s">
        <v>9</v>
      </c>
      <c r="F38" s="8"/>
      <c r="G38" t="s">
        <v>20</v>
      </c>
      <c r="H38" t="s">
        <v>64</v>
      </c>
    </row>
    <row r="39" spans="1:8" x14ac:dyDescent="0.2">
      <c r="A39" t="s">
        <v>65</v>
      </c>
      <c r="B39" s="4">
        <v>2.3999999999999998E-3</v>
      </c>
      <c r="C39" t="s">
        <v>18</v>
      </c>
      <c r="D39" t="s">
        <v>4</v>
      </c>
      <c r="E39" t="s">
        <v>9</v>
      </c>
      <c r="G39" t="s">
        <v>20</v>
      </c>
      <c r="H39" t="s">
        <v>66</v>
      </c>
    </row>
    <row r="40" spans="1:8" x14ac:dyDescent="0.2">
      <c r="A40" t="s">
        <v>67</v>
      </c>
      <c r="B40" s="4">
        <v>0.11799999999999999</v>
      </c>
      <c r="C40" t="s">
        <v>18</v>
      </c>
      <c r="D40" t="s">
        <v>4</v>
      </c>
      <c r="E40" t="s">
        <v>9</v>
      </c>
      <c r="G40" t="s">
        <v>20</v>
      </c>
      <c r="H40" t="s">
        <v>68</v>
      </c>
    </row>
    <row r="41" spans="1:8" x14ac:dyDescent="0.2">
      <c r="A41" t="s">
        <v>53</v>
      </c>
      <c r="B41" s="4">
        <v>1.94</v>
      </c>
      <c r="C41" t="s">
        <v>18</v>
      </c>
      <c r="D41" t="s">
        <v>4</v>
      </c>
      <c r="E41" t="s">
        <v>24</v>
      </c>
      <c r="G41" t="s">
        <v>20</v>
      </c>
      <c r="H41" t="s">
        <v>43</v>
      </c>
    </row>
    <row r="42" spans="1:8" x14ac:dyDescent="0.2">
      <c r="A42" s="2"/>
      <c r="B42" s="2"/>
      <c r="C42" s="3"/>
      <c r="D42" s="2"/>
      <c r="E42" s="2"/>
      <c r="F42" s="2"/>
      <c r="G42" s="2"/>
      <c r="H42" s="2"/>
    </row>
    <row r="43" spans="1:8" x14ac:dyDescent="0.2">
      <c r="A43" s="1" t="s">
        <v>0</v>
      </c>
      <c r="B43" s="1" t="s">
        <v>69</v>
      </c>
      <c r="C43" s="8"/>
      <c r="D43" s="8"/>
      <c r="E43" s="8"/>
      <c r="F43" s="8"/>
      <c r="G43" s="8"/>
      <c r="H43" s="8"/>
    </row>
    <row r="44" spans="1:8" x14ac:dyDescent="0.2">
      <c r="A44" s="8" t="s">
        <v>2</v>
      </c>
      <c r="B44" t="s">
        <v>70</v>
      </c>
      <c r="C44" s="8"/>
      <c r="D44" s="8"/>
      <c r="E44" s="8"/>
      <c r="F44" s="8"/>
      <c r="G44" s="8"/>
      <c r="H44" s="8"/>
    </row>
    <row r="45" spans="1:8" x14ac:dyDescent="0.2">
      <c r="A45" s="8" t="s">
        <v>3</v>
      </c>
      <c r="B45" t="s">
        <v>4</v>
      </c>
      <c r="C45" s="8"/>
      <c r="D45" s="8"/>
      <c r="E45" s="8"/>
      <c r="F45" s="8"/>
      <c r="G45" s="8"/>
      <c r="H45" s="8"/>
    </row>
    <row r="46" spans="1:8" x14ac:dyDescent="0.2">
      <c r="A46" s="8" t="s">
        <v>5</v>
      </c>
      <c r="B46" s="8">
        <v>1</v>
      </c>
      <c r="C46" s="8"/>
      <c r="D46" s="8"/>
      <c r="E46" s="8"/>
      <c r="F46" s="8"/>
      <c r="G46" s="8"/>
      <c r="H46" s="8"/>
    </row>
    <row r="47" spans="1:8" x14ac:dyDescent="0.2">
      <c r="A47" s="8" t="s">
        <v>6</v>
      </c>
      <c r="B47" t="s">
        <v>69</v>
      </c>
      <c r="C47" s="8"/>
      <c r="D47" s="8"/>
      <c r="E47" s="8"/>
      <c r="F47" s="8"/>
      <c r="G47" s="8"/>
      <c r="H47" s="8"/>
    </row>
    <row r="48" spans="1:8" x14ac:dyDescent="0.2">
      <c r="A48" s="8" t="s">
        <v>8</v>
      </c>
      <c r="B48" t="s">
        <v>9</v>
      </c>
      <c r="C48" s="8"/>
      <c r="D48" s="8"/>
      <c r="E48" s="8"/>
      <c r="F48" s="8"/>
      <c r="G48" s="8"/>
      <c r="H48" s="8"/>
    </row>
    <row r="49" spans="1:8" x14ac:dyDescent="0.2">
      <c r="A49" s="1" t="s">
        <v>10</v>
      </c>
      <c r="B49" s="8"/>
      <c r="C49" s="8"/>
      <c r="D49" s="8"/>
      <c r="E49" s="8"/>
      <c r="F49" s="8"/>
      <c r="G49" s="8"/>
      <c r="H49" s="8"/>
    </row>
    <row r="50" spans="1:8" x14ac:dyDescent="0.2">
      <c r="A50" s="8" t="s">
        <v>11</v>
      </c>
      <c r="B50" s="8" t="s">
        <v>12</v>
      </c>
      <c r="C50" s="8" t="s">
        <v>13</v>
      </c>
      <c r="D50" s="8" t="s">
        <v>3</v>
      </c>
      <c r="E50" s="8" t="s">
        <v>8</v>
      </c>
      <c r="F50" s="8" t="s">
        <v>14</v>
      </c>
      <c r="G50" s="8" t="s">
        <v>15</v>
      </c>
      <c r="H50" s="8" t="s">
        <v>6</v>
      </c>
    </row>
    <row r="51" spans="1:8" x14ac:dyDescent="0.2">
      <c r="A51" t="s">
        <v>69</v>
      </c>
      <c r="B51" s="9">
        <v>1</v>
      </c>
      <c r="C51" s="8" t="s">
        <v>16</v>
      </c>
      <c r="D51" t="s">
        <v>4</v>
      </c>
      <c r="E51" t="s">
        <v>9</v>
      </c>
      <c r="F51" s="8"/>
      <c r="G51" s="8" t="s">
        <v>17</v>
      </c>
      <c r="H51" t="s">
        <v>69</v>
      </c>
    </row>
    <row r="52" spans="1:8" x14ac:dyDescent="0.2">
      <c r="A52" t="s">
        <v>51</v>
      </c>
      <c r="B52" s="9">
        <v>0.435</v>
      </c>
      <c r="C52" t="s">
        <v>18</v>
      </c>
      <c r="D52" t="s">
        <v>4</v>
      </c>
      <c r="E52" t="s">
        <v>9</v>
      </c>
      <c r="F52" s="8"/>
      <c r="G52" t="s">
        <v>20</v>
      </c>
      <c r="H52" t="s">
        <v>52</v>
      </c>
    </row>
    <row r="53" spans="1:8" x14ac:dyDescent="0.2">
      <c r="A53" t="s">
        <v>71</v>
      </c>
      <c r="B53" s="4">
        <v>0.32500000000000001</v>
      </c>
      <c r="C53" t="s">
        <v>18</v>
      </c>
      <c r="D53" t="s">
        <v>4</v>
      </c>
      <c r="E53" t="s">
        <v>9</v>
      </c>
      <c r="G53" t="s">
        <v>20</v>
      </c>
      <c r="H53" t="s">
        <v>72</v>
      </c>
    </row>
    <row r="54" spans="1:8" x14ac:dyDescent="0.2">
      <c r="A54" t="s">
        <v>60</v>
      </c>
      <c r="B54" s="4">
        <v>0.24</v>
      </c>
      <c r="C54" t="s">
        <v>18</v>
      </c>
      <c r="D54" t="s">
        <v>19</v>
      </c>
      <c r="E54" t="s">
        <v>9</v>
      </c>
      <c r="G54" t="s">
        <v>20</v>
      </c>
      <c r="H54" t="s">
        <v>91</v>
      </c>
    </row>
    <row r="55" spans="1:8" x14ac:dyDescent="0.2">
      <c r="A55" t="s">
        <v>53</v>
      </c>
      <c r="B55" s="4">
        <v>1.48</v>
      </c>
      <c r="C55" t="s">
        <v>18</v>
      </c>
      <c r="D55" t="s">
        <v>4</v>
      </c>
      <c r="E55" t="s">
        <v>24</v>
      </c>
      <c r="G55" t="s">
        <v>20</v>
      </c>
      <c r="H55" t="s">
        <v>43</v>
      </c>
    </row>
    <row r="56" spans="1:8" x14ac:dyDescent="0.2">
      <c r="A56" s="2"/>
      <c r="B56" s="2"/>
      <c r="C56" s="3"/>
      <c r="D56" s="2"/>
      <c r="E56" s="2"/>
      <c r="F56" s="2"/>
      <c r="G56" s="2"/>
      <c r="H56" s="2"/>
    </row>
    <row r="57" spans="1:8" x14ac:dyDescent="0.2">
      <c r="A57" s="1" t="s">
        <v>0</v>
      </c>
      <c r="B57" s="1" t="s">
        <v>73</v>
      </c>
      <c r="C57" s="8"/>
      <c r="D57" s="8"/>
      <c r="E57" s="8"/>
      <c r="F57" s="8"/>
      <c r="G57" s="8"/>
      <c r="H57" s="8"/>
    </row>
    <row r="58" spans="1:8" x14ac:dyDescent="0.2">
      <c r="A58" s="8" t="s">
        <v>2</v>
      </c>
      <c r="B58" t="s">
        <v>74</v>
      </c>
      <c r="C58" s="8"/>
      <c r="D58" s="8"/>
      <c r="E58" s="8"/>
      <c r="F58" s="8"/>
      <c r="G58" s="8"/>
      <c r="H58" s="8"/>
    </row>
    <row r="59" spans="1:8" x14ac:dyDescent="0.2">
      <c r="A59" s="8" t="s">
        <v>3</v>
      </c>
      <c r="B59" t="s">
        <v>4</v>
      </c>
      <c r="C59" s="8"/>
      <c r="D59" s="8"/>
      <c r="E59" s="8"/>
      <c r="F59" s="8"/>
      <c r="G59" s="8"/>
      <c r="H59" s="8"/>
    </row>
    <row r="60" spans="1:8" x14ac:dyDescent="0.2">
      <c r="A60" s="8" t="s">
        <v>5</v>
      </c>
      <c r="B60" s="8">
        <v>1</v>
      </c>
      <c r="C60" s="8"/>
      <c r="D60" s="8"/>
      <c r="E60" s="8"/>
      <c r="F60" s="8"/>
      <c r="G60" s="8"/>
      <c r="H60" s="8"/>
    </row>
    <row r="61" spans="1:8" x14ac:dyDescent="0.2">
      <c r="A61" s="8" t="s">
        <v>6</v>
      </c>
      <c r="B61" t="s">
        <v>73</v>
      </c>
      <c r="C61" s="8"/>
      <c r="D61" s="8"/>
      <c r="E61" s="8"/>
      <c r="F61" s="8"/>
      <c r="G61" s="8"/>
      <c r="H61" s="8"/>
    </row>
    <row r="62" spans="1:8" x14ac:dyDescent="0.2">
      <c r="A62" s="8" t="s">
        <v>8</v>
      </c>
      <c r="B62" t="s">
        <v>9</v>
      </c>
      <c r="C62" s="8"/>
      <c r="D62" s="8"/>
      <c r="E62" s="8"/>
      <c r="F62" s="8"/>
      <c r="G62" s="8"/>
      <c r="H62" s="8"/>
    </row>
    <row r="63" spans="1:8" x14ac:dyDescent="0.2">
      <c r="A63" s="1" t="s">
        <v>10</v>
      </c>
      <c r="B63" s="8"/>
      <c r="C63" s="8"/>
      <c r="D63" s="8"/>
      <c r="E63" s="8"/>
      <c r="F63" s="8"/>
      <c r="G63" s="8"/>
      <c r="H63" s="8"/>
    </row>
    <row r="64" spans="1:8" x14ac:dyDescent="0.2">
      <c r="A64" s="8" t="s">
        <v>11</v>
      </c>
      <c r="B64" s="8" t="s">
        <v>12</v>
      </c>
      <c r="C64" s="8" t="s">
        <v>13</v>
      </c>
      <c r="D64" s="8" t="s">
        <v>3</v>
      </c>
      <c r="E64" s="8" t="s">
        <v>8</v>
      </c>
      <c r="F64" s="8" t="s">
        <v>14</v>
      </c>
      <c r="G64" s="8" t="s">
        <v>15</v>
      </c>
      <c r="H64" s="8" t="s">
        <v>6</v>
      </c>
    </row>
    <row r="65" spans="1:8" x14ac:dyDescent="0.2">
      <c r="A65" t="s">
        <v>73</v>
      </c>
      <c r="B65" s="9">
        <v>1</v>
      </c>
      <c r="C65" s="8" t="s">
        <v>16</v>
      </c>
      <c r="D65" t="s">
        <v>4</v>
      </c>
      <c r="E65" t="s">
        <v>9</v>
      </c>
      <c r="F65" s="8"/>
      <c r="G65" s="8" t="s">
        <v>17</v>
      </c>
      <c r="H65" t="s">
        <v>73</v>
      </c>
    </row>
    <row r="66" spans="1:8" x14ac:dyDescent="0.2">
      <c r="A66" t="s">
        <v>75</v>
      </c>
      <c r="B66" s="9">
        <v>0.25</v>
      </c>
      <c r="C66" t="s">
        <v>18</v>
      </c>
      <c r="D66" t="s">
        <v>4</v>
      </c>
      <c r="E66" t="s">
        <v>9</v>
      </c>
      <c r="F66" s="8"/>
      <c r="G66" t="s">
        <v>20</v>
      </c>
      <c r="H66" t="s">
        <v>25</v>
      </c>
    </row>
    <row r="67" spans="1:8" x14ac:dyDescent="0.2">
      <c r="A67" t="s">
        <v>60</v>
      </c>
      <c r="B67" s="4">
        <v>0.75</v>
      </c>
      <c r="C67" t="s">
        <v>18</v>
      </c>
      <c r="D67" t="s">
        <v>19</v>
      </c>
      <c r="E67" t="s">
        <v>9</v>
      </c>
      <c r="G67" t="s">
        <v>20</v>
      </c>
      <c r="H67" t="s">
        <v>91</v>
      </c>
    </row>
    <row r="68" spans="1:8" x14ac:dyDescent="0.2">
      <c r="A68" t="s">
        <v>53</v>
      </c>
      <c r="B68" s="4">
        <v>0.48499999999999999</v>
      </c>
      <c r="C68" t="s">
        <v>18</v>
      </c>
      <c r="D68" t="s">
        <v>4</v>
      </c>
      <c r="E68" t="s">
        <v>24</v>
      </c>
      <c r="G68" t="s">
        <v>20</v>
      </c>
      <c r="H68" t="s">
        <v>43</v>
      </c>
    </row>
    <row r="69" spans="1:8" x14ac:dyDescent="0.2">
      <c r="A69" s="2"/>
      <c r="B69" s="2"/>
      <c r="C69" s="3"/>
      <c r="D69" s="2"/>
      <c r="E69" s="2"/>
      <c r="F69" s="2"/>
      <c r="G69" s="2"/>
      <c r="H69" s="2"/>
    </row>
    <row r="70" spans="1:8" x14ac:dyDescent="0.2">
      <c r="A70" s="1" t="s">
        <v>0</v>
      </c>
      <c r="B70" s="1" t="s">
        <v>76</v>
      </c>
      <c r="C70" s="8"/>
      <c r="D70" s="8"/>
      <c r="E70" s="8"/>
      <c r="F70" s="8"/>
      <c r="G70" s="8"/>
      <c r="H70" s="8"/>
    </row>
    <row r="71" spans="1:8" x14ac:dyDescent="0.2">
      <c r="A71" s="8" t="s">
        <v>2</v>
      </c>
      <c r="B71" t="s">
        <v>77</v>
      </c>
      <c r="C71" s="8"/>
      <c r="D71" s="8"/>
      <c r="E71" s="8"/>
      <c r="F71" s="8"/>
      <c r="G71" s="8"/>
      <c r="H71" s="8"/>
    </row>
    <row r="72" spans="1:8" x14ac:dyDescent="0.2">
      <c r="A72" s="8" t="s">
        <v>3</v>
      </c>
      <c r="B72" t="s">
        <v>4</v>
      </c>
      <c r="C72" s="8"/>
      <c r="D72" s="8"/>
      <c r="E72" s="8"/>
      <c r="F72" s="8"/>
      <c r="G72" s="8"/>
      <c r="H72" s="8"/>
    </row>
    <row r="73" spans="1:8" x14ac:dyDescent="0.2">
      <c r="A73" s="8" t="s">
        <v>5</v>
      </c>
      <c r="B73" s="8">
        <v>1</v>
      </c>
      <c r="C73" s="8"/>
      <c r="D73" s="8"/>
      <c r="E73" s="8"/>
      <c r="F73" s="8"/>
      <c r="G73" s="8"/>
      <c r="H73" s="8"/>
    </row>
    <row r="74" spans="1:8" x14ac:dyDescent="0.2">
      <c r="A74" s="8" t="s">
        <v>6</v>
      </c>
      <c r="B74" t="s">
        <v>76</v>
      </c>
      <c r="C74" s="8"/>
      <c r="D74" s="8"/>
      <c r="E74" s="8"/>
      <c r="F74" s="8"/>
      <c r="G74" s="8"/>
      <c r="H74" s="8"/>
    </row>
    <row r="75" spans="1:8" x14ac:dyDescent="0.2">
      <c r="A75" s="8" t="s">
        <v>8</v>
      </c>
      <c r="B75" t="s">
        <v>9</v>
      </c>
      <c r="C75" s="8"/>
      <c r="D75" s="8"/>
      <c r="E75" s="8"/>
      <c r="F75" s="8"/>
      <c r="G75" s="8"/>
      <c r="H75" s="8"/>
    </row>
    <row r="76" spans="1:8" x14ac:dyDescent="0.2">
      <c r="A76" s="1" t="s">
        <v>10</v>
      </c>
      <c r="B76" s="8"/>
      <c r="C76" s="8"/>
      <c r="D76" s="8"/>
      <c r="E76" s="8"/>
      <c r="F76" s="8"/>
      <c r="G76" s="8"/>
      <c r="H76" s="8"/>
    </row>
    <row r="77" spans="1:8" x14ac:dyDescent="0.2">
      <c r="A77" s="8" t="s">
        <v>11</v>
      </c>
      <c r="B77" s="8" t="s">
        <v>12</v>
      </c>
      <c r="C77" s="8" t="s">
        <v>13</v>
      </c>
      <c r="D77" s="8" t="s">
        <v>3</v>
      </c>
      <c r="E77" s="8" t="s">
        <v>8</v>
      </c>
      <c r="F77" s="8" t="s">
        <v>14</v>
      </c>
      <c r="G77" s="8" t="s">
        <v>15</v>
      </c>
      <c r="H77" s="8" t="s">
        <v>6</v>
      </c>
    </row>
    <row r="78" spans="1:8" x14ac:dyDescent="0.2">
      <c r="A78" t="s">
        <v>76</v>
      </c>
      <c r="B78" s="9">
        <v>1</v>
      </c>
      <c r="C78" s="8" t="s">
        <v>16</v>
      </c>
      <c r="D78" t="s">
        <v>4</v>
      </c>
      <c r="E78" t="s">
        <v>9</v>
      </c>
      <c r="F78" s="8"/>
      <c r="G78" s="8" t="s">
        <v>17</v>
      </c>
      <c r="H78" t="s">
        <v>76</v>
      </c>
    </row>
    <row r="79" spans="1:8" x14ac:dyDescent="0.2">
      <c r="A79" t="s">
        <v>63</v>
      </c>
      <c r="B79" s="9">
        <v>0.97099999999999997</v>
      </c>
      <c r="C79" t="s">
        <v>18</v>
      </c>
      <c r="D79" t="s">
        <v>4</v>
      </c>
      <c r="E79" t="s">
        <v>9</v>
      </c>
      <c r="F79" s="8"/>
      <c r="G79" t="s">
        <v>20</v>
      </c>
      <c r="H79" t="s">
        <v>64</v>
      </c>
    </row>
    <row r="80" spans="1:8" x14ac:dyDescent="0.2">
      <c r="A80" t="s">
        <v>78</v>
      </c>
      <c r="B80" s="9">
        <v>0.03</v>
      </c>
      <c r="C80" t="s">
        <v>18</v>
      </c>
      <c r="D80" t="s">
        <v>19</v>
      </c>
      <c r="E80" t="s">
        <v>9</v>
      </c>
      <c r="F80" s="8"/>
      <c r="G80" t="s">
        <v>20</v>
      </c>
      <c r="H80" t="s">
        <v>79</v>
      </c>
    </row>
    <row r="81" spans="1:8" x14ac:dyDescent="0.2">
      <c r="A81" t="s">
        <v>60</v>
      </c>
      <c r="B81" s="4">
        <v>5.2499999999999998E-2</v>
      </c>
      <c r="C81" t="s">
        <v>18</v>
      </c>
      <c r="D81" t="s">
        <v>19</v>
      </c>
      <c r="E81" t="s">
        <v>9</v>
      </c>
      <c r="G81" t="s">
        <v>20</v>
      </c>
      <c r="H81" t="s">
        <v>91</v>
      </c>
    </row>
    <row r="82" spans="1:8" x14ac:dyDescent="0.2">
      <c r="A82" t="s">
        <v>53</v>
      </c>
      <c r="B82" s="4">
        <v>1.78</v>
      </c>
      <c r="C82" t="s">
        <v>18</v>
      </c>
      <c r="D82" t="s">
        <v>4</v>
      </c>
      <c r="E82" t="s">
        <v>24</v>
      </c>
      <c r="G82" t="s">
        <v>20</v>
      </c>
      <c r="H82" t="s">
        <v>43</v>
      </c>
    </row>
    <row r="83" spans="1:8" x14ac:dyDescent="0.2">
      <c r="A83" s="2"/>
      <c r="B83" s="2"/>
      <c r="C83" s="3"/>
      <c r="D83" s="2"/>
      <c r="E83" s="2"/>
      <c r="F83" s="2"/>
      <c r="G83" s="2"/>
      <c r="H83" s="2"/>
    </row>
    <row r="84" spans="1:8" x14ac:dyDescent="0.2">
      <c r="A84" s="1" t="s">
        <v>0</v>
      </c>
      <c r="B84" s="1" t="s">
        <v>80</v>
      </c>
      <c r="C84" s="8"/>
      <c r="D84" s="8"/>
      <c r="E84" s="8"/>
      <c r="F84" s="8"/>
      <c r="G84" s="8"/>
      <c r="H84" s="8"/>
    </row>
    <row r="85" spans="1:8" x14ac:dyDescent="0.2">
      <c r="A85" s="8" t="s">
        <v>2</v>
      </c>
      <c r="B85" t="s">
        <v>81</v>
      </c>
      <c r="C85" s="8"/>
      <c r="D85" s="8"/>
      <c r="E85" s="8"/>
      <c r="F85" s="8"/>
      <c r="G85" s="8"/>
      <c r="H85" s="8"/>
    </row>
    <row r="86" spans="1:8" x14ac:dyDescent="0.2">
      <c r="A86" s="8" t="s">
        <v>3</v>
      </c>
      <c r="B86" t="s">
        <v>4</v>
      </c>
      <c r="C86" s="8"/>
      <c r="D86" s="8"/>
      <c r="E86" s="8"/>
      <c r="F86" s="8"/>
      <c r="G86" s="8"/>
      <c r="H86" s="8"/>
    </row>
    <row r="87" spans="1:8" x14ac:dyDescent="0.2">
      <c r="A87" s="8" t="s">
        <v>5</v>
      </c>
      <c r="B87" s="8">
        <v>1</v>
      </c>
      <c r="C87" s="8"/>
      <c r="D87" s="8"/>
      <c r="E87" s="8"/>
      <c r="F87" s="8"/>
      <c r="G87" s="8"/>
      <c r="H87" s="8"/>
    </row>
    <row r="88" spans="1:8" x14ac:dyDescent="0.2">
      <c r="A88" s="8" t="s">
        <v>6</v>
      </c>
      <c r="B88" t="s">
        <v>80</v>
      </c>
      <c r="C88" s="8"/>
      <c r="D88" s="8"/>
      <c r="E88" s="8"/>
      <c r="F88" s="8"/>
      <c r="G88" s="8"/>
      <c r="H88" s="8"/>
    </row>
    <row r="89" spans="1:8" x14ac:dyDescent="0.2">
      <c r="A89" s="8" t="s">
        <v>8</v>
      </c>
      <c r="B89" t="s">
        <v>9</v>
      </c>
      <c r="C89" s="8"/>
      <c r="D89" s="8"/>
      <c r="E89" s="8"/>
      <c r="F89" s="8"/>
      <c r="G89" s="8"/>
      <c r="H89" s="8"/>
    </row>
    <row r="90" spans="1:8" x14ac:dyDescent="0.2">
      <c r="A90" s="1" t="s">
        <v>10</v>
      </c>
      <c r="B90" s="8"/>
      <c r="C90" s="8"/>
      <c r="D90" s="8"/>
      <c r="E90" s="8"/>
      <c r="F90" s="8"/>
      <c r="G90" s="8"/>
      <c r="H90" s="8"/>
    </row>
    <row r="91" spans="1:8" x14ac:dyDescent="0.2">
      <c r="A91" s="8" t="s">
        <v>11</v>
      </c>
      <c r="B91" s="8" t="s">
        <v>12</v>
      </c>
      <c r="C91" s="8" t="s">
        <v>13</v>
      </c>
      <c r="D91" s="8" t="s">
        <v>3</v>
      </c>
      <c r="E91" s="8" t="s">
        <v>8</v>
      </c>
      <c r="F91" s="8" t="s">
        <v>14</v>
      </c>
      <c r="G91" s="8" t="s">
        <v>15</v>
      </c>
      <c r="H91" s="8" t="s">
        <v>6</v>
      </c>
    </row>
    <row r="92" spans="1:8" x14ac:dyDescent="0.2">
      <c r="A92" t="s">
        <v>80</v>
      </c>
      <c r="B92" s="9">
        <v>1</v>
      </c>
      <c r="C92" s="8" t="s">
        <v>16</v>
      </c>
      <c r="D92" t="s">
        <v>4</v>
      </c>
      <c r="E92" t="s">
        <v>9</v>
      </c>
      <c r="F92" s="8"/>
      <c r="G92" s="8" t="s">
        <v>17</v>
      </c>
      <c r="H92" t="s">
        <v>80</v>
      </c>
    </row>
    <row r="93" spans="1:8" x14ac:dyDescent="0.2">
      <c r="A93" t="s">
        <v>75</v>
      </c>
      <c r="B93" s="9">
        <v>0.2</v>
      </c>
      <c r="C93" t="s">
        <v>18</v>
      </c>
      <c r="D93" t="s">
        <v>4</v>
      </c>
      <c r="E93" t="s">
        <v>9</v>
      </c>
      <c r="F93" s="8"/>
      <c r="G93" t="s">
        <v>20</v>
      </c>
      <c r="H93" t="s">
        <v>25</v>
      </c>
    </row>
    <row r="94" spans="1:8" x14ac:dyDescent="0.2">
      <c r="A94" t="s">
        <v>60</v>
      </c>
      <c r="B94" s="4">
        <v>0.8</v>
      </c>
      <c r="C94" t="s">
        <v>18</v>
      </c>
      <c r="D94" t="s">
        <v>19</v>
      </c>
      <c r="E94" t="s">
        <v>9</v>
      </c>
      <c r="G94" t="s">
        <v>20</v>
      </c>
      <c r="H94" t="s">
        <v>91</v>
      </c>
    </row>
    <row r="95" spans="1:8" x14ac:dyDescent="0.2">
      <c r="A95" t="s">
        <v>53</v>
      </c>
      <c r="B95" s="4">
        <v>0.38800000000000001</v>
      </c>
      <c r="C95" t="s">
        <v>18</v>
      </c>
      <c r="D95" t="s">
        <v>4</v>
      </c>
      <c r="E95" t="s">
        <v>24</v>
      </c>
      <c r="G95" t="s">
        <v>20</v>
      </c>
      <c r="H95" t="s">
        <v>43</v>
      </c>
    </row>
    <row r="96" spans="1:8" x14ac:dyDescent="0.2">
      <c r="A96" s="2"/>
      <c r="B96" s="2"/>
      <c r="C96" s="3"/>
      <c r="D96" s="2"/>
      <c r="E96" s="2"/>
      <c r="F96" s="2"/>
      <c r="G96" s="2"/>
      <c r="H96" s="2"/>
    </row>
    <row r="97" spans="1:8" x14ac:dyDescent="0.2">
      <c r="A97" s="1" t="s">
        <v>0</v>
      </c>
      <c r="B97" s="1" t="s">
        <v>102</v>
      </c>
      <c r="C97" s="8"/>
      <c r="D97" s="8"/>
      <c r="E97" s="8"/>
      <c r="F97" s="8"/>
      <c r="G97" s="8"/>
      <c r="H97" s="8"/>
    </row>
    <row r="98" spans="1:8" x14ac:dyDescent="0.2">
      <c r="A98" s="8" t="s">
        <v>2</v>
      </c>
      <c r="B98" t="s">
        <v>82</v>
      </c>
      <c r="C98" s="8"/>
      <c r="D98" s="8"/>
      <c r="E98" s="8"/>
      <c r="F98" s="8"/>
      <c r="G98" s="8"/>
      <c r="H98" s="8"/>
    </row>
    <row r="99" spans="1:8" x14ac:dyDescent="0.2">
      <c r="A99" s="8" t="s">
        <v>3</v>
      </c>
      <c r="B99" t="s">
        <v>4</v>
      </c>
      <c r="C99" s="8"/>
      <c r="D99" s="8"/>
      <c r="E99" s="8"/>
      <c r="F99" s="8"/>
      <c r="G99" s="8"/>
      <c r="H99" s="8"/>
    </row>
    <row r="100" spans="1:8" x14ac:dyDescent="0.2">
      <c r="A100" s="8" t="s">
        <v>5</v>
      </c>
      <c r="B100" s="8">
        <v>1</v>
      </c>
      <c r="C100" s="8"/>
      <c r="D100" s="8"/>
      <c r="E100" s="8"/>
      <c r="F100" s="8"/>
      <c r="G100" s="8"/>
      <c r="H100" s="8"/>
    </row>
    <row r="101" spans="1:8" x14ac:dyDescent="0.2">
      <c r="A101" s="8" t="s">
        <v>6</v>
      </c>
      <c r="B101" t="s">
        <v>102</v>
      </c>
      <c r="C101" s="8"/>
      <c r="D101" s="8"/>
      <c r="E101" s="8"/>
      <c r="F101" s="8"/>
      <c r="G101" s="8"/>
      <c r="H101" s="8"/>
    </row>
    <row r="102" spans="1:8" x14ac:dyDescent="0.2">
      <c r="A102" s="8" t="s">
        <v>8</v>
      </c>
      <c r="B102" t="s">
        <v>9</v>
      </c>
      <c r="C102" s="8"/>
      <c r="D102" s="8"/>
      <c r="E102" s="8"/>
      <c r="F102" s="8"/>
      <c r="G102" s="8"/>
      <c r="H102" s="8"/>
    </row>
    <row r="103" spans="1:8" x14ac:dyDescent="0.2">
      <c r="A103" s="1" t="s">
        <v>10</v>
      </c>
      <c r="B103" s="8"/>
      <c r="C103" s="8"/>
      <c r="D103" s="8"/>
      <c r="E103" s="8"/>
      <c r="F103" s="8"/>
      <c r="G103" s="8"/>
      <c r="H103" s="8"/>
    </row>
    <row r="104" spans="1:8" x14ac:dyDescent="0.2">
      <c r="A104" s="8" t="s">
        <v>11</v>
      </c>
      <c r="B104" s="8" t="s">
        <v>12</v>
      </c>
      <c r="C104" s="8" t="s">
        <v>13</v>
      </c>
      <c r="D104" s="8" t="s">
        <v>3</v>
      </c>
      <c r="E104" s="8" t="s">
        <v>8</v>
      </c>
      <c r="F104" s="8" t="s">
        <v>14</v>
      </c>
      <c r="G104" s="8" t="s">
        <v>15</v>
      </c>
      <c r="H104" s="8" t="s">
        <v>6</v>
      </c>
    </row>
    <row r="105" spans="1:8" x14ac:dyDescent="0.2">
      <c r="A105" t="s">
        <v>102</v>
      </c>
      <c r="B105" s="9">
        <v>1</v>
      </c>
      <c r="C105" s="8" t="s">
        <v>16</v>
      </c>
      <c r="D105" t="s">
        <v>4</v>
      </c>
      <c r="E105" t="s">
        <v>9</v>
      </c>
      <c r="F105" s="8"/>
      <c r="G105" s="8" t="s">
        <v>17</v>
      </c>
      <c r="H105" t="s">
        <v>102</v>
      </c>
    </row>
    <row r="106" spans="1:8" x14ac:dyDescent="0.2">
      <c r="A106" t="s">
        <v>49</v>
      </c>
      <c r="B106" s="9">
        <v>9.6199999999999994E-2</v>
      </c>
      <c r="C106" s="8" t="s">
        <v>16</v>
      </c>
      <c r="D106" t="s">
        <v>4</v>
      </c>
      <c r="E106" t="s">
        <v>9</v>
      </c>
      <c r="F106" s="8"/>
      <c r="G106" t="s">
        <v>20</v>
      </c>
      <c r="H106" t="s">
        <v>49</v>
      </c>
    </row>
    <row r="107" spans="1:8" x14ac:dyDescent="0.2">
      <c r="A107" t="s">
        <v>54</v>
      </c>
      <c r="B107" s="9">
        <v>1.44E-2</v>
      </c>
      <c r="C107" s="8" t="s">
        <v>16</v>
      </c>
      <c r="D107" t="s">
        <v>4</v>
      </c>
      <c r="E107" t="s">
        <v>9</v>
      </c>
      <c r="F107" s="8"/>
      <c r="G107" t="s">
        <v>20</v>
      </c>
      <c r="H107" t="s">
        <v>54</v>
      </c>
    </row>
    <row r="108" spans="1:8" x14ac:dyDescent="0.2">
      <c r="A108" t="s">
        <v>61</v>
      </c>
      <c r="B108" s="9">
        <v>0.17899999999999999</v>
      </c>
      <c r="C108" s="8" t="s">
        <v>16</v>
      </c>
      <c r="D108" t="s">
        <v>4</v>
      </c>
      <c r="E108" t="s">
        <v>9</v>
      </c>
      <c r="F108" s="8"/>
      <c r="G108" t="s">
        <v>20</v>
      </c>
      <c r="H108" t="s">
        <v>61</v>
      </c>
    </row>
    <row r="109" spans="1:8" x14ac:dyDescent="0.2">
      <c r="A109" t="s">
        <v>69</v>
      </c>
      <c r="B109" s="9">
        <v>0.36099999999999999</v>
      </c>
      <c r="C109" s="8" t="s">
        <v>16</v>
      </c>
      <c r="D109" t="s">
        <v>4</v>
      </c>
      <c r="E109" t="s">
        <v>9</v>
      </c>
      <c r="F109" s="8"/>
      <c r="G109" t="s">
        <v>20</v>
      </c>
      <c r="H109" t="s">
        <v>69</v>
      </c>
    </row>
    <row r="110" spans="1:8" x14ac:dyDescent="0.2">
      <c r="A110" t="s">
        <v>73</v>
      </c>
      <c r="B110" s="9">
        <v>4.5999999999999999E-2</v>
      </c>
      <c r="C110" s="8" t="s">
        <v>16</v>
      </c>
      <c r="D110" t="s">
        <v>4</v>
      </c>
      <c r="E110" t="s">
        <v>9</v>
      </c>
      <c r="F110" s="8"/>
      <c r="G110" t="s">
        <v>20</v>
      </c>
      <c r="H110" t="s">
        <v>73</v>
      </c>
    </row>
    <row r="111" spans="1:8" x14ac:dyDescent="0.2">
      <c r="A111" t="s">
        <v>76</v>
      </c>
      <c r="B111" s="9">
        <v>0.17</v>
      </c>
      <c r="C111" s="8" t="s">
        <v>16</v>
      </c>
      <c r="D111" t="s">
        <v>4</v>
      </c>
      <c r="E111" t="s">
        <v>9</v>
      </c>
      <c r="F111" s="8"/>
      <c r="G111" t="s">
        <v>20</v>
      </c>
      <c r="H111" t="s">
        <v>76</v>
      </c>
    </row>
    <row r="112" spans="1:8" x14ac:dyDescent="0.2">
      <c r="A112" t="s">
        <v>80</v>
      </c>
      <c r="B112" s="9">
        <v>0.13300000000000001</v>
      </c>
      <c r="C112" s="8" t="s">
        <v>16</v>
      </c>
      <c r="D112" t="s">
        <v>4</v>
      </c>
      <c r="E112" t="s">
        <v>9</v>
      </c>
      <c r="F112" s="8"/>
      <c r="G112" t="s">
        <v>20</v>
      </c>
      <c r="H112" t="s">
        <v>80</v>
      </c>
    </row>
    <row r="113" spans="1:8" x14ac:dyDescent="0.2">
      <c r="A113" s="2"/>
      <c r="B113" s="2"/>
      <c r="C113" s="3"/>
      <c r="D113" s="2"/>
      <c r="E113" s="2"/>
      <c r="F113" s="2"/>
      <c r="G113" s="2"/>
      <c r="H113" s="2"/>
    </row>
    <row r="114" spans="1:8" x14ac:dyDescent="0.2">
      <c r="A114" s="1" t="s">
        <v>0</v>
      </c>
      <c r="B114" s="1" t="s">
        <v>117</v>
      </c>
      <c r="C114" s="8"/>
      <c r="D114" s="8"/>
      <c r="E114" s="8"/>
      <c r="F114" s="8"/>
      <c r="G114" s="8"/>
      <c r="H114" s="8"/>
    </row>
    <row r="115" spans="1:8" x14ac:dyDescent="0.2">
      <c r="A115" s="8" t="s">
        <v>2</v>
      </c>
      <c r="B115" t="s">
        <v>82</v>
      </c>
      <c r="C115" s="8"/>
      <c r="D115" s="8"/>
      <c r="E115" s="8"/>
      <c r="F115" s="8"/>
      <c r="G115" s="8"/>
      <c r="H115" s="8"/>
    </row>
    <row r="116" spans="1:8" x14ac:dyDescent="0.2">
      <c r="A116" s="8" t="s">
        <v>3</v>
      </c>
      <c r="B116" t="s">
        <v>4</v>
      </c>
      <c r="C116" s="8"/>
      <c r="D116" s="8"/>
      <c r="E116" s="8"/>
      <c r="F116" s="8"/>
      <c r="G116" s="8"/>
      <c r="H116" s="8"/>
    </row>
    <row r="117" spans="1:8" x14ac:dyDescent="0.2">
      <c r="A117" s="8" t="s">
        <v>5</v>
      </c>
      <c r="B117" s="8">
        <v>1</v>
      </c>
      <c r="C117" s="8"/>
      <c r="D117" s="8"/>
      <c r="E117" s="8"/>
      <c r="F117" s="8"/>
      <c r="G117" s="8"/>
      <c r="H117" s="8"/>
    </row>
    <row r="118" spans="1:8" x14ac:dyDescent="0.2">
      <c r="A118" s="8" t="s">
        <v>6</v>
      </c>
      <c r="B118" t="s">
        <v>118</v>
      </c>
      <c r="C118" s="8"/>
      <c r="D118" s="8"/>
      <c r="E118" s="8"/>
      <c r="F118" s="8"/>
      <c r="G118" s="8"/>
      <c r="H118" s="8"/>
    </row>
    <row r="119" spans="1:8" x14ac:dyDescent="0.2">
      <c r="A119" s="8" t="s">
        <v>8</v>
      </c>
      <c r="B119" t="s">
        <v>23</v>
      </c>
      <c r="C119" s="8"/>
      <c r="D119" s="8"/>
      <c r="E119" s="8"/>
      <c r="F119" s="8"/>
      <c r="G119" s="8"/>
      <c r="H119" s="8"/>
    </row>
    <row r="120" spans="1:8" x14ac:dyDescent="0.2">
      <c r="A120" s="1" t="s">
        <v>10</v>
      </c>
      <c r="B120" s="8"/>
      <c r="C120" s="8"/>
      <c r="D120" s="8"/>
      <c r="E120" s="8"/>
      <c r="F120" s="8"/>
      <c r="G120" s="8"/>
      <c r="H120" s="8"/>
    </row>
    <row r="121" spans="1:8" x14ac:dyDescent="0.2">
      <c r="A121" s="8" t="s">
        <v>11</v>
      </c>
      <c r="B121" s="8" t="s">
        <v>12</v>
      </c>
      <c r="C121" s="8" t="s">
        <v>13</v>
      </c>
      <c r="D121" s="8" t="s">
        <v>3</v>
      </c>
      <c r="E121" s="8" t="s">
        <v>8</v>
      </c>
      <c r="F121" s="8" t="s">
        <v>14</v>
      </c>
      <c r="G121" s="8" t="s">
        <v>15</v>
      </c>
      <c r="H121" s="8" t="s">
        <v>6</v>
      </c>
    </row>
    <row r="122" spans="1:8" x14ac:dyDescent="0.2">
      <c r="A122" s="17" t="s">
        <v>117</v>
      </c>
      <c r="B122" s="9">
        <v>1</v>
      </c>
      <c r="C122" s="8" t="s">
        <v>16</v>
      </c>
      <c r="D122" s="17" t="s">
        <v>4</v>
      </c>
      <c r="E122" s="5" t="s">
        <v>23</v>
      </c>
      <c r="F122" s="17"/>
      <c r="G122" t="s">
        <v>17</v>
      </c>
      <c r="H122" s="17" t="s">
        <v>118</v>
      </c>
    </row>
    <row r="123" spans="1:8" x14ac:dyDescent="0.2">
      <c r="A123" s="5" t="s">
        <v>163</v>
      </c>
      <c r="B123" s="9">
        <v>2.8998115122517001E-2</v>
      </c>
      <c r="C123" t="s">
        <v>18</v>
      </c>
      <c r="D123" t="s">
        <v>4</v>
      </c>
      <c r="E123" t="s">
        <v>21</v>
      </c>
      <c r="F123" s="8"/>
      <c r="G123" t="s">
        <v>20</v>
      </c>
      <c r="H123" t="s">
        <v>22</v>
      </c>
    </row>
    <row r="124" spans="1:8" x14ac:dyDescent="0.2">
      <c r="A124" s="17" t="s">
        <v>132</v>
      </c>
      <c r="B124" s="9">
        <f>0.00116842105263158</f>
        <v>1.1684210526315801E-3</v>
      </c>
      <c r="C124" t="s">
        <v>18</v>
      </c>
      <c r="D124" t="s">
        <v>4</v>
      </c>
      <c r="E124" t="s">
        <v>24</v>
      </c>
      <c r="F124" s="8"/>
      <c r="G124" t="s">
        <v>20</v>
      </c>
      <c r="H124" t="s">
        <v>133</v>
      </c>
    </row>
    <row r="125" spans="1:8" x14ac:dyDescent="0.2">
      <c r="A125" s="17" t="s">
        <v>134</v>
      </c>
      <c r="B125" s="15">
        <v>2.9473684210526402E-9</v>
      </c>
      <c r="C125" t="s">
        <v>18</v>
      </c>
      <c r="D125" t="s">
        <v>19</v>
      </c>
      <c r="E125" t="s">
        <v>8</v>
      </c>
      <c r="F125" s="8"/>
      <c r="G125" t="s">
        <v>20</v>
      </c>
      <c r="H125" t="s">
        <v>135</v>
      </c>
    </row>
    <row r="126" spans="1:8" x14ac:dyDescent="0.2">
      <c r="A126" t="s">
        <v>29</v>
      </c>
      <c r="B126" s="9">
        <f>0.1*0.058947</f>
        <v>5.8947000000000001E-3</v>
      </c>
      <c r="C126" t="s">
        <v>30</v>
      </c>
      <c r="E126" t="s">
        <v>9</v>
      </c>
      <c r="F126" s="8" t="s">
        <v>119</v>
      </c>
      <c r="G126" t="s">
        <v>31</v>
      </c>
    </row>
    <row r="127" spans="1:8" x14ac:dyDescent="0.2">
      <c r="A127" t="s">
        <v>87</v>
      </c>
      <c r="B127" s="15">
        <v>2.2105263157894801E-6</v>
      </c>
      <c r="C127" t="s">
        <v>30</v>
      </c>
      <c r="E127" t="s">
        <v>9</v>
      </c>
      <c r="F127" s="8" t="s">
        <v>119</v>
      </c>
      <c r="G127" t="s">
        <v>31</v>
      </c>
    </row>
    <row r="128" spans="1:8" x14ac:dyDescent="0.2">
      <c r="A128" t="s">
        <v>86</v>
      </c>
      <c r="B128" s="15">
        <v>2.10526315789474E-6</v>
      </c>
      <c r="C128" t="s">
        <v>30</v>
      </c>
      <c r="E128" t="s">
        <v>9</v>
      </c>
      <c r="F128" s="8" t="s">
        <v>119</v>
      </c>
      <c r="G128" t="s">
        <v>31</v>
      </c>
    </row>
    <row r="129" spans="1:7" x14ac:dyDescent="0.2">
      <c r="A129" s="18" t="s">
        <v>136</v>
      </c>
      <c r="B129" s="15">
        <v>1.05263157894737E-7</v>
      </c>
      <c r="C129" t="s">
        <v>30</v>
      </c>
      <c r="E129" t="s">
        <v>9</v>
      </c>
      <c r="F129" t="s">
        <v>119</v>
      </c>
      <c r="G129" t="s">
        <v>31</v>
      </c>
    </row>
    <row r="130" spans="1:7" x14ac:dyDescent="0.2">
      <c r="A130" t="s">
        <v>37</v>
      </c>
      <c r="B130" s="15">
        <v>1.8842105263157901E-5</v>
      </c>
      <c r="C130" t="s">
        <v>30</v>
      </c>
      <c r="E130" t="s">
        <v>9</v>
      </c>
      <c r="F130" t="s">
        <v>119</v>
      </c>
      <c r="G130" t="s">
        <v>31</v>
      </c>
    </row>
    <row r="131" spans="1:7" x14ac:dyDescent="0.2">
      <c r="A131" s="18" t="s">
        <v>127</v>
      </c>
      <c r="B131" s="15">
        <v>5.7894736842105305E-7</v>
      </c>
      <c r="C131" t="s">
        <v>30</v>
      </c>
      <c r="E131" t="s">
        <v>9</v>
      </c>
      <c r="F131" t="s">
        <v>119</v>
      </c>
      <c r="G131" t="s">
        <v>31</v>
      </c>
    </row>
    <row r="132" spans="1:7" x14ac:dyDescent="0.2">
      <c r="A132" s="18" t="s">
        <v>88</v>
      </c>
      <c r="B132" s="15">
        <v>2.1052631578947401E-7</v>
      </c>
      <c r="C132" t="s">
        <v>30</v>
      </c>
      <c r="E132" t="s">
        <v>9</v>
      </c>
      <c r="F132" t="s">
        <v>119</v>
      </c>
      <c r="G132" t="s">
        <v>31</v>
      </c>
    </row>
    <row r="133" spans="1:7" x14ac:dyDescent="0.2">
      <c r="A133" s="18" t="s">
        <v>137</v>
      </c>
      <c r="B133" s="15">
        <v>1.05263157894737E-9</v>
      </c>
      <c r="C133" t="s">
        <v>30</v>
      </c>
      <c r="E133" t="s">
        <v>9</v>
      </c>
      <c r="F133" t="s">
        <v>119</v>
      </c>
      <c r="G133" t="s">
        <v>31</v>
      </c>
    </row>
    <row r="134" spans="1:7" x14ac:dyDescent="0.2">
      <c r="A134" s="18" t="s">
        <v>138</v>
      </c>
      <c r="B134" s="15">
        <v>1.5789473684210501E-7</v>
      </c>
      <c r="C134" t="s">
        <v>30</v>
      </c>
      <c r="E134" t="s">
        <v>9</v>
      </c>
      <c r="F134" t="s">
        <v>119</v>
      </c>
      <c r="G134" t="s">
        <v>31</v>
      </c>
    </row>
    <row r="135" spans="1:7" x14ac:dyDescent="0.2">
      <c r="A135" s="18" t="s">
        <v>139</v>
      </c>
      <c r="B135" s="15">
        <v>4.2105263157894802E-7</v>
      </c>
      <c r="C135" t="s">
        <v>30</v>
      </c>
      <c r="E135" t="s">
        <v>9</v>
      </c>
      <c r="F135" t="s">
        <v>119</v>
      </c>
      <c r="G135" t="s">
        <v>31</v>
      </c>
    </row>
    <row r="136" spans="1:7" x14ac:dyDescent="0.2">
      <c r="A136" s="18" t="s">
        <v>90</v>
      </c>
      <c r="B136" s="15">
        <v>1.0526315789473699E-11</v>
      </c>
      <c r="C136" t="s">
        <v>30</v>
      </c>
      <c r="E136" t="s">
        <v>9</v>
      </c>
      <c r="F136" t="s">
        <v>119</v>
      </c>
      <c r="G136" t="s">
        <v>31</v>
      </c>
    </row>
    <row r="137" spans="1:7" x14ac:dyDescent="0.2">
      <c r="A137" s="18" t="s">
        <v>140</v>
      </c>
      <c r="B137" s="15">
        <v>7.3684210526315899E-7</v>
      </c>
      <c r="C137" t="s">
        <v>30</v>
      </c>
      <c r="E137" t="s">
        <v>9</v>
      </c>
      <c r="F137" t="s">
        <v>119</v>
      </c>
      <c r="G137" t="s">
        <v>31</v>
      </c>
    </row>
    <row r="138" spans="1:7" x14ac:dyDescent="0.2">
      <c r="A138" s="18" t="s">
        <v>141</v>
      </c>
      <c r="B138" s="15">
        <v>0</v>
      </c>
      <c r="C138" t="s">
        <v>30</v>
      </c>
      <c r="E138" t="s">
        <v>9</v>
      </c>
      <c r="F138" t="s">
        <v>119</v>
      </c>
      <c r="G138" t="s">
        <v>31</v>
      </c>
    </row>
    <row r="139" spans="1:7" x14ac:dyDescent="0.2">
      <c r="A139" s="18" t="s">
        <v>128</v>
      </c>
      <c r="B139" s="15">
        <v>1.05263157894737E-7</v>
      </c>
      <c r="C139" t="s">
        <v>30</v>
      </c>
      <c r="E139" t="s">
        <v>9</v>
      </c>
      <c r="F139" t="s">
        <v>119</v>
      </c>
      <c r="G139" t="s">
        <v>31</v>
      </c>
    </row>
    <row r="140" spans="1:7" x14ac:dyDescent="0.2">
      <c r="A140" s="17" t="s">
        <v>89</v>
      </c>
      <c r="B140" s="15">
        <v>3.1578947368421103E-11</v>
      </c>
      <c r="C140" t="s">
        <v>30</v>
      </c>
      <c r="E140" t="s">
        <v>9</v>
      </c>
      <c r="F140" t="s">
        <v>119</v>
      </c>
      <c r="G140" t="s">
        <v>31</v>
      </c>
    </row>
    <row r="141" spans="1:7" x14ac:dyDescent="0.2">
      <c r="A141" s="18" t="s">
        <v>142</v>
      </c>
      <c r="B141" s="15">
        <v>1.0526315789473701E-8</v>
      </c>
      <c r="C141" t="s">
        <v>30</v>
      </c>
      <c r="E141" t="s">
        <v>9</v>
      </c>
      <c r="F141" t="s">
        <v>119</v>
      </c>
      <c r="G141" t="s">
        <v>31</v>
      </c>
    </row>
    <row r="142" spans="1:7" x14ac:dyDescent="0.2">
      <c r="A142" s="18" t="s">
        <v>143</v>
      </c>
      <c r="B142" s="15">
        <v>1.2631578947368401E-6</v>
      </c>
      <c r="C142" t="s">
        <v>30</v>
      </c>
      <c r="E142" t="s">
        <v>9</v>
      </c>
      <c r="F142" t="s">
        <v>119</v>
      </c>
      <c r="G142" t="s">
        <v>31</v>
      </c>
    </row>
    <row r="143" spans="1:7" x14ac:dyDescent="0.2">
      <c r="A143" s="18" t="s">
        <v>144</v>
      </c>
      <c r="B143" s="15">
        <v>2.1052631578947401E-7</v>
      </c>
      <c r="C143" t="s">
        <v>30</v>
      </c>
      <c r="E143" t="s">
        <v>9</v>
      </c>
      <c r="F143" t="s">
        <v>119</v>
      </c>
      <c r="G143" t="s">
        <v>31</v>
      </c>
    </row>
    <row r="144" spans="1:7" x14ac:dyDescent="0.2">
      <c r="A144" s="18" t="s">
        <v>145</v>
      </c>
      <c r="B144" s="15">
        <v>2.1052631578947401E-8</v>
      </c>
      <c r="C144" t="s">
        <v>30</v>
      </c>
      <c r="E144" t="s">
        <v>9</v>
      </c>
      <c r="F144" t="s">
        <v>119</v>
      </c>
      <c r="G144" t="s">
        <v>31</v>
      </c>
    </row>
    <row r="145" spans="1:8" x14ac:dyDescent="0.2">
      <c r="A145" s="18" t="s">
        <v>146</v>
      </c>
      <c r="B145" s="15">
        <v>2.1052631578947401E-7</v>
      </c>
      <c r="C145" t="s">
        <v>30</v>
      </c>
      <c r="E145" t="s">
        <v>9</v>
      </c>
      <c r="F145" t="s">
        <v>119</v>
      </c>
      <c r="G145" t="s">
        <v>31</v>
      </c>
    </row>
    <row r="146" spans="1:8" x14ac:dyDescent="0.2">
      <c r="A146" s="2"/>
      <c r="B146" s="2"/>
      <c r="C146" s="3"/>
      <c r="D146" s="2"/>
      <c r="E146" s="2"/>
      <c r="F146" s="2"/>
      <c r="G146" s="2"/>
      <c r="H146" s="2"/>
    </row>
    <row r="147" spans="1:8" x14ac:dyDescent="0.2">
      <c r="A147" s="1" t="s">
        <v>0</v>
      </c>
      <c r="B147" s="1" t="s">
        <v>40</v>
      </c>
      <c r="C147" s="8"/>
      <c r="D147" s="8"/>
      <c r="E147" s="8"/>
      <c r="F147" s="8"/>
      <c r="G147" s="8"/>
      <c r="H147" s="8"/>
    </row>
    <row r="148" spans="1:8" x14ac:dyDescent="0.2">
      <c r="A148" s="8" t="s">
        <v>2</v>
      </c>
      <c r="B148" t="s">
        <v>99</v>
      </c>
      <c r="C148" s="8"/>
      <c r="D148" s="8"/>
      <c r="E148" s="8"/>
      <c r="F148" s="8"/>
      <c r="G148" s="8"/>
      <c r="H148" s="8"/>
    </row>
    <row r="149" spans="1:8" x14ac:dyDescent="0.2">
      <c r="A149" s="8" t="s">
        <v>3</v>
      </c>
      <c r="B149" t="s">
        <v>4</v>
      </c>
      <c r="C149" s="8"/>
      <c r="D149" s="8"/>
      <c r="E149" s="8"/>
      <c r="F149" s="8"/>
      <c r="G149" s="8"/>
      <c r="H149" s="8"/>
    </row>
    <row r="150" spans="1:8" x14ac:dyDescent="0.2">
      <c r="A150" s="8" t="s">
        <v>5</v>
      </c>
      <c r="B150" s="8">
        <v>1</v>
      </c>
      <c r="C150" s="8"/>
      <c r="D150" s="8"/>
      <c r="E150" s="8"/>
      <c r="F150" s="8"/>
      <c r="G150" s="8"/>
      <c r="H150" s="8"/>
    </row>
    <row r="151" spans="1:8" x14ac:dyDescent="0.2">
      <c r="A151" s="8" t="s">
        <v>6</v>
      </c>
      <c r="B151" t="s">
        <v>41</v>
      </c>
      <c r="C151" s="8"/>
      <c r="D151" s="8"/>
      <c r="E151" s="8"/>
      <c r="F151" s="8"/>
      <c r="G151" s="8"/>
      <c r="H151" s="8"/>
    </row>
    <row r="152" spans="1:8" x14ac:dyDescent="0.2">
      <c r="A152" s="8" t="s">
        <v>8</v>
      </c>
      <c r="B152" s="8" t="s">
        <v>9</v>
      </c>
      <c r="C152" s="8"/>
      <c r="D152" s="8"/>
      <c r="E152" s="8"/>
      <c r="F152" s="8"/>
      <c r="G152" s="8"/>
      <c r="H152" s="8"/>
    </row>
    <row r="153" spans="1:8" x14ac:dyDescent="0.2">
      <c r="A153" s="1" t="s">
        <v>10</v>
      </c>
      <c r="B153" s="8"/>
      <c r="C153" s="8"/>
      <c r="D153" s="8"/>
      <c r="E153" s="8"/>
      <c r="F153" s="8"/>
      <c r="G153" s="8"/>
      <c r="H153" s="8"/>
    </row>
    <row r="154" spans="1:8" x14ac:dyDescent="0.2">
      <c r="A154" s="8" t="s">
        <v>11</v>
      </c>
      <c r="B154" s="8" t="s">
        <v>12</v>
      </c>
      <c r="C154" s="8" t="s">
        <v>13</v>
      </c>
      <c r="D154" s="8" t="s">
        <v>3</v>
      </c>
      <c r="E154" s="8" t="s">
        <v>8</v>
      </c>
      <c r="F154" s="8" t="s">
        <v>14</v>
      </c>
      <c r="G154" s="8" t="s">
        <v>15</v>
      </c>
      <c r="H154" s="8" t="s">
        <v>6</v>
      </c>
    </row>
    <row r="155" spans="1:8" x14ac:dyDescent="0.2">
      <c r="A155" s="8" t="s">
        <v>40</v>
      </c>
      <c r="B155" s="9">
        <v>1</v>
      </c>
      <c r="C155" s="8" t="s">
        <v>16</v>
      </c>
      <c r="D155" t="s">
        <v>4</v>
      </c>
      <c r="E155" s="8" t="s">
        <v>9</v>
      </c>
      <c r="F155" s="8"/>
      <c r="G155" s="8" t="s">
        <v>17</v>
      </c>
      <c r="H155" t="s">
        <v>41</v>
      </c>
    </row>
    <row r="156" spans="1:8" x14ac:dyDescent="0.2">
      <c r="A156" s="5" t="s">
        <v>100</v>
      </c>
      <c r="B156" s="6">
        <v>4.4321789115451698E-10</v>
      </c>
      <c r="C156" t="s">
        <v>18</v>
      </c>
      <c r="D156" t="s">
        <v>19</v>
      </c>
      <c r="E156" s="5" t="s">
        <v>8</v>
      </c>
      <c r="F156" s="8"/>
      <c r="G156" t="s">
        <v>20</v>
      </c>
      <c r="H156" s="7" t="s">
        <v>101</v>
      </c>
    </row>
    <row r="157" spans="1:8" x14ac:dyDescent="0.2">
      <c r="A157" s="7" t="s">
        <v>32</v>
      </c>
      <c r="B157" s="6">
        <v>4.0000000000000001E-3</v>
      </c>
      <c r="C157" t="s">
        <v>30</v>
      </c>
      <c r="D157" s="8"/>
      <c r="E157" s="5" t="s">
        <v>21</v>
      </c>
      <c r="F157" s="5" t="s">
        <v>33</v>
      </c>
      <c r="G157" t="s">
        <v>31</v>
      </c>
      <c r="H157" s="8"/>
    </row>
    <row r="158" spans="1:8" x14ac:dyDescent="0.2">
      <c r="A158" s="5" t="s">
        <v>38</v>
      </c>
      <c r="B158" s="6">
        <f>2.45/997</f>
        <v>2.4573721163490474E-3</v>
      </c>
      <c r="C158" t="s">
        <v>30</v>
      </c>
      <c r="D158" s="8"/>
      <c r="E158" s="5" t="s">
        <v>21</v>
      </c>
      <c r="F158" s="5" t="s">
        <v>42</v>
      </c>
      <c r="G158" t="s">
        <v>31</v>
      </c>
      <c r="H158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68991-55C9-4627-9323-29F50518FFEB}">
  <dimension ref="A1:I80"/>
  <sheetViews>
    <sheetView topLeftCell="A38" zoomScaleNormal="100" workbookViewId="0">
      <selection activeCell="D62" sqref="D62"/>
    </sheetView>
  </sheetViews>
  <sheetFormatPr baseColWidth="10" defaultColWidth="8.6640625" defaultRowHeight="15" x14ac:dyDescent="0.2"/>
  <cols>
    <col min="1" max="1" width="94.6640625" bestFit="1" customWidth="1"/>
    <col min="3" max="3" width="38.33203125" bestFit="1" customWidth="1"/>
    <col min="5" max="5" width="12.5" bestFit="1" customWidth="1"/>
    <col min="6" max="6" width="23.5" bestFit="1" customWidth="1"/>
    <col min="7" max="7" width="13" bestFit="1" customWidth="1"/>
    <col min="8" max="8" width="25.1640625" bestFit="1" customWidth="1"/>
  </cols>
  <sheetData>
    <row r="1" spans="1:8" x14ac:dyDescent="0.2">
      <c r="A1" s="1" t="s">
        <v>0</v>
      </c>
      <c r="B1" s="1" t="s">
        <v>1</v>
      </c>
      <c r="C1" s="8"/>
      <c r="D1" s="8"/>
      <c r="E1" s="8"/>
      <c r="F1" s="8"/>
      <c r="G1" s="8"/>
      <c r="H1" s="8"/>
    </row>
    <row r="2" spans="1:8" x14ac:dyDescent="0.2">
      <c r="A2" s="8" t="s">
        <v>2</v>
      </c>
      <c r="B2" t="s">
        <v>45</v>
      </c>
      <c r="C2" s="8"/>
      <c r="D2" s="8"/>
      <c r="E2" s="8"/>
      <c r="F2" s="8"/>
      <c r="G2" s="8"/>
      <c r="H2" s="8"/>
    </row>
    <row r="3" spans="1:8" x14ac:dyDescent="0.2">
      <c r="A3" s="8" t="s">
        <v>3</v>
      </c>
      <c r="B3" t="s">
        <v>4</v>
      </c>
      <c r="C3" s="8"/>
      <c r="D3" s="8"/>
      <c r="E3" s="8"/>
      <c r="F3" s="8"/>
      <c r="G3" s="8"/>
      <c r="H3" s="8"/>
    </row>
    <row r="4" spans="1:8" x14ac:dyDescent="0.2">
      <c r="A4" s="8" t="s">
        <v>5</v>
      </c>
      <c r="B4" s="8">
        <v>1</v>
      </c>
      <c r="C4" s="8"/>
      <c r="D4" s="8"/>
      <c r="E4" s="8"/>
      <c r="F4" s="8"/>
      <c r="G4" s="8"/>
      <c r="H4" s="8"/>
    </row>
    <row r="5" spans="1:8" x14ac:dyDescent="0.2">
      <c r="A5" s="8" t="s">
        <v>6</v>
      </c>
      <c r="B5" t="s">
        <v>7</v>
      </c>
      <c r="C5" s="8"/>
      <c r="D5" s="8"/>
      <c r="E5" s="8"/>
      <c r="F5" s="8"/>
      <c r="G5" s="8"/>
      <c r="H5" s="8"/>
    </row>
    <row r="6" spans="1:8" x14ac:dyDescent="0.2">
      <c r="A6" s="8" t="s">
        <v>8</v>
      </c>
      <c r="B6" t="s">
        <v>9</v>
      </c>
      <c r="C6" s="8"/>
      <c r="D6" s="8"/>
      <c r="E6" s="8"/>
      <c r="F6" s="8"/>
      <c r="G6" s="8"/>
      <c r="H6" s="8"/>
    </row>
    <row r="7" spans="1:8" x14ac:dyDescent="0.2">
      <c r="A7" s="1" t="s">
        <v>10</v>
      </c>
      <c r="B7" s="8"/>
      <c r="C7" s="8"/>
      <c r="D7" s="8"/>
      <c r="E7" s="8"/>
      <c r="F7" s="8"/>
      <c r="G7" s="8"/>
      <c r="H7" s="8"/>
    </row>
    <row r="8" spans="1:8" x14ac:dyDescent="0.2">
      <c r="A8" s="8" t="s">
        <v>11</v>
      </c>
      <c r="B8" s="8" t="s">
        <v>12</v>
      </c>
      <c r="C8" s="8" t="s">
        <v>13</v>
      </c>
      <c r="D8" s="8" t="s">
        <v>3</v>
      </c>
      <c r="E8" s="8" t="s">
        <v>8</v>
      </c>
      <c r="F8" s="8" t="s">
        <v>14</v>
      </c>
      <c r="G8" s="8" t="s">
        <v>15</v>
      </c>
      <c r="H8" s="8" t="s">
        <v>6</v>
      </c>
    </row>
    <row r="9" spans="1:8" x14ac:dyDescent="0.2">
      <c r="A9" t="s">
        <v>1</v>
      </c>
      <c r="B9" s="9">
        <v>1</v>
      </c>
      <c r="C9" s="8" t="s">
        <v>16</v>
      </c>
      <c r="D9" t="s">
        <v>4</v>
      </c>
      <c r="E9" t="s">
        <v>9</v>
      </c>
      <c r="F9" s="8"/>
      <c r="G9" s="8" t="s">
        <v>17</v>
      </c>
      <c r="H9" t="s">
        <v>7</v>
      </c>
    </row>
    <row r="10" spans="1:8" x14ac:dyDescent="0.2">
      <c r="A10" t="s">
        <v>46</v>
      </c>
      <c r="B10" s="9">
        <v>0.62178</v>
      </c>
      <c r="C10" t="s">
        <v>18</v>
      </c>
      <c r="D10" t="s">
        <v>19</v>
      </c>
      <c r="E10" t="s">
        <v>21</v>
      </c>
      <c r="F10" s="8"/>
      <c r="G10" t="s">
        <v>20</v>
      </c>
      <c r="H10" t="s">
        <v>22</v>
      </c>
    </row>
    <row r="11" spans="1:8" x14ac:dyDescent="0.2">
      <c r="A11" t="s">
        <v>95</v>
      </c>
      <c r="B11" s="9">
        <v>13.952</v>
      </c>
      <c r="C11" t="s">
        <v>18</v>
      </c>
      <c r="D11" t="s">
        <v>19</v>
      </c>
      <c r="E11" t="s">
        <v>23</v>
      </c>
      <c r="F11" s="8"/>
      <c r="G11" t="s">
        <v>20</v>
      </c>
      <c r="H11" t="s">
        <v>96</v>
      </c>
    </row>
    <row r="12" spans="1:8" x14ac:dyDescent="0.2">
      <c r="A12" t="s">
        <v>53</v>
      </c>
      <c r="B12" s="4">
        <v>4.9231999999999998E-2</v>
      </c>
      <c r="C12" t="s">
        <v>18</v>
      </c>
      <c r="D12" t="s">
        <v>4</v>
      </c>
      <c r="E12" t="s">
        <v>24</v>
      </c>
      <c r="G12" t="s">
        <v>20</v>
      </c>
      <c r="H12" t="s">
        <v>43</v>
      </c>
    </row>
    <row r="13" spans="1:8" x14ac:dyDescent="0.2">
      <c r="A13" t="s">
        <v>112</v>
      </c>
      <c r="B13" s="13">
        <v>3.4820000000000001E-4</v>
      </c>
      <c r="C13" t="s">
        <v>18</v>
      </c>
      <c r="D13" t="s">
        <v>4</v>
      </c>
      <c r="E13" t="s">
        <v>9</v>
      </c>
      <c r="F13" s="8"/>
      <c r="G13" t="s">
        <v>20</v>
      </c>
      <c r="H13" t="s">
        <v>25</v>
      </c>
    </row>
    <row r="14" spans="1:8" x14ac:dyDescent="0.2">
      <c r="A14" t="s">
        <v>154</v>
      </c>
      <c r="B14" s="4">
        <v>0.71728999999999998</v>
      </c>
      <c r="C14" t="s">
        <v>18</v>
      </c>
      <c r="D14" t="s">
        <v>19</v>
      </c>
      <c r="E14" t="s">
        <v>9</v>
      </c>
      <c r="G14" t="s">
        <v>20</v>
      </c>
      <c r="H14" t="s">
        <v>26</v>
      </c>
    </row>
    <row r="15" spans="1:8" x14ac:dyDescent="0.2">
      <c r="A15" t="s">
        <v>155</v>
      </c>
      <c r="B15" s="15">
        <v>2.9845513851461699E-5</v>
      </c>
      <c r="C15" t="s">
        <v>18</v>
      </c>
      <c r="D15" t="s">
        <v>4</v>
      </c>
      <c r="E15" t="s">
        <v>9</v>
      </c>
      <c r="F15" s="8"/>
      <c r="G15" t="s">
        <v>20</v>
      </c>
      <c r="H15" t="s">
        <v>156</v>
      </c>
    </row>
    <row r="16" spans="1:8" x14ac:dyDescent="0.2">
      <c r="A16" t="s">
        <v>27</v>
      </c>
      <c r="B16" s="13">
        <v>3.9794018468615601E-10</v>
      </c>
      <c r="C16" t="s">
        <v>18</v>
      </c>
      <c r="D16" t="s">
        <v>4</v>
      </c>
      <c r="E16" t="s">
        <v>8</v>
      </c>
      <c r="G16" t="s">
        <v>20</v>
      </c>
      <c r="H16" t="s">
        <v>28</v>
      </c>
    </row>
    <row r="17" spans="1:8" x14ac:dyDescent="0.2">
      <c r="A17" s="14" t="s">
        <v>157</v>
      </c>
      <c r="B17" s="13">
        <v>-1.9897009234307801E-4</v>
      </c>
      <c r="C17" t="s">
        <v>18</v>
      </c>
      <c r="D17" t="s">
        <v>19</v>
      </c>
      <c r="E17" t="s">
        <v>9</v>
      </c>
      <c r="G17" t="s">
        <v>20</v>
      </c>
      <c r="H17" t="s">
        <v>158</v>
      </c>
    </row>
    <row r="18" spans="1:8" x14ac:dyDescent="0.2">
      <c r="A18" t="s">
        <v>37</v>
      </c>
      <c r="B18" s="13">
        <v>6.9639532320077196E-4</v>
      </c>
      <c r="C18" s="17" t="s">
        <v>30</v>
      </c>
      <c r="E18" s="5" t="s">
        <v>9</v>
      </c>
      <c r="F18" s="7" t="s">
        <v>159</v>
      </c>
      <c r="G18" t="s">
        <v>31</v>
      </c>
    </row>
    <row r="19" spans="1:8" x14ac:dyDescent="0.2">
      <c r="A19" t="s">
        <v>38</v>
      </c>
      <c r="B19" s="13">
        <v>8.6020242597452001E-2</v>
      </c>
      <c r="C19" s="17" t="s">
        <v>30</v>
      </c>
      <c r="E19" s="5" t="s">
        <v>21</v>
      </c>
      <c r="F19" s="5" t="s">
        <v>160</v>
      </c>
      <c r="G19" t="s">
        <v>31</v>
      </c>
    </row>
    <row r="20" spans="1:8" x14ac:dyDescent="0.2">
      <c r="A20" t="s">
        <v>36</v>
      </c>
      <c r="B20" s="13">
        <v>1.19382055405847E-4</v>
      </c>
      <c r="C20" s="17" t="s">
        <v>30</v>
      </c>
      <c r="E20" s="5" t="s">
        <v>9</v>
      </c>
      <c r="F20" s="5" t="s">
        <v>160</v>
      </c>
      <c r="G20" t="s">
        <v>31</v>
      </c>
      <c r="H20" s="14"/>
    </row>
    <row r="21" spans="1:8" x14ac:dyDescent="0.2">
      <c r="A21" t="s">
        <v>29</v>
      </c>
      <c r="B21" s="4">
        <v>1.4326000000000001</v>
      </c>
      <c r="C21" s="17" t="s">
        <v>30</v>
      </c>
      <c r="E21" s="5" t="s">
        <v>9</v>
      </c>
      <c r="F21" s="5" t="s">
        <v>159</v>
      </c>
      <c r="G21" t="s">
        <v>31</v>
      </c>
      <c r="H21" s="14"/>
    </row>
    <row r="22" spans="1:8" x14ac:dyDescent="0.2">
      <c r="A22" t="s">
        <v>38</v>
      </c>
      <c r="B22" s="15">
        <v>5.4119865117317201E-2</v>
      </c>
      <c r="C22" s="17" t="s">
        <v>30</v>
      </c>
      <c r="E22" s="5" t="s">
        <v>21</v>
      </c>
      <c r="F22" s="17" t="s">
        <v>161</v>
      </c>
      <c r="G22" t="s">
        <v>31</v>
      </c>
    </row>
    <row r="23" spans="1:8" x14ac:dyDescent="0.2">
      <c r="A23" t="s">
        <v>32</v>
      </c>
      <c r="B23" s="4">
        <v>0.13927999999999999</v>
      </c>
      <c r="C23" s="17" t="s">
        <v>30</v>
      </c>
      <c r="E23" s="5" t="s">
        <v>21</v>
      </c>
      <c r="F23" s="17" t="s">
        <v>33</v>
      </c>
      <c r="G23" t="s">
        <v>31</v>
      </c>
    </row>
    <row r="24" spans="1:8" x14ac:dyDescent="0.2">
      <c r="A24" s="2"/>
      <c r="B24" s="2"/>
      <c r="C24" s="3"/>
      <c r="D24" s="2"/>
      <c r="E24" s="2"/>
      <c r="F24" s="2"/>
      <c r="G24" s="2"/>
      <c r="H24" s="2"/>
    </row>
    <row r="25" spans="1:8" x14ac:dyDescent="0.2">
      <c r="A25" s="1" t="s">
        <v>0</v>
      </c>
      <c r="B25" s="1" t="s">
        <v>97</v>
      </c>
      <c r="C25" s="8"/>
      <c r="D25" s="8"/>
      <c r="E25" s="8"/>
      <c r="F25" s="8"/>
      <c r="G25" s="8"/>
      <c r="H25" s="8"/>
    </row>
    <row r="26" spans="1:8" x14ac:dyDescent="0.2">
      <c r="A26" s="8" t="s">
        <v>2</v>
      </c>
      <c r="B26" t="s">
        <v>162</v>
      </c>
      <c r="C26" s="8"/>
      <c r="D26" s="8"/>
      <c r="E26" s="8"/>
      <c r="F26" s="8"/>
      <c r="G26" s="8"/>
      <c r="H26" s="8"/>
    </row>
    <row r="27" spans="1:8" x14ac:dyDescent="0.2">
      <c r="A27" s="8" t="s">
        <v>3</v>
      </c>
      <c r="B27" t="s">
        <v>4</v>
      </c>
      <c r="C27" s="8"/>
      <c r="D27" s="8"/>
      <c r="E27" s="8"/>
      <c r="F27" s="8"/>
      <c r="G27" s="8"/>
      <c r="H27" s="8"/>
    </row>
    <row r="28" spans="1:8" x14ac:dyDescent="0.2">
      <c r="A28" s="8" t="s">
        <v>5</v>
      </c>
      <c r="B28" s="8">
        <v>1</v>
      </c>
      <c r="C28" s="8"/>
      <c r="D28" s="8"/>
      <c r="E28" s="8"/>
      <c r="F28" s="8"/>
      <c r="G28" s="8"/>
      <c r="H28" s="8"/>
    </row>
    <row r="29" spans="1:8" x14ac:dyDescent="0.2">
      <c r="A29" s="8" t="s">
        <v>6</v>
      </c>
      <c r="B29" t="s">
        <v>7</v>
      </c>
      <c r="C29" s="8"/>
      <c r="D29" s="8"/>
      <c r="E29" s="8"/>
      <c r="F29" s="8"/>
      <c r="G29" s="8"/>
      <c r="H29" s="8"/>
    </row>
    <row r="30" spans="1:8" x14ac:dyDescent="0.2">
      <c r="A30" s="8" t="s">
        <v>8</v>
      </c>
      <c r="B30" t="s">
        <v>9</v>
      </c>
      <c r="C30" s="8"/>
      <c r="D30" s="8"/>
      <c r="E30" s="8"/>
      <c r="F30" s="8"/>
      <c r="G30" s="8"/>
      <c r="H30" s="8"/>
    </row>
    <row r="31" spans="1:8" x14ac:dyDescent="0.2">
      <c r="A31" s="1" t="s">
        <v>10</v>
      </c>
      <c r="B31" s="8"/>
      <c r="C31" s="8"/>
      <c r="D31" s="8"/>
      <c r="E31" s="8"/>
      <c r="F31" s="8"/>
      <c r="G31" s="8"/>
      <c r="H31" s="8"/>
    </row>
    <row r="32" spans="1:8" x14ac:dyDescent="0.2">
      <c r="A32" s="8" t="s">
        <v>11</v>
      </c>
      <c r="B32" s="8" t="s">
        <v>12</v>
      </c>
      <c r="C32" s="8" t="s">
        <v>13</v>
      </c>
      <c r="D32" s="8" t="s">
        <v>3</v>
      </c>
      <c r="E32" s="8" t="s">
        <v>8</v>
      </c>
      <c r="F32" s="8" t="s">
        <v>14</v>
      </c>
      <c r="G32" s="8" t="s">
        <v>15</v>
      </c>
      <c r="H32" s="8" t="s">
        <v>6</v>
      </c>
    </row>
    <row r="33" spans="1:9" x14ac:dyDescent="0.2">
      <c r="A33" t="s">
        <v>97</v>
      </c>
      <c r="B33" s="9">
        <v>1</v>
      </c>
      <c r="C33" s="8" t="s">
        <v>16</v>
      </c>
      <c r="D33" t="s">
        <v>4</v>
      </c>
      <c r="E33" t="s">
        <v>9</v>
      </c>
      <c r="F33" s="8"/>
      <c r="G33" s="8" t="s">
        <v>17</v>
      </c>
      <c r="H33" t="s">
        <v>7</v>
      </c>
    </row>
    <row r="34" spans="1:9" x14ac:dyDescent="0.2">
      <c r="A34" t="s">
        <v>46</v>
      </c>
      <c r="B34" s="9">
        <v>0.62178</v>
      </c>
      <c r="C34" t="s">
        <v>18</v>
      </c>
      <c r="D34" t="s">
        <v>19</v>
      </c>
      <c r="E34" t="s">
        <v>21</v>
      </c>
      <c r="F34" s="8"/>
      <c r="G34" t="s">
        <v>20</v>
      </c>
      <c r="H34" t="s">
        <v>22</v>
      </c>
    </row>
    <row r="35" spans="1:9" x14ac:dyDescent="0.2">
      <c r="A35" s="17" t="s">
        <v>117</v>
      </c>
      <c r="B35" s="9">
        <v>13.952</v>
      </c>
      <c r="C35" s="8" t="s">
        <v>16</v>
      </c>
      <c r="D35" s="17" t="s">
        <v>4</v>
      </c>
      <c r="E35" s="5" t="s">
        <v>23</v>
      </c>
      <c r="F35" s="17"/>
      <c r="G35" t="s">
        <v>20</v>
      </c>
      <c r="H35" s="17" t="s">
        <v>118</v>
      </c>
    </row>
    <row r="36" spans="1:9" x14ac:dyDescent="0.2">
      <c r="A36" t="s">
        <v>53</v>
      </c>
      <c r="B36" s="4">
        <f>0.049232+0.146*B45/0.1*0.9</f>
        <v>0.23747564000000002</v>
      </c>
      <c r="C36" t="s">
        <v>18</v>
      </c>
      <c r="D36" t="s">
        <v>4</v>
      </c>
      <c r="E36" t="s">
        <v>24</v>
      </c>
      <c r="G36" t="s">
        <v>20</v>
      </c>
      <c r="H36" t="s">
        <v>43</v>
      </c>
    </row>
    <row r="37" spans="1:9" x14ac:dyDescent="0.2">
      <c r="A37" t="s">
        <v>112</v>
      </c>
      <c r="B37" s="13">
        <v>3.4820000000000001E-4</v>
      </c>
      <c r="C37" t="s">
        <v>18</v>
      </c>
      <c r="D37" t="s">
        <v>4</v>
      </c>
      <c r="E37" t="s">
        <v>9</v>
      </c>
      <c r="F37" s="8"/>
      <c r="G37" t="s">
        <v>20</v>
      </c>
      <c r="H37" t="s">
        <v>25</v>
      </c>
    </row>
    <row r="38" spans="1:9" x14ac:dyDescent="0.2">
      <c r="A38" t="s">
        <v>154</v>
      </c>
      <c r="B38" s="4">
        <v>0.71728999999999998</v>
      </c>
      <c r="C38" t="s">
        <v>18</v>
      </c>
      <c r="D38" t="s">
        <v>19</v>
      </c>
      <c r="E38" t="s">
        <v>9</v>
      </c>
      <c r="G38" t="s">
        <v>20</v>
      </c>
      <c r="H38" t="s">
        <v>26</v>
      </c>
    </row>
    <row r="39" spans="1:9" x14ac:dyDescent="0.2">
      <c r="A39" t="s">
        <v>155</v>
      </c>
      <c r="B39" s="15">
        <v>2.9845513851461699E-5</v>
      </c>
      <c r="C39" t="s">
        <v>18</v>
      </c>
      <c r="D39" t="s">
        <v>4</v>
      </c>
      <c r="E39" t="s">
        <v>9</v>
      </c>
      <c r="F39" s="8"/>
      <c r="G39" t="s">
        <v>20</v>
      </c>
      <c r="H39" t="s">
        <v>156</v>
      </c>
      <c r="I39" s="4"/>
    </row>
    <row r="40" spans="1:9" x14ac:dyDescent="0.2">
      <c r="A40" t="s">
        <v>27</v>
      </c>
      <c r="B40" s="13">
        <v>3.9794018468615601E-10</v>
      </c>
      <c r="C40" t="s">
        <v>18</v>
      </c>
      <c r="D40" t="s">
        <v>4</v>
      </c>
      <c r="E40" t="s">
        <v>8</v>
      </c>
      <c r="G40" t="s">
        <v>20</v>
      </c>
      <c r="H40" t="s">
        <v>28</v>
      </c>
    </row>
    <row r="41" spans="1:9" x14ac:dyDescent="0.2">
      <c r="A41" s="14" t="s">
        <v>157</v>
      </c>
      <c r="B41" s="13">
        <v>-1.9897009234307801E-4</v>
      </c>
      <c r="C41" t="s">
        <v>18</v>
      </c>
      <c r="D41" t="s">
        <v>19</v>
      </c>
      <c r="E41" t="s">
        <v>9</v>
      </c>
      <c r="G41" t="s">
        <v>20</v>
      </c>
      <c r="H41" t="s">
        <v>158</v>
      </c>
    </row>
    <row r="42" spans="1:9" x14ac:dyDescent="0.2">
      <c r="A42" t="s">
        <v>37</v>
      </c>
      <c r="B42" s="13">
        <v>6.9639532320077196E-4</v>
      </c>
      <c r="C42" s="17" t="s">
        <v>30</v>
      </c>
      <c r="E42" s="5" t="s">
        <v>9</v>
      </c>
      <c r="F42" s="7" t="s">
        <v>159</v>
      </c>
      <c r="G42" t="s">
        <v>31</v>
      </c>
    </row>
    <row r="43" spans="1:9" x14ac:dyDescent="0.2">
      <c r="A43" t="s">
        <v>38</v>
      </c>
      <c r="B43" s="13">
        <v>8.6020242597452001E-2</v>
      </c>
      <c r="C43" s="17" t="s">
        <v>30</v>
      </c>
      <c r="E43" s="5" t="s">
        <v>21</v>
      </c>
      <c r="F43" s="5" t="s">
        <v>160</v>
      </c>
      <c r="G43" t="s">
        <v>31</v>
      </c>
    </row>
    <row r="44" spans="1:9" x14ac:dyDescent="0.2">
      <c r="A44" t="s">
        <v>36</v>
      </c>
      <c r="B44" s="13">
        <v>1.19382055405847E-4</v>
      </c>
      <c r="C44" s="17" t="s">
        <v>30</v>
      </c>
      <c r="E44" s="5" t="s">
        <v>9</v>
      </c>
      <c r="F44" s="5" t="s">
        <v>160</v>
      </c>
      <c r="G44" t="s">
        <v>31</v>
      </c>
      <c r="H44" s="14"/>
    </row>
    <row r="45" spans="1:9" x14ac:dyDescent="0.2">
      <c r="A45" t="s">
        <v>29</v>
      </c>
      <c r="B45" s="19">
        <f>0.1*B21</f>
        <v>0.14326000000000003</v>
      </c>
      <c r="C45" s="17" t="s">
        <v>30</v>
      </c>
      <c r="E45" s="5" t="s">
        <v>9</v>
      </c>
      <c r="F45" s="5" t="s">
        <v>159</v>
      </c>
      <c r="G45" t="s">
        <v>31</v>
      </c>
    </row>
    <row r="46" spans="1:9" x14ac:dyDescent="0.2">
      <c r="A46" t="s">
        <v>38</v>
      </c>
      <c r="B46" s="15">
        <v>5.4119865117317201E-2</v>
      </c>
      <c r="C46" s="17" t="s">
        <v>30</v>
      </c>
      <c r="E46" s="5" t="s">
        <v>21</v>
      </c>
      <c r="F46" s="17" t="s">
        <v>161</v>
      </c>
      <c r="G46" t="s">
        <v>31</v>
      </c>
    </row>
    <row r="47" spans="1:9" x14ac:dyDescent="0.2">
      <c r="A47" t="s">
        <v>32</v>
      </c>
      <c r="B47" s="4">
        <v>0.13927999999999999</v>
      </c>
      <c r="C47" s="17" t="s">
        <v>30</v>
      </c>
      <c r="E47" s="5" t="s">
        <v>21</v>
      </c>
      <c r="F47" s="17" t="s">
        <v>33</v>
      </c>
      <c r="G47" t="s">
        <v>31</v>
      </c>
    </row>
    <row r="48" spans="1:9" x14ac:dyDescent="0.2">
      <c r="A48" s="2"/>
      <c r="B48" s="2"/>
      <c r="C48" s="3"/>
      <c r="D48" s="2"/>
      <c r="E48" s="2"/>
      <c r="F48" s="2"/>
      <c r="G48" s="2"/>
      <c r="H48" s="2"/>
    </row>
    <row r="49" spans="1:8" x14ac:dyDescent="0.2">
      <c r="A49" s="1" t="s">
        <v>0</v>
      </c>
      <c r="B49" s="1" t="s">
        <v>103</v>
      </c>
      <c r="C49" s="8"/>
      <c r="D49" s="8"/>
      <c r="E49" s="8"/>
      <c r="F49" s="8"/>
      <c r="G49" s="8"/>
      <c r="H49" s="8"/>
    </row>
    <row r="50" spans="1:8" x14ac:dyDescent="0.2">
      <c r="A50" s="8" t="s">
        <v>2</v>
      </c>
      <c r="B50" t="s">
        <v>98</v>
      </c>
      <c r="C50" s="8"/>
      <c r="D50" s="8"/>
      <c r="E50" s="8"/>
      <c r="F50" s="8"/>
      <c r="G50" s="8"/>
      <c r="H50" s="8"/>
    </row>
    <row r="51" spans="1:8" x14ac:dyDescent="0.2">
      <c r="A51" s="8" t="s">
        <v>3</v>
      </c>
      <c r="B51" t="s">
        <v>4</v>
      </c>
      <c r="C51" s="8"/>
      <c r="D51" s="8"/>
      <c r="E51" s="8"/>
      <c r="F51" s="8"/>
      <c r="G51" s="8"/>
      <c r="H51" s="8"/>
    </row>
    <row r="52" spans="1:8" x14ac:dyDescent="0.2">
      <c r="A52" s="8" t="s">
        <v>5</v>
      </c>
      <c r="B52" s="8">
        <v>1</v>
      </c>
      <c r="C52" s="8"/>
      <c r="D52" s="8"/>
      <c r="E52" s="8"/>
      <c r="F52" s="8"/>
      <c r="G52" s="8"/>
      <c r="H52" s="8"/>
    </row>
    <row r="53" spans="1:8" x14ac:dyDescent="0.2">
      <c r="A53" s="8" t="s">
        <v>6</v>
      </c>
      <c r="B53" t="s">
        <v>7</v>
      </c>
      <c r="C53" s="8"/>
      <c r="D53" s="8"/>
      <c r="E53" s="8"/>
      <c r="F53" s="8"/>
      <c r="G53" s="8"/>
      <c r="H53" s="8"/>
    </row>
    <row r="54" spans="1:8" x14ac:dyDescent="0.2">
      <c r="A54" s="8" t="s">
        <v>8</v>
      </c>
      <c r="B54" t="s">
        <v>9</v>
      </c>
      <c r="C54" s="8"/>
      <c r="D54" s="8"/>
      <c r="E54" s="8"/>
      <c r="F54" s="8"/>
      <c r="G54" s="8"/>
      <c r="H54" s="8"/>
    </row>
    <row r="55" spans="1:8" x14ac:dyDescent="0.2">
      <c r="A55" s="1" t="s">
        <v>10</v>
      </c>
      <c r="B55" s="8"/>
      <c r="C55" s="8"/>
      <c r="D55" s="8"/>
      <c r="E55" s="8"/>
      <c r="F55" s="8"/>
      <c r="G55" s="8"/>
      <c r="H55" s="8"/>
    </row>
    <row r="56" spans="1:8" x14ac:dyDescent="0.2">
      <c r="A56" s="8" t="s">
        <v>11</v>
      </c>
      <c r="B56" s="8" t="s">
        <v>12</v>
      </c>
      <c r="C56" s="8" t="s">
        <v>13</v>
      </c>
      <c r="D56" s="8" t="s">
        <v>3</v>
      </c>
      <c r="E56" s="8" t="s">
        <v>8</v>
      </c>
      <c r="F56" s="8" t="s">
        <v>14</v>
      </c>
      <c r="G56" s="8" t="s">
        <v>15</v>
      </c>
      <c r="H56" s="8" t="s">
        <v>6</v>
      </c>
    </row>
    <row r="57" spans="1:8" x14ac:dyDescent="0.2">
      <c r="A57" t="s">
        <v>103</v>
      </c>
      <c r="B57" s="9">
        <v>1</v>
      </c>
      <c r="C57" s="8" t="s">
        <v>16</v>
      </c>
      <c r="D57" t="s">
        <v>4</v>
      </c>
      <c r="E57" t="s">
        <v>9</v>
      </c>
      <c r="F57" s="8"/>
      <c r="G57" s="8" t="s">
        <v>17</v>
      </c>
      <c r="H57" t="s">
        <v>7</v>
      </c>
    </row>
    <row r="58" spans="1:8" x14ac:dyDescent="0.2">
      <c r="A58" s="8" t="s">
        <v>40</v>
      </c>
      <c r="B58" s="9">
        <v>0.81499999999999995</v>
      </c>
      <c r="C58" s="8" t="s">
        <v>16</v>
      </c>
      <c r="D58" t="s">
        <v>4</v>
      </c>
      <c r="E58" s="8" t="s">
        <v>9</v>
      </c>
      <c r="F58" s="8"/>
      <c r="G58" t="s">
        <v>20</v>
      </c>
      <c r="H58" t="s">
        <v>41</v>
      </c>
    </row>
    <row r="59" spans="1:8" x14ac:dyDescent="0.2">
      <c r="A59" t="s">
        <v>76</v>
      </c>
      <c r="B59" s="13">
        <v>5.5099999999999998E-5</v>
      </c>
      <c r="C59" s="8" t="s">
        <v>16</v>
      </c>
      <c r="D59" t="s">
        <v>4</v>
      </c>
      <c r="E59" t="s">
        <v>9</v>
      </c>
      <c r="F59" s="8"/>
      <c r="G59" t="s">
        <v>20</v>
      </c>
      <c r="H59" t="s">
        <v>76</v>
      </c>
    </row>
    <row r="60" spans="1:8" x14ac:dyDescent="0.2">
      <c r="A60" t="s">
        <v>27</v>
      </c>
      <c r="B60" s="13">
        <v>3.29E-10</v>
      </c>
      <c r="C60" t="s">
        <v>18</v>
      </c>
      <c r="D60" t="s">
        <v>4</v>
      </c>
      <c r="E60" t="s">
        <v>8</v>
      </c>
      <c r="F60" s="8"/>
      <c r="G60" t="s">
        <v>20</v>
      </c>
      <c r="H60" t="s">
        <v>28</v>
      </c>
    </row>
    <row r="61" spans="1:8" x14ac:dyDescent="0.2">
      <c r="A61" t="s">
        <v>32</v>
      </c>
      <c r="B61" s="4">
        <v>0.14899999999999999</v>
      </c>
      <c r="C61" t="s">
        <v>30</v>
      </c>
      <c r="E61" t="s">
        <v>21</v>
      </c>
      <c r="F61" t="s">
        <v>33</v>
      </c>
      <c r="G61" t="s">
        <v>31</v>
      </c>
    </row>
    <row r="62" spans="1:8" x14ac:dyDescent="0.2">
      <c r="A62" t="s">
        <v>53</v>
      </c>
      <c r="B62" s="4">
        <v>0.55600000000000005</v>
      </c>
      <c r="C62" t="s">
        <v>18</v>
      </c>
      <c r="D62" t="s">
        <v>4</v>
      </c>
      <c r="E62" t="s">
        <v>24</v>
      </c>
      <c r="G62" t="s">
        <v>20</v>
      </c>
      <c r="H62" t="s">
        <v>43</v>
      </c>
    </row>
    <row r="63" spans="1:8" x14ac:dyDescent="0.2">
      <c r="A63" t="s">
        <v>34</v>
      </c>
      <c r="B63" s="15">
        <v>7.67E-4</v>
      </c>
      <c r="C63" t="s">
        <v>30</v>
      </c>
      <c r="E63" t="s">
        <v>9</v>
      </c>
      <c r="F63" t="s">
        <v>39</v>
      </c>
      <c r="G63" t="s">
        <v>31</v>
      </c>
    </row>
    <row r="64" spans="1:8" x14ac:dyDescent="0.2">
      <c r="A64" t="s">
        <v>35</v>
      </c>
      <c r="B64" s="15">
        <v>1.6299999999999999E-3</v>
      </c>
      <c r="C64" t="s">
        <v>30</v>
      </c>
      <c r="E64" t="s">
        <v>9</v>
      </c>
      <c r="F64" t="s">
        <v>39</v>
      </c>
      <c r="G64" t="s">
        <v>31</v>
      </c>
    </row>
    <row r="65" spans="1:8" x14ac:dyDescent="0.2">
      <c r="A65" t="s">
        <v>37</v>
      </c>
      <c r="B65" s="15">
        <v>1E-3</v>
      </c>
      <c r="C65" t="s">
        <v>30</v>
      </c>
      <c r="E65" t="s">
        <v>9</v>
      </c>
      <c r="F65" t="s">
        <v>39</v>
      </c>
      <c r="G65" t="s">
        <v>31</v>
      </c>
    </row>
    <row r="66" spans="1:8" x14ac:dyDescent="0.2">
      <c r="A66" t="s">
        <v>38</v>
      </c>
      <c r="B66" s="15">
        <f>47.6/1000</f>
        <v>4.7600000000000003E-2</v>
      </c>
      <c r="C66" t="s">
        <v>30</v>
      </c>
      <c r="E66" t="s">
        <v>21</v>
      </c>
      <c r="F66" t="s">
        <v>39</v>
      </c>
      <c r="G66" t="s">
        <v>31</v>
      </c>
    </row>
    <row r="67" spans="1:8" x14ac:dyDescent="0.2">
      <c r="A67" t="s">
        <v>38</v>
      </c>
      <c r="B67" s="15">
        <f>101/1000</f>
        <v>0.10100000000000001</v>
      </c>
      <c r="C67" t="s">
        <v>30</v>
      </c>
      <c r="E67" t="s">
        <v>21</v>
      </c>
      <c r="F67" t="s">
        <v>42</v>
      </c>
      <c r="G67" t="s">
        <v>31</v>
      </c>
    </row>
    <row r="68" spans="1:8" x14ac:dyDescent="0.2">
      <c r="A68" s="8" t="s">
        <v>93</v>
      </c>
      <c r="B68" s="15">
        <v>-5.5099999999999998E-5</v>
      </c>
      <c r="C68" t="s">
        <v>18</v>
      </c>
      <c r="D68" t="s">
        <v>19</v>
      </c>
      <c r="E68" t="s">
        <v>9</v>
      </c>
      <c r="G68" t="s">
        <v>20</v>
      </c>
      <c r="H68" s="8" t="s">
        <v>94</v>
      </c>
    </row>
    <row r="69" spans="1:8" x14ac:dyDescent="0.2">
      <c r="B69" s="15"/>
    </row>
    <row r="70" spans="1:8" x14ac:dyDescent="0.2">
      <c r="B70" s="15"/>
    </row>
    <row r="71" spans="1:8" x14ac:dyDescent="0.2">
      <c r="B71" s="15"/>
    </row>
    <row r="72" spans="1:8" x14ac:dyDescent="0.2">
      <c r="B72" s="15"/>
    </row>
    <row r="73" spans="1:8" x14ac:dyDescent="0.2">
      <c r="B73" s="4"/>
    </row>
    <row r="74" spans="1:8" x14ac:dyDescent="0.2">
      <c r="B74" s="15"/>
    </row>
    <row r="75" spans="1:8" x14ac:dyDescent="0.2">
      <c r="B75" s="15"/>
    </row>
    <row r="76" spans="1:8" x14ac:dyDescent="0.2">
      <c r="B76" s="15"/>
    </row>
    <row r="77" spans="1:8" x14ac:dyDescent="0.2">
      <c r="B77" s="15"/>
    </row>
    <row r="78" spans="1:8" x14ac:dyDescent="0.2">
      <c r="B78" s="15"/>
    </row>
    <row r="79" spans="1:8" x14ac:dyDescent="0.2">
      <c r="B79" s="15"/>
    </row>
    <row r="80" spans="1:8" x14ac:dyDescent="0.2">
      <c r="A80" s="8"/>
      <c r="B80" s="13"/>
      <c r="C80" s="8"/>
      <c r="D80" s="8"/>
      <c r="E80" s="8"/>
      <c r="F80" s="8"/>
      <c r="H80" s="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067F8-C305-44D3-8E28-CF1FDCAD7A72}">
  <dimension ref="A1:H75"/>
  <sheetViews>
    <sheetView workbookViewId="0">
      <selection activeCell="D12" sqref="D12"/>
    </sheetView>
  </sheetViews>
  <sheetFormatPr baseColWidth="10" defaultColWidth="8.6640625" defaultRowHeight="15" x14ac:dyDescent="0.2"/>
  <cols>
    <col min="1" max="1" width="86.5" bestFit="1" customWidth="1"/>
    <col min="3" max="3" width="38.33203125" bestFit="1" customWidth="1"/>
    <col min="5" max="5" width="12.5" bestFit="1" customWidth="1"/>
    <col min="6" max="6" width="33.33203125" bestFit="1" customWidth="1"/>
    <col min="7" max="7" width="13" bestFit="1" customWidth="1"/>
    <col min="8" max="8" width="25.1640625" bestFit="1" customWidth="1"/>
  </cols>
  <sheetData>
    <row r="1" spans="1:8" x14ac:dyDescent="0.2">
      <c r="A1" s="1" t="s">
        <v>0</v>
      </c>
      <c r="B1" s="1" t="s">
        <v>104</v>
      </c>
      <c r="C1" s="8"/>
      <c r="D1" s="8"/>
      <c r="E1" s="8"/>
      <c r="F1" s="8"/>
      <c r="G1" s="8"/>
      <c r="H1" s="8"/>
    </row>
    <row r="2" spans="1:8" x14ac:dyDescent="0.2">
      <c r="A2" s="8" t="s">
        <v>2</v>
      </c>
      <c r="B2" t="s">
        <v>106</v>
      </c>
      <c r="C2" s="8"/>
      <c r="D2" s="8"/>
      <c r="E2" s="8"/>
      <c r="F2" s="8"/>
      <c r="G2" s="8"/>
      <c r="H2" s="8"/>
    </row>
    <row r="3" spans="1:8" x14ac:dyDescent="0.2">
      <c r="A3" s="8" t="s">
        <v>3</v>
      </c>
      <c r="B3" t="s">
        <v>4</v>
      </c>
      <c r="C3" s="8"/>
      <c r="D3" s="8"/>
      <c r="E3" s="8"/>
      <c r="F3" s="8"/>
      <c r="G3" s="8"/>
      <c r="H3" s="8"/>
    </row>
    <row r="4" spans="1:8" x14ac:dyDescent="0.2">
      <c r="A4" s="8" t="s">
        <v>5</v>
      </c>
      <c r="B4" s="8">
        <v>1</v>
      </c>
      <c r="C4" s="8"/>
      <c r="D4" s="8"/>
      <c r="E4" s="8"/>
      <c r="F4" s="8"/>
      <c r="G4" s="8"/>
      <c r="H4" s="8"/>
    </row>
    <row r="5" spans="1:8" x14ac:dyDescent="0.2">
      <c r="A5" s="8" t="s">
        <v>6</v>
      </c>
      <c r="B5" t="s">
        <v>105</v>
      </c>
      <c r="C5" s="8"/>
      <c r="D5" s="8"/>
      <c r="E5" s="8"/>
      <c r="F5" s="8"/>
      <c r="G5" s="8"/>
      <c r="H5" s="8"/>
    </row>
    <row r="6" spans="1:8" x14ac:dyDescent="0.2">
      <c r="A6" s="8" t="s">
        <v>8</v>
      </c>
      <c r="B6" t="s">
        <v>9</v>
      </c>
      <c r="C6" s="8"/>
      <c r="D6" s="8"/>
      <c r="E6" s="8"/>
      <c r="F6" s="8"/>
      <c r="G6" s="8"/>
      <c r="H6" s="8"/>
    </row>
    <row r="7" spans="1:8" x14ac:dyDescent="0.2">
      <c r="A7" s="1" t="s">
        <v>10</v>
      </c>
      <c r="B7" s="8"/>
      <c r="C7" s="8"/>
      <c r="D7" s="8"/>
      <c r="E7" s="8"/>
      <c r="F7" s="8"/>
      <c r="G7" s="8"/>
      <c r="H7" s="8"/>
    </row>
    <row r="8" spans="1:8" x14ac:dyDescent="0.2">
      <c r="A8" s="8" t="s">
        <v>11</v>
      </c>
      <c r="B8" s="8" t="s">
        <v>12</v>
      </c>
      <c r="C8" s="8" t="s">
        <v>13</v>
      </c>
      <c r="D8" s="8" t="s">
        <v>3</v>
      </c>
      <c r="E8" s="8" t="s">
        <v>8</v>
      </c>
      <c r="F8" s="8" t="s">
        <v>14</v>
      </c>
      <c r="G8" s="8" t="s">
        <v>15</v>
      </c>
      <c r="H8" s="8" t="s">
        <v>6</v>
      </c>
    </row>
    <row r="9" spans="1:8" x14ac:dyDescent="0.2">
      <c r="A9" t="s">
        <v>104</v>
      </c>
      <c r="B9" s="9">
        <v>1</v>
      </c>
      <c r="C9" s="8" t="s">
        <v>16</v>
      </c>
      <c r="D9" t="s">
        <v>4</v>
      </c>
      <c r="E9" t="s">
        <v>9</v>
      </c>
      <c r="F9" s="8"/>
      <c r="G9" s="8" t="s">
        <v>17</v>
      </c>
      <c r="H9" t="s">
        <v>105</v>
      </c>
    </row>
    <row r="10" spans="1:8" x14ac:dyDescent="0.2">
      <c r="A10" t="s">
        <v>46</v>
      </c>
      <c r="B10" s="9">
        <v>0.65178999999999998</v>
      </c>
      <c r="C10" t="s">
        <v>18</v>
      </c>
      <c r="D10" t="s">
        <v>19</v>
      </c>
      <c r="E10" t="s">
        <v>21</v>
      </c>
      <c r="F10" s="8"/>
      <c r="G10" t="s">
        <v>20</v>
      </c>
      <c r="H10" t="s">
        <v>22</v>
      </c>
    </row>
    <row r="11" spans="1:8" x14ac:dyDescent="0.2">
      <c r="A11" t="s">
        <v>95</v>
      </c>
      <c r="B11" s="9">
        <v>6.93</v>
      </c>
      <c r="C11" t="s">
        <v>18</v>
      </c>
      <c r="D11" t="s">
        <v>19</v>
      </c>
      <c r="E11" t="s">
        <v>23</v>
      </c>
      <c r="F11" s="8"/>
      <c r="G11" t="s">
        <v>20</v>
      </c>
      <c r="H11" t="s">
        <v>96</v>
      </c>
    </row>
    <row r="12" spans="1:8" x14ac:dyDescent="0.2">
      <c r="A12" t="s">
        <v>53</v>
      </c>
      <c r="B12" s="4">
        <v>7.3999999999999996E-2</v>
      </c>
      <c r="C12" t="s">
        <v>18</v>
      </c>
      <c r="D12" t="s">
        <v>4</v>
      </c>
      <c r="E12" t="s">
        <v>24</v>
      </c>
      <c r="G12" t="s">
        <v>20</v>
      </c>
      <c r="H12" t="s">
        <v>43</v>
      </c>
    </row>
    <row r="13" spans="1:8" x14ac:dyDescent="0.2">
      <c r="A13" t="s">
        <v>108</v>
      </c>
      <c r="B13" s="13">
        <v>3.0000000000000001E-5</v>
      </c>
      <c r="C13" t="s">
        <v>18</v>
      </c>
      <c r="D13" t="s">
        <v>4</v>
      </c>
      <c r="E13" t="s">
        <v>9</v>
      </c>
      <c r="F13" s="8"/>
      <c r="G13" t="s">
        <v>20</v>
      </c>
      <c r="H13" t="s">
        <v>109</v>
      </c>
    </row>
    <row r="14" spans="1:8" x14ac:dyDescent="0.2">
      <c r="A14" t="s">
        <v>110</v>
      </c>
      <c r="B14" s="13">
        <v>1.0000000000000001E-5</v>
      </c>
      <c r="C14" t="s">
        <v>18</v>
      </c>
      <c r="D14" t="s">
        <v>4</v>
      </c>
      <c r="E14" t="s">
        <v>9</v>
      </c>
      <c r="F14" s="8"/>
      <c r="G14" t="s">
        <v>20</v>
      </c>
      <c r="H14" t="s">
        <v>111</v>
      </c>
    </row>
    <row r="15" spans="1:8" x14ac:dyDescent="0.2">
      <c r="A15" t="s">
        <v>71</v>
      </c>
      <c r="B15" s="13">
        <v>9.0000000000000006E-5</v>
      </c>
      <c r="C15" t="s">
        <v>18</v>
      </c>
      <c r="D15" t="s">
        <v>4</v>
      </c>
      <c r="E15" t="s">
        <v>9</v>
      </c>
      <c r="F15" s="8"/>
      <c r="G15" t="s">
        <v>20</v>
      </c>
      <c r="H15" t="s">
        <v>72</v>
      </c>
    </row>
    <row r="16" spans="1:8" x14ac:dyDescent="0.2">
      <c r="A16" t="s">
        <v>112</v>
      </c>
      <c r="B16" s="13">
        <v>2.0000000000000002E-5</v>
      </c>
      <c r="C16" t="s">
        <v>18</v>
      </c>
      <c r="D16" t="s">
        <v>4</v>
      </c>
      <c r="E16" t="s">
        <v>9</v>
      </c>
      <c r="F16" s="8"/>
      <c r="G16" t="s">
        <v>20</v>
      </c>
      <c r="H16" t="s">
        <v>25</v>
      </c>
    </row>
    <row r="17" spans="1:8" x14ac:dyDescent="0.2">
      <c r="A17" t="s">
        <v>47</v>
      </c>
      <c r="B17" s="4">
        <f>0.2+0.00071996+0.64928</f>
        <v>0.84999996</v>
      </c>
      <c r="C17" t="s">
        <v>18</v>
      </c>
      <c r="D17" t="s">
        <v>19</v>
      </c>
      <c r="E17" t="s">
        <v>9</v>
      </c>
      <c r="G17" t="s">
        <v>20</v>
      </c>
      <c r="H17" t="s">
        <v>48</v>
      </c>
    </row>
    <row r="18" spans="1:8" x14ac:dyDescent="0.2">
      <c r="A18" t="s">
        <v>113</v>
      </c>
      <c r="B18" s="13">
        <f>0.00020525+0.000034749</f>
        <v>2.3999900000000002E-4</v>
      </c>
      <c r="C18" t="s">
        <v>18</v>
      </c>
      <c r="D18" t="s">
        <v>19</v>
      </c>
      <c r="E18" t="s">
        <v>9</v>
      </c>
      <c r="F18" s="8"/>
      <c r="G18" t="s">
        <v>20</v>
      </c>
      <c r="H18" t="s">
        <v>116</v>
      </c>
    </row>
    <row r="19" spans="1:8" x14ac:dyDescent="0.2">
      <c r="A19" t="s">
        <v>114</v>
      </c>
      <c r="B19" s="13">
        <v>3.7199999999999998E-11</v>
      </c>
      <c r="C19" t="s">
        <v>18</v>
      </c>
      <c r="D19" t="s">
        <v>4</v>
      </c>
      <c r="E19" t="s">
        <v>8</v>
      </c>
      <c r="G19" t="s">
        <v>20</v>
      </c>
      <c r="H19" t="s">
        <v>115</v>
      </c>
    </row>
    <row r="20" spans="1:8" x14ac:dyDescent="0.2">
      <c r="A20" t="s">
        <v>86</v>
      </c>
      <c r="B20" s="13">
        <v>9.7999999999999997E-4</v>
      </c>
      <c r="C20" s="17" t="s">
        <v>30</v>
      </c>
      <c r="E20" s="17" t="s">
        <v>9</v>
      </c>
      <c r="F20" s="7" t="s">
        <v>119</v>
      </c>
      <c r="G20" t="s">
        <v>31</v>
      </c>
    </row>
    <row r="21" spans="1:8" x14ac:dyDescent="0.2">
      <c r="A21" t="s">
        <v>32</v>
      </c>
      <c r="B21" s="13">
        <v>8.1600000000000006E-3</v>
      </c>
      <c r="C21" s="17" t="s">
        <v>30</v>
      </c>
      <c r="E21" s="5" t="s">
        <v>21</v>
      </c>
      <c r="F21" s="5" t="s">
        <v>33</v>
      </c>
      <c r="G21" t="s">
        <v>31</v>
      </c>
    </row>
    <row r="22" spans="1:8" x14ac:dyDescent="0.2">
      <c r="A22" t="s">
        <v>120</v>
      </c>
      <c r="B22" s="13">
        <v>1.9999999999999999E-6</v>
      </c>
      <c r="C22" s="17" t="s">
        <v>30</v>
      </c>
      <c r="E22" s="5" t="s">
        <v>9</v>
      </c>
      <c r="F22" s="5" t="s">
        <v>42</v>
      </c>
      <c r="G22" t="s">
        <v>31</v>
      </c>
    </row>
    <row r="23" spans="1:8" x14ac:dyDescent="0.2">
      <c r="A23" t="s">
        <v>37</v>
      </c>
      <c r="B23" s="13">
        <v>1.4999999999999999E-4</v>
      </c>
      <c r="C23" s="17" t="s">
        <v>30</v>
      </c>
      <c r="E23" s="5" t="s">
        <v>9</v>
      </c>
      <c r="F23" s="7" t="s">
        <v>119</v>
      </c>
      <c r="G23" t="s">
        <v>31</v>
      </c>
    </row>
    <row r="24" spans="1:8" x14ac:dyDescent="0.2">
      <c r="A24" t="s">
        <v>38</v>
      </c>
      <c r="B24" s="13">
        <v>5.67375E-3</v>
      </c>
      <c r="C24" s="17" t="s">
        <v>30</v>
      </c>
      <c r="E24" s="5" t="s">
        <v>21</v>
      </c>
      <c r="F24" s="5" t="s">
        <v>42</v>
      </c>
      <c r="G24" t="s">
        <v>31</v>
      </c>
    </row>
    <row r="25" spans="1:8" x14ac:dyDescent="0.2">
      <c r="A25" t="s">
        <v>121</v>
      </c>
      <c r="B25" s="13">
        <v>1.8000000000000001E-4</v>
      </c>
      <c r="C25" s="17" t="s">
        <v>30</v>
      </c>
      <c r="E25" s="5" t="s">
        <v>9</v>
      </c>
      <c r="F25" s="5" t="s">
        <v>42</v>
      </c>
      <c r="G25" t="s">
        <v>31</v>
      </c>
    </row>
    <row r="26" spans="1:8" x14ac:dyDescent="0.2">
      <c r="A26" t="s">
        <v>122</v>
      </c>
      <c r="B26" s="15">
        <v>3.0000000000000001E-5</v>
      </c>
      <c r="C26" s="17" t="s">
        <v>30</v>
      </c>
      <c r="E26" s="5" t="s">
        <v>9</v>
      </c>
      <c r="F26" s="5" t="s">
        <v>42</v>
      </c>
      <c r="G26" t="s">
        <v>31</v>
      </c>
    </row>
    <row r="27" spans="1:8" x14ac:dyDescent="0.2">
      <c r="A27" t="s">
        <v>123</v>
      </c>
      <c r="B27" s="15">
        <v>2.4000000000000001E-4</v>
      </c>
      <c r="C27" s="17" t="s">
        <v>30</v>
      </c>
      <c r="E27" s="17" t="s">
        <v>9</v>
      </c>
      <c r="F27" s="17" t="s">
        <v>42</v>
      </c>
      <c r="G27" t="s">
        <v>31</v>
      </c>
    </row>
    <row r="28" spans="1:8" x14ac:dyDescent="0.2">
      <c r="A28" t="s">
        <v>124</v>
      </c>
      <c r="B28" s="15">
        <v>9.9999999999999995E-7</v>
      </c>
      <c r="C28" s="17" t="s">
        <v>30</v>
      </c>
      <c r="E28" s="17" t="s">
        <v>9</v>
      </c>
      <c r="F28" s="17" t="s">
        <v>42</v>
      </c>
      <c r="G28" t="s">
        <v>31</v>
      </c>
    </row>
    <row r="29" spans="1:8" x14ac:dyDescent="0.2">
      <c r="A29" t="s">
        <v>122</v>
      </c>
      <c r="B29" s="15">
        <v>5.2999999999999998E-4</v>
      </c>
      <c r="C29" s="17" t="s">
        <v>30</v>
      </c>
      <c r="E29" s="17" t="s">
        <v>9</v>
      </c>
      <c r="F29" s="7" t="s">
        <v>119</v>
      </c>
      <c r="G29" t="s">
        <v>31</v>
      </c>
    </row>
    <row r="30" spans="1:8" x14ac:dyDescent="0.2">
      <c r="A30" t="s">
        <v>38</v>
      </c>
      <c r="B30" s="4">
        <v>3.3362499999999998E-3</v>
      </c>
      <c r="C30" s="17" t="s">
        <v>30</v>
      </c>
      <c r="E30" s="17" t="s">
        <v>21</v>
      </c>
      <c r="F30" s="17" t="s">
        <v>39</v>
      </c>
      <c r="G30" t="s">
        <v>31</v>
      </c>
    </row>
    <row r="31" spans="1:8" x14ac:dyDescent="0.2">
      <c r="A31" t="s">
        <v>125</v>
      </c>
      <c r="B31" s="15">
        <v>2.0000000000000002E-5</v>
      </c>
      <c r="C31" s="17" t="s">
        <v>30</v>
      </c>
      <c r="E31" s="17" t="s">
        <v>9</v>
      </c>
      <c r="F31" s="17" t="s">
        <v>42</v>
      </c>
      <c r="G31" t="s">
        <v>31</v>
      </c>
    </row>
    <row r="32" spans="1:8" x14ac:dyDescent="0.2">
      <c r="A32" t="s">
        <v>126</v>
      </c>
      <c r="B32" s="15">
        <v>2.4000000000000001E-4</v>
      </c>
      <c r="C32" s="17" t="s">
        <v>30</v>
      </c>
      <c r="E32" s="17" t="s">
        <v>9</v>
      </c>
      <c r="F32" s="17" t="s">
        <v>42</v>
      </c>
      <c r="G32" t="s">
        <v>31</v>
      </c>
    </row>
    <row r="33" spans="1:8" x14ac:dyDescent="0.2">
      <c r="A33" t="s">
        <v>127</v>
      </c>
      <c r="B33" s="15">
        <v>1.38E-5</v>
      </c>
      <c r="C33" s="17" t="s">
        <v>30</v>
      </c>
      <c r="E33" s="17" t="s">
        <v>9</v>
      </c>
      <c r="F33" s="7" t="s">
        <v>119</v>
      </c>
      <c r="G33" t="s">
        <v>31</v>
      </c>
    </row>
    <row r="34" spans="1:8" x14ac:dyDescent="0.2">
      <c r="A34" t="s">
        <v>128</v>
      </c>
      <c r="B34" s="15">
        <v>1E-4</v>
      </c>
      <c r="C34" s="17" t="s">
        <v>30</v>
      </c>
      <c r="E34" s="17" t="s">
        <v>9</v>
      </c>
      <c r="F34" s="17" t="s">
        <v>42</v>
      </c>
      <c r="G34" t="s">
        <v>31</v>
      </c>
    </row>
    <row r="35" spans="1:8" x14ac:dyDescent="0.2">
      <c r="A35" t="s">
        <v>129</v>
      </c>
      <c r="B35" s="15">
        <v>1.0000000000000001E-5</v>
      </c>
      <c r="C35" s="17" t="s">
        <v>30</v>
      </c>
      <c r="E35" s="17" t="s">
        <v>9</v>
      </c>
      <c r="F35" s="17" t="s">
        <v>42</v>
      </c>
      <c r="G35" t="s">
        <v>31</v>
      </c>
    </row>
    <row r="36" spans="1:8" x14ac:dyDescent="0.2">
      <c r="A36" s="8" t="s">
        <v>130</v>
      </c>
      <c r="B36" s="15">
        <v>4.8999999999999998E-4</v>
      </c>
      <c r="C36" s="17" t="s">
        <v>30</v>
      </c>
      <c r="E36" s="17" t="s">
        <v>9</v>
      </c>
      <c r="F36" s="17" t="s">
        <v>42</v>
      </c>
      <c r="G36" t="s">
        <v>31</v>
      </c>
      <c r="H36" s="8"/>
    </row>
    <row r="37" spans="1:8" x14ac:dyDescent="0.2">
      <c r="A37" s="8" t="s">
        <v>131</v>
      </c>
      <c r="B37" s="13">
        <v>1.0000000000000001E-5</v>
      </c>
      <c r="C37" s="17" t="s">
        <v>30</v>
      </c>
      <c r="D37" s="8"/>
      <c r="E37" s="17" t="s">
        <v>9</v>
      </c>
      <c r="F37" s="17" t="s">
        <v>42</v>
      </c>
      <c r="G37" t="s">
        <v>31</v>
      </c>
      <c r="H37" s="8"/>
    </row>
    <row r="38" spans="1:8" x14ac:dyDescent="0.2">
      <c r="A38" s="2"/>
      <c r="B38" s="2"/>
      <c r="C38" s="3"/>
      <c r="D38" s="2"/>
      <c r="E38" s="2"/>
      <c r="F38" s="2"/>
      <c r="G38" s="2"/>
      <c r="H38" s="2"/>
    </row>
    <row r="39" spans="1:8" x14ac:dyDescent="0.2">
      <c r="A39" s="1" t="s">
        <v>0</v>
      </c>
      <c r="B39" s="1" t="s">
        <v>107</v>
      </c>
      <c r="C39" s="8"/>
      <c r="D39" s="8"/>
      <c r="E39" s="8"/>
      <c r="F39" s="8"/>
      <c r="G39" s="8"/>
      <c r="H39" s="8"/>
    </row>
    <row r="40" spans="1:8" x14ac:dyDescent="0.2">
      <c r="A40" s="8" t="s">
        <v>2</v>
      </c>
      <c r="B40" t="s">
        <v>147</v>
      </c>
      <c r="C40" s="8"/>
      <c r="D40" s="8"/>
      <c r="E40" s="8"/>
      <c r="F40" s="8"/>
      <c r="G40" s="8"/>
      <c r="H40" s="8"/>
    </row>
    <row r="41" spans="1:8" x14ac:dyDescent="0.2">
      <c r="A41" s="8" t="s">
        <v>3</v>
      </c>
      <c r="B41" t="s">
        <v>4</v>
      </c>
      <c r="C41" s="8"/>
      <c r="D41" s="8"/>
      <c r="E41" s="8"/>
      <c r="F41" s="8"/>
      <c r="G41" s="8"/>
      <c r="H41" s="8"/>
    </row>
    <row r="42" spans="1:8" x14ac:dyDescent="0.2">
      <c r="A42" s="8" t="s">
        <v>5</v>
      </c>
      <c r="B42" s="8">
        <v>1</v>
      </c>
      <c r="C42" s="8"/>
      <c r="D42" s="8"/>
      <c r="E42" s="8"/>
      <c r="F42" s="8"/>
      <c r="G42" s="8"/>
      <c r="H42" s="8"/>
    </row>
    <row r="43" spans="1:8" x14ac:dyDescent="0.2">
      <c r="A43" s="8" t="s">
        <v>6</v>
      </c>
      <c r="B43" t="s">
        <v>105</v>
      </c>
      <c r="C43" s="8"/>
      <c r="D43" s="8"/>
      <c r="E43" s="8"/>
      <c r="F43" s="8"/>
      <c r="G43" s="8"/>
      <c r="H43" s="8"/>
    </row>
    <row r="44" spans="1:8" x14ac:dyDescent="0.2">
      <c r="A44" s="8" t="s">
        <v>8</v>
      </c>
      <c r="B44" t="s">
        <v>9</v>
      </c>
      <c r="C44" s="8"/>
      <c r="D44" s="8"/>
      <c r="E44" s="8"/>
      <c r="F44" s="8"/>
      <c r="G44" s="8"/>
      <c r="H44" s="8"/>
    </row>
    <row r="45" spans="1:8" x14ac:dyDescent="0.2">
      <c r="A45" s="1" t="s">
        <v>10</v>
      </c>
      <c r="B45" s="8"/>
      <c r="C45" s="8"/>
      <c r="D45" s="8"/>
      <c r="E45" s="8"/>
      <c r="F45" s="8"/>
      <c r="G45" s="8"/>
      <c r="H45" s="8"/>
    </row>
    <row r="46" spans="1:8" x14ac:dyDescent="0.2">
      <c r="A46" s="8" t="s">
        <v>11</v>
      </c>
      <c r="B46" s="8" t="s">
        <v>12</v>
      </c>
      <c r="C46" s="8" t="s">
        <v>13</v>
      </c>
      <c r="D46" s="8" t="s">
        <v>3</v>
      </c>
      <c r="E46" s="8" t="s">
        <v>8</v>
      </c>
      <c r="F46" s="8" t="s">
        <v>14</v>
      </c>
      <c r="G46" s="8" t="s">
        <v>15</v>
      </c>
      <c r="H46" s="8" t="s">
        <v>6</v>
      </c>
    </row>
    <row r="47" spans="1:8" x14ac:dyDescent="0.2">
      <c r="A47" t="s">
        <v>107</v>
      </c>
      <c r="B47" s="9">
        <v>1</v>
      </c>
      <c r="C47" s="8" t="s">
        <v>16</v>
      </c>
      <c r="D47" t="s">
        <v>4</v>
      </c>
      <c r="E47" t="s">
        <v>9</v>
      </c>
      <c r="F47" s="8"/>
      <c r="G47" s="8" t="s">
        <v>17</v>
      </c>
      <c r="H47" t="s">
        <v>105</v>
      </c>
    </row>
    <row r="48" spans="1:8" x14ac:dyDescent="0.2">
      <c r="A48" t="s">
        <v>46</v>
      </c>
      <c r="B48" s="9">
        <v>0.65178999999999998</v>
      </c>
      <c r="C48" t="s">
        <v>18</v>
      </c>
      <c r="D48" t="s">
        <v>19</v>
      </c>
      <c r="E48" t="s">
        <v>21</v>
      </c>
      <c r="F48" s="8"/>
      <c r="G48" t="s">
        <v>20</v>
      </c>
      <c r="H48" t="s">
        <v>22</v>
      </c>
    </row>
    <row r="49" spans="1:8" x14ac:dyDescent="0.2">
      <c r="A49" s="17" t="s">
        <v>117</v>
      </c>
      <c r="B49" s="19">
        <v>6.93</v>
      </c>
      <c r="C49" s="8" t="s">
        <v>16</v>
      </c>
      <c r="D49" s="17" t="s">
        <v>4</v>
      </c>
      <c r="E49" s="5" t="s">
        <v>23</v>
      </c>
      <c r="F49" s="17"/>
      <c r="G49" t="s">
        <v>20</v>
      </c>
      <c r="H49" s="17" t="s">
        <v>118</v>
      </c>
    </row>
    <row r="50" spans="1:8" x14ac:dyDescent="0.2">
      <c r="A50" t="s">
        <v>53</v>
      </c>
      <c r="B50" s="4">
        <f>0.074</f>
        <v>7.3999999999999996E-2</v>
      </c>
      <c r="C50" t="s">
        <v>18</v>
      </c>
      <c r="D50" t="s">
        <v>4</v>
      </c>
      <c r="E50" t="s">
        <v>24</v>
      </c>
      <c r="G50" t="s">
        <v>20</v>
      </c>
      <c r="H50" t="s">
        <v>43</v>
      </c>
    </row>
    <row r="51" spans="1:8" x14ac:dyDescent="0.2">
      <c r="A51" t="s">
        <v>108</v>
      </c>
      <c r="B51" s="13">
        <v>3.0000000000000001E-5</v>
      </c>
      <c r="C51" t="s">
        <v>18</v>
      </c>
      <c r="D51" t="s">
        <v>4</v>
      </c>
      <c r="E51" t="s">
        <v>9</v>
      </c>
      <c r="F51" s="8"/>
      <c r="G51" t="s">
        <v>20</v>
      </c>
      <c r="H51" t="s">
        <v>109</v>
      </c>
    </row>
    <row r="52" spans="1:8" x14ac:dyDescent="0.2">
      <c r="A52" t="s">
        <v>110</v>
      </c>
      <c r="B52" s="13">
        <v>1.0000000000000001E-5</v>
      </c>
      <c r="C52" t="s">
        <v>18</v>
      </c>
      <c r="D52" t="s">
        <v>4</v>
      </c>
      <c r="E52" t="s">
        <v>9</v>
      </c>
      <c r="F52" s="8"/>
      <c r="G52" t="s">
        <v>20</v>
      </c>
      <c r="H52" t="s">
        <v>111</v>
      </c>
    </row>
    <row r="53" spans="1:8" x14ac:dyDescent="0.2">
      <c r="A53" t="s">
        <v>71</v>
      </c>
      <c r="B53" s="13">
        <v>9.0000000000000006E-5</v>
      </c>
      <c r="C53" t="s">
        <v>18</v>
      </c>
      <c r="D53" t="s">
        <v>4</v>
      </c>
      <c r="E53" t="s">
        <v>9</v>
      </c>
      <c r="F53" s="8"/>
      <c r="G53" t="s">
        <v>20</v>
      </c>
      <c r="H53" t="s">
        <v>72</v>
      </c>
    </row>
    <row r="54" spans="1:8" x14ac:dyDescent="0.2">
      <c r="A54" t="s">
        <v>112</v>
      </c>
      <c r="B54" s="13">
        <v>2.0000000000000002E-5</v>
      </c>
      <c r="C54" t="s">
        <v>18</v>
      </c>
      <c r="D54" t="s">
        <v>4</v>
      </c>
      <c r="E54" t="s">
        <v>9</v>
      </c>
      <c r="F54" s="8"/>
      <c r="G54" t="s">
        <v>20</v>
      </c>
      <c r="H54" t="s">
        <v>25</v>
      </c>
    </row>
    <row r="55" spans="1:8" x14ac:dyDescent="0.2">
      <c r="A55" t="s">
        <v>47</v>
      </c>
      <c r="B55" s="4">
        <f>0.2+0.00071996+0.64928</f>
        <v>0.84999996</v>
      </c>
      <c r="C55" t="s">
        <v>18</v>
      </c>
      <c r="D55" t="s">
        <v>19</v>
      </c>
      <c r="E55" t="s">
        <v>9</v>
      </c>
      <c r="G55" t="s">
        <v>20</v>
      </c>
      <c r="H55" t="s">
        <v>48</v>
      </c>
    </row>
    <row r="56" spans="1:8" x14ac:dyDescent="0.2">
      <c r="A56" t="s">
        <v>113</v>
      </c>
      <c r="B56" s="13">
        <f>0.00020525+0.000034749</f>
        <v>2.3999900000000002E-4</v>
      </c>
      <c r="C56" t="s">
        <v>18</v>
      </c>
      <c r="D56" t="s">
        <v>19</v>
      </c>
      <c r="E56" t="s">
        <v>9</v>
      </c>
      <c r="F56" s="8"/>
      <c r="G56" t="s">
        <v>20</v>
      </c>
      <c r="H56" t="s">
        <v>116</v>
      </c>
    </row>
    <row r="57" spans="1:8" x14ac:dyDescent="0.2">
      <c r="A57" t="s">
        <v>114</v>
      </c>
      <c r="B57" s="13">
        <v>3.7199999999999998E-11</v>
      </c>
      <c r="C57" t="s">
        <v>18</v>
      </c>
      <c r="D57" t="s">
        <v>4</v>
      </c>
      <c r="E57" t="s">
        <v>8</v>
      </c>
      <c r="G57" t="s">
        <v>20</v>
      </c>
      <c r="H57" t="s">
        <v>115</v>
      </c>
    </row>
    <row r="58" spans="1:8" x14ac:dyDescent="0.2">
      <c r="A58" t="s">
        <v>86</v>
      </c>
      <c r="B58" s="13">
        <v>9.7999999999999997E-4</v>
      </c>
      <c r="C58" s="17" t="s">
        <v>30</v>
      </c>
      <c r="E58" s="17" t="s">
        <v>9</v>
      </c>
      <c r="F58" s="7" t="s">
        <v>119</v>
      </c>
      <c r="G58" t="s">
        <v>31</v>
      </c>
    </row>
    <row r="59" spans="1:8" x14ac:dyDescent="0.2">
      <c r="A59" t="s">
        <v>32</v>
      </c>
      <c r="B59" s="13">
        <v>8.1600000000000006E-3</v>
      </c>
      <c r="C59" s="17" t="s">
        <v>30</v>
      </c>
      <c r="E59" s="5" t="s">
        <v>21</v>
      </c>
      <c r="F59" s="5" t="s">
        <v>33</v>
      </c>
      <c r="G59" t="s">
        <v>31</v>
      </c>
    </row>
    <row r="60" spans="1:8" x14ac:dyDescent="0.2">
      <c r="A60" t="s">
        <v>120</v>
      </c>
      <c r="B60" s="13">
        <v>1.9999999999999999E-6</v>
      </c>
      <c r="C60" s="17" t="s">
        <v>30</v>
      </c>
      <c r="E60" s="5" t="s">
        <v>9</v>
      </c>
      <c r="F60" s="5" t="s">
        <v>42</v>
      </c>
      <c r="G60" t="s">
        <v>31</v>
      </c>
    </row>
    <row r="61" spans="1:8" x14ac:dyDescent="0.2">
      <c r="A61" t="s">
        <v>37</v>
      </c>
      <c r="B61" s="13">
        <v>1.4999999999999999E-4</v>
      </c>
      <c r="C61" s="17" t="s">
        <v>30</v>
      </c>
      <c r="E61" s="5" t="s">
        <v>9</v>
      </c>
      <c r="F61" s="7" t="s">
        <v>119</v>
      </c>
      <c r="G61" t="s">
        <v>31</v>
      </c>
    </row>
    <row r="62" spans="1:8" x14ac:dyDescent="0.2">
      <c r="A62" t="s">
        <v>38</v>
      </c>
      <c r="B62" s="13">
        <v>5.67375E-3</v>
      </c>
      <c r="C62" s="17" t="s">
        <v>30</v>
      </c>
      <c r="E62" s="5" t="s">
        <v>21</v>
      </c>
      <c r="F62" s="5" t="s">
        <v>42</v>
      </c>
      <c r="G62" t="s">
        <v>31</v>
      </c>
    </row>
    <row r="63" spans="1:8" x14ac:dyDescent="0.2">
      <c r="A63" t="s">
        <v>121</v>
      </c>
      <c r="B63" s="13">
        <v>1.8000000000000001E-4</v>
      </c>
      <c r="C63" s="17" t="s">
        <v>30</v>
      </c>
      <c r="E63" s="5" t="s">
        <v>9</v>
      </c>
      <c r="F63" s="5" t="s">
        <v>42</v>
      </c>
      <c r="G63" t="s">
        <v>31</v>
      </c>
    </row>
    <row r="64" spans="1:8" x14ac:dyDescent="0.2">
      <c r="A64" t="s">
        <v>122</v>
      </c>
      <c r="B64" s="15">
        <v>3.0000000000000001E-5</v>
      </c>
      <c r="C64" s="17" t="s">
        <v>30</v>
      </c>
      <c r="E64" s="5" t="s">
        <v>9</v>
      </c>
      <c r="F64" s="5" t="s">
        <v>42</v>
      </c>
      <c r="G64" t="s">
        <v>31</v>
      </c>
    </row>
    <row r="65" spans="1:8" x14ac:dyDescent="0.2">
      <c r="A65" t="s">
        <v>123</v>
      </c>
      <c r="B65" s="15">
        <v>2.4000000000000001E-4</v>
      </c>
      <c r="C65" s="17" t="s">
        <v>30</v>
      </c>
      <c r="E65" s="17" t="s">
        <v>9</v>
      </c>
      <c r="F65" s="17" t="s">
        <v>42</v>
      </c>
      <c r="G65" t="s">
        <v>31</v>
      </c>
    </row>
    <row r="66" spans="1:8" x14ac:dyDescent="0.2">
      <c r="A66" t="s">
        <v>124</v>
      </c>
      <c r="B66" s="15">
        <v>9.9999999999999995E-7</v>
      </c>
      <c r="C66" s="17" t="s">
        <v>30</v>
      </c>
      <c r="E66" s="17" t="s">
        <v>9</v>
      </c>
      <c r="F66" s="17" t="s">
        <v>42</v>
      </c>
      <c r="G66" t="s">
        <v>31</v>
      </c>
    </row>
    <row r="67" spans="1:8" x14ac:dyDescent="0.2">
      <c r="A67" t="s">
        <v>122</v>
      </c>
      <c r="B67" s="15">
        <v>5.2999999999999998E-4</v>
      </c>
      <c r="C67" s="17" t="s">
        <v>30</v>
      </c>
      <c r="E67" s="17" t="s">
        <v>9</v>
      </c>
      <c r="F67" s="7" t="s">
        <v>119</v>
      </c>
      <c r="G67" t="s">
        <v>31</v>
      </c>
    </row>
    <row r="68" spans="1:8" x14ac:dyDescent="0.2">
      <c r="A68" t="s">
        <v>38</v>
      </c>
      <c r="B68" s="4">
        <v>3.3362499999999998E-3</v>
      </c>
      <c r="C68" s="17" t="s">
        <v>30</v>
      </c>
      <c r="E68" s="17" t="s">
        <v>21</v>
      </c>
      <c r="F68" s="17" t="s">
        <v>39</v>
      </c>
      <c r="G68" t="s">
        <v>31</v>
      </c>
    </row>
    <row r="69" spans="1:8" x14ac:dyDescent="0.2">
      <c r="A69" t="s">
        <v>125</v>
      </c>
      <c r="B69" s="15">
        <v>2.0000000000000002E-5</v>
      </c>
      <c r="C69" s="17" t="s">
        <v>30</v>
      </c>
      <c r="E69" s="17" t="s">
        <v>9</v>
      </c>
      <c r="F69" s="17" t="s">
        <v>42</v>
      </c>
      <c r="G69" t="s">
        <v>31</v>
      </c>
    </row>
    <row r="70" spans="1:8" x14ac:dyDescent="0.2">
      <c r="A70" t="s">
        <v>126</v>
      </c>
      <c r="B70" s="15">
        <v>2.4000000000000001E-4</v>
      </c>
      <c r="C70" s="17" t="s">
        <v>30</v>
      </c>
      <c r="E70" s="17" t="s">
        <v>9</v>
      </c>
      <c r="F70" s="17" t="s">
        <v>42</v>
      </c>
      <c r="G70" t="s">
        <v>31</v>
      </c>
    </row>
    <row r="71" spans="1:8" x14ac:dyDescent="0.2">
      <c r="A71" t="s">
        <v>127</v>
      </c>
      <c r="B71" s="15">
        <v>1.38E-5</v>
      </c>
      <c r="C71" s="17" t="s">
        <v>30</v>
      </c>
      <c r="E71" s="17" t="s">
        <v>9</v>
      </c>
      <c r="F71" s="7" t="s">
        <v>119</v>
      </c>
      <c r="G71" t="s">
        <v>31</v>
      </c>
    </row>
    <row r="72" spans="1:8" x14ac:dyDescent="0.2">
      <c r="A72" t="s">
        <v>128</v>
      </c>
      <c r="B72" s="15">
        <v>1E-4</v>
      </c>
      <c r="C72" s="17" t="s">
        <v>30</v>
      </c>
      <c r="E72" s="17" t="s">
        <v>9</v>
      </c>
      <c r="F72" s="17" t="s">
        <v>42</v>
      </c>
      <c r="G72" t="s">
        <v>31</v>
      </c>
    </row>
    <row r="73" spans="1:8" x14ac:dyDescent="0.2">
      <c r="A73" t="s">
        <v>129</v>
      </c>
      <c r="B73" s="15">
        <v>1.0000000000000001E-5</v>
      </c>
      <c r="C73" s="17" t="s">
        <v>30</v>
      </c>
      <c r="E73" s="17" t="s">
        <v>9</v>
      </c>
      <c r="F73" s="17" t="s">
        <v>42</v>
      </c>
      <c r="G73" t="s">
        <v>31</v>
      </c>
    </row>
    <row r="74" spans="1:8" x14ac:dyDescent="0.2">
      <c r="A74" s="8" t="s">
        <v>130</v>
      </c>
      <c r="B74" s="15">
        <v>4.8999999999999998E-4</v>
      </c>
      <c r="C74" s="17" t="s">
        <v>30</v>
      </c>
      <c r="E74" s="17" t="s">
        <v>9</v>
      </c>
      <c r="F74" s="17" t="s">
        <v>42</v>
      </c>
      <c r="G74" t="s">
        <v>31</v>
      </c>
      <c r="H74" s="8"/>
    </row>
    <row r="75" spans="1:8" x14ac:dyDescent="0.2">
      <c r="A75" s="8" t="s">
        <v>131</v>
      </c>
      <c r="B75" s="13">
        <v>1.0000000000000001E-5</v>
      </c>
      <c r="C75" s="17" t="s">
        <v>30</v>
      </c>
      <c r="D75" s="8"/>
      <c r="E75" s="17" t="s">
        <v>9</v>
      </c>
      <c r="F75" s="17" t="s">
        <v>42</v>
      </c>
      <c r="G75" t="s">
        <v>31</v>
      </c>
      <c r="H75" s="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BEEB-B02A-47FC-B25F-8D09BAB943A0}">
  <dimension ref="A1:H18"/>
  <sheetViews>
    <sheetView tabSelected="1" workbookViewId="0">
      <selection activeCell="D18" sqref="D18"/>
    </sheetView>
  </sheetViews>
  <sheetFormatPr baseColWidth="10" defaultColWidth="8.6640625" defaultRowHeight="15" x14ac:dyDescent="0.2"/>
  <cols>
    <col min="1" max="1" width="38" bestFit="1" customWidth="1"/>
    <col min="3" max="3" width="39.33203125" bestFit="1" customWidth="1"/>
    <col min="4" max="4" width="8.1640625" bestFit="1" customWidth="1"/>
    <col min="5" max="5" width="11.5" bestFit="1" customWidth="1"/>
    <col min="6" max="6" width="20.6640625" bestFit="1" customWidth="1"/>
    <col min="7" max="7" width="13.5" bestFit="1" customWidth="1"/>
    <col min="8" max="8" width="25.6640625" bestFit="1" customWidth="1"/>
  </cols>
  <sheetData>
    <row r="1" spans="1:8" x14ac:dyDescent="0.2">
      <c r="A1" s="1" t="s">
        <v>0</v>
      </c>
      <c r="B1" s="1" t="s">
        <v>153</v>
      </c>
    </row>
    <row r="2" spans="1:8" x14ac:dyDescent="0.2">
      <c r="A2" t="s">
        <v>2</v>
      </c>
      <c r="B2" t="s">
        <v>148</v>
      </c>
    </row>
    <row r="3" spans="1:8" x14ac:dyDescent="0.2">
      <c r="A3" t="s">
        <v>3</v>
      </c>
      <c r="B3" t="s">
        <v>4</v>
      </c>
    </row>
    <row r="4" spans="1:8" x14ac:dyDescent="0.2">
      <c r="A4" t="s">
        <v>5</v>
      </c>
      <c r="B4">
        <v>1</v>
      </c>
    </row>
    <row r="5" spans="1:8" x14ac:dyDescent="0.2">
      <c r="A5" t="s">
        <v>6</v>
      </c>
      <c r="B5" t="s">
        <v>149</v>
      </c>
    </row>
    <row r="6" spans="1:8" x14ac:dyDescent="0.2">
      <c r="A6" t="s">
        <v>8</v>
      </c>
      <c r="B6" t="s">
        <v>9</v>
      </c>
    </row>
    <row r="7" spans="1:8" x14ac:dyDescent="0.2">
      <c r="A7" s="1" t="s">
        <v>10</v>
      </c>
    </row>
    <row r="8" spans="1:8" x14ac:dyDescent="0.2">
      <c r="A8" t="s">
        <v>11</v>
      </c>
      <c r="B8" t="s">
        <v>12</v>
      </c>
      <c r="C8" t="s">
        <v>13</v>
      </c>
      <c r="D8" t="s">
        <v>3</v>
      </c>
      <c r="E8" t="s">
        <v>8</v>
      </c>
      <c r="F8" t="s">
        <v>14</v>
      </c>
      <c r="G8" t="s">
        <v>15</v>
      </c>
      <c r="H8" t="s">
        <v>6</v>
      </c>
    </row>
    <row r="9" spans="1:8" x14ac:dyDescent="0.2">
      <c r="A9" t="s">
        <v>153</v>
      </c>
      <c r="B9" s="4">
        <v>1</v>
      </c>
      <c r="C9" s="16" t="s">
        <v>16</v>
      </c>
      <c r="D9" t="s">
        <v>4</v>
      </c>
      <c r="E9" t="s">
        <v>9</v>
      </c>
      <c r="G9" t="s">
        <v>17</v>
      </c>
      <c r="H9" t="s">
        <v>149</v>
      </c>
    </row>
    <row r="10" spans="1:8" x14ac:dyDescent="0.2">
      <c r="A10" t="s">
        <v>104</v>
      </c>
      <c r="B10" s="4">
        <v>2.5190000000000001</v>
      </c>
      <c r="C10" s="16" t="s">
        <v>16</v>
      </c>
      <c r="D10" t="s">
        <v>4</v>
      </c>
      <c r="E10" t="s">
        <v>9</v>
      </c>
      <c r="G10" t="s">
        <v>20</v>
      </c>
      <c r="H10" t="s">
        <v>105</v>
      </c>
    </row>
    <row r="11" spans="1:8" x14ac:dyDescent="0.2">
      <c r="A11" t="s">
        <v>53</v>
      </c>
      <c r="B11" s="4">
        <v>0.14300000000000002</v>
      </c>
      <c r="C11" s="20" t="s">
        <v>18</v>
      </c>
      <c r="D11" t="s">
        <v>4</v>
      </c>
      <c r="E11" t="s">
        <v>24</v>
      </c>
      <c r="F11" s="17"/>
      <c r="G11" t="s">
        <v>20</v>
      </c>
      <c r="H11" s="17" t="s">
        <v>43</v>
      </c>
    </row>
    <row r="12" spans="1:8" x14ac:dyDescent="0.2">
      <c r="A12" t="s">
        <v>32</v>
      </c>
      <c r="B12" s="4">
        <f>0.2255/1000</f>
        <v>2.2550000000000001E-4</v>
      </c>
      <c r="C12" t="s">
        <v>30</v>
      </c>
      <c r="D12" s="8"/>
      <c r="E12" t="s">
        <v>21</v>
      </c>
      <c r="F12" t="s">
        <v>33</v>
      </c>
      <c r="G12" t="s">
        <v>31</v>
      </c>
    </row>
    <row r="13" spans="1:8" x14ac:dyDescent="0.2">
      <c r="A13" t="s">
        <v>150</v>
      </c>
      <c r="B13" s="4">
        <v>2.2000000000000002E-2</v>
      </c>
      <c r="C13" s="20" t="s">
        <v>18</v>
      </c>
      <c r="D13" t="s">
        <v>19</v>
      </c>
      <c r="E13" t="s">
        <v>9</v>
      </c>
      <c r="G13" t="s">
        <v>20</v>
      </c>
      <c r="H13" t="s">
        <v>151</v>
      </c>
    </row>
    <row r="14" spans="1:8" x14ac:dyDescent="0.2">
      <c r="A14" t="s">
        <v>83</v>
      </c>
      <c r="B14" s="15">
        <v>2.0789999999999999E-5</v>
      </c>
      <c r="C14" s="20" t="s">
        <v>18</v>
      </c>
      <c r="D14" s="8" t="s">
        <v>4</v>
      </c>
      <c r="E14" t="s">
        <v>9</v>
      </c>
      <c r="G14" t="s">
        <v>20</v>
      </c>
      <c r="H14" t="s">
        <v>84</v>
      </c>
    </row>
    <row r="15" spans="1:8" x14ac:dyDescent="0.2">
      <c r="A15" t="s">
        <v>29</v>
      </c>
      <c r="B15" s="4">
        <v>0.12100000000000001</v>
      </c>
      <c r="C15" s="16" t="s">
        <v>30</v>
      </c>
      <c r="E15" t="s">
        <v>9</v>
      </c>
      <c r="F15" t="s">
        <v>39</v>
      </c>
      <c r="G15" t="s">
        <v>31</v>
      </c>
    </row>
    <row r="16" spans="1:8" x14ac:dyDescent="0.2">
      <c r="A16" t="s">
        <v>38</v>
      </c>
      <c r="B16" s="4">
        <v>1.6500000000000001E-2</v>
      </c>
      <c r="C16" s="16" t="s">
        <v>30</v>
      </c>
      <c r="E16" t="s">
        <v>9</v>
      </c>
      <c r="F16" t="s">
        <v>39</v>
      </c>
      <c r="G16" t="s">
        <v>31</v>
      </c>
    </row>
    <row r="17" spans="1:8" x14ac:dyDescent="0.2">
      <c r="A17" t="s">
        <v>152</v>
      </c>
      <c r="B17" s="4">
        <v>-1.474E-3</v>
      </c>
      <c r="C17" s="20" t="s">
        <v>18</v>
      </c>
      <c r="D17" t="s">
        <v>19</v>
      </c>
      <c r="E17" t="s">
        <v>21</v>
      </c>
      <c r="G17" t="s">
        <v>20</v>
      </c>
      <c r="H17" t="s">
        <v>92</v>
      </c>
    </row>
    <row r="18" spans="1:8" x14ac:dyDescent="0.2">
      <c r="A18" t="s">
        <v>85</v>
      </c>
      <c r="B18" s="15">
        <v>2.0789999999999999E-5</v>
      </c>
      <c r="C18" s="16" t="s">
        <v>30</v>
      </c>
      <c r="E18" t="s">
        <v>9</v>
      </c>
      <c r="F18" t="s">
        <v>39</v>
      </c>
      <c r="G1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Utilities</vt:lpstr>
      <vt:lpstr>Ammonia</vt:lpstr>
      <vt:lpstr>Methanol</vt:lpstr>
      <vt:lpstr>Ethylene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2023-07-25T16:38:32Z</dcterms:created>
  <dcterms:modified xsi:type="dcterms:W3CDTF">2023-12-20T11:13:28Z</dcterms:modified>
</cp:coreProperties>
</file>