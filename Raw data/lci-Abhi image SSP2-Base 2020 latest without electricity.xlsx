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A15AC727-938F-BE46-9E40-CB4D8E2191C7}" xr6:coauthVersionLast="47" xr6:coauthVersionMax="47" xr10:uidLastSave="{00000000-0000-0000-0000-000000000000}"/>
  <bookViews>
    <workbookView xWindow="0" yWindow="500" windowWidth="28800" windowHeight="17500" activeTab="1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56" i="7" l="1"/>
  <c r="B55" i="7"/>
  <c r="B18" i="7"/>
  <c r="B17" i="7"/>
  <c r="B67" i="5" l="1"/>
  <c r="B66" i="5"/>
  <c r="B255" i="6"/>
  <c r="B212" i="6"/>
  <c r="B211" i="6"/>
  <c r="B199" i="6"/>
  <c r="B198" i="6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<sst xmlns="http://schemas.openxmlformats.org/spreadsheetml/2006/main" count="1908" uniqueCount="247">
  <si>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</si>
  <si>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</si>
  <si>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</si>
  <si>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</si>
  <si>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</si>
  <si>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</si>
  <si>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</si>
  <si>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</si>
  <si>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</si>
  <si>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</si>
  <si>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</si>
  <si>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</si>
  <si>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</si>
  <si>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</si>
  <si>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</si>
  <si>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</si>
  <si>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</si>
  <si>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</si>
  <si>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</si>
  <si>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</si>
  <si>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</si>
  <si>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</si>
  <si>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</si>
  <si>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</si>
  <si>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</si>
  <si>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</si>
  <si>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</si>
  <si>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</si>
  <si>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</si>
  <si>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</si>
  <si>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</si>
  <si>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</si>
  <si>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</si>
  <si>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</si>
  <si>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</si>
  <si>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</si>
  <si>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</si>
  <si>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</si>
  <si>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</si>
  <si>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</si>
  <si>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</si>
  <si>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</si>
  <si>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</si>
  <si>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</si>
  <si>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</si>
  <si>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</si>
  <si>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</si>
  <si>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</si>
  <si>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</si>
  <si>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</si>
  <si>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</si>
  <si>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</si>
  <si>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</si>
  <si>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</si>
  <si>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</si>
  <si>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</si>
  <si>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</si>
  <si>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</si>
  <si>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</si>
  <si>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</si>
  <si>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</si>
  <si>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</si>
  <si>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</si>
  <si>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</si>
  <si>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</si>
  <si>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</si>
  <si>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</si>
  <si>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</si>
  <si>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</si>
  <si>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</si>
  <si>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</si>
  <si>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</si>
  <si>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</si>
  <si>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</si>
  <si>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</si>
  <si>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</si>
  <si>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</si>
  <si>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</si>
  <si>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</si>
  <si>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</si>
  <si>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</si>
  <si>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</si>
  <si>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</si>
  <si>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</si>
  <si>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</si>
  <si>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</si>
  <si>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</si>
  <si>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</si>
  <si>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</si>
  <si>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</si>
  <si>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</si>
  <si>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</si>
  <si>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</si>
  <si>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</si>
  <si>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</si>
  <si>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</si>
  <si>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</si>
  <si>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</si>
  <si>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</si>
  <si>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</si>
  <si>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</si>
  <si>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</si>
  <si>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</si>
  <si>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</si>
  <si>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</si>
  <si>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</si>
  <si>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</si>
  <si>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</si>
  <si>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</si>
  <si>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</si>
  <si>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</si>
  <si>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</si>
  <si>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</si>
  <si>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</si>
  <si>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</si>
  <si>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</si>
  <si>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</si>
  <si>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</si>
  <si>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</si>
  <si>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</si>
  <si>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</si>
  <si>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</si>
  <si>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</si>
  <si>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</si>
  <si>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</si>
  <si>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</si>
  <si>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</si>
  <si>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</si>
  <si>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</si>
  <si>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</si>
  <si>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</si>
  <si>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</si>
  <si>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</si>
  <si>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</si>
  <si>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</si>
  <si>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</si>
  <si>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</si>
  <si>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</si>
  <si>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</si>
  <si>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</si>
  <si>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</si>
  <si>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</si>
  <si>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</si>
  <si>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</si>
  <si>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</si>
  <si>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</si>
  <si>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</si>
  <si>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</si>
  <si>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</si>
  <si>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</si>
  <si>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</si>
  <si>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</si>
  <si>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</si>
  <si>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</si>
  <si>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</si>
  <si>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</si>
  <si>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</si>
  <si>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</si>
  <si>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</si>
  <si>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</si>
  <si>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</si>
  <si>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</si>
  <si>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</si>
  <si>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</si>
  <si>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</si>
  <si>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</si>
  <si>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</si>
  <si>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</si>
  <si>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</si>
  <si>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</si>
  <si>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</si>
  <si>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</si>
  <si>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</si>
  <si>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</si>
  <si>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</si>
  <si>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</si>
  <si>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</si>
  <si>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</si>
  <si>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</si>
  <si>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</si>
  <si>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</si>
  <si>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</si>
  <si>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</si>
  <si>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</si>
  <si>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</si>
  <si>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</si>
  <si>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</si>
  <si>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</si>
  <si>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</si>
  <si>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</si>
  <si>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</si>
  <si>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</si>
  <si>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</si>
  <si>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</si>
  <si>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</si>
  <si>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</si>
  <si>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</si>
  <si>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</si>
  <si>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</si>
  <si>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This is the market activity for heating using natural gas with CCS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</si>
  <si>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</si>
  <si>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</si>
  <si>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</si>
  <si>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</si>
  <si>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</si>
  <si>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carbon dioxide storage/natural gas, post, 200km pipeline, storage 1000m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</si>
  <si>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</si>
  <si>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</si>
  <si>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</si>
  <si>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</si>
  <si>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</si>
  <si>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</si>
  <si>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</si>
  <si>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</si>
  <si>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</si>
  <si>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</si>
  <si>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</si>
  <si>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</si>
  <si>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</si>
  <si>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</si>
  <si>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</si>
  <si>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</si>
  <si>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</si>
  <si>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</si>
  <si>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heat pump production, heat and power co-generation unit, 160kW electrical</t>
  </si>
  <si>
    <t>heat pump, heat and power co-generation unit, 160kW electrical</t>
  </si>
  <si>
    <t>market for absorption chiller, 100kW</t>
  </si>
  <si>
    <t>absorption chiller, 100kW</t>
  </si>
  <si>
    <t>market for charcoal</t>
  </si>
  <si>
    <t>charcoal</t>
  </si>
  <si>
    <t>market for gas turbine, 10MW electrical</t>
  </si>
  <si>
    <t>gas turbine, 10MW electrical</t>
  </si>
  <si>
    <t>market for liquid storage tank, chemicals, organics</t>
  </si>
  <si>
    <t>liquid storage tank, chemicals, organics</t>
  </si>
  <si>
    <t>market for pump, 40W</t>
  </si>
  <si>
    <t>pump, 40W</t>
  </si>
  <si>
    <t>CH</t>
  </si>
  <si>
    <t>This is the activity for the carbon dioxide storage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</si>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</sst>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quotePrefix="1" applyFont="1" applyAlignment="1">
      <alignment horizontal="left"/>
    </xf>
    <xf numFmtId="164" fontId="3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center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310"/>
  <sheetViews>
    <sheetView zoomScale="175" zoomScaleNormal="175" workbookViewId="0">
      <selection activeCell="D301" sqref="D301"/>
    </sheetView>
  </sheetViews>
  <sheetFormatPr baseColWidth="10" defaultColWidth="8.6640625" defaultRowHeight="15" x14ac:dyDescent="0.2"/>
  <cols>
    <col min="1" max="1" width="70.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8" customFormat="1" x14ac:dyDescent="0.2">
      <c r="A1" s="10" t="s">
        <v>44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50</v>
      </c>
      <c r="C3" s="8"/>
      <c r="D3" s="8"/>
      <c r="E3" s="8"/>
      <c r="F3" s="8"/>
      <c r="G3" s="8"/>
      <c r="H3" s="8"/>
    </row>
    <row r="4" spans="1:8" x14ac:dyDescent="0.2">
      <c r="A4" s="8" t="s">
        <v>2</v>
      </c>
      <c r="B4" t="s">
        <v>51</v>
      </c>
      <c r="C4" s="8"/>
      <c r="D4" s="8"/>
      <c r="E4" s="8"/>
      <c r="F4" s="8"/>
      <c r="G4" s="8"/>
      <c r="H4" s="8"/>
    </row>
    <row r="5" spans="1:8" x14ac:dyDescent="0.2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">
      <c r="A7" s="8" t="s">
        <v>6</v>
      </c>
      <c r="B7" t="s">
        <v>50</v>
      </c>
      <c r="C7" s="8"/>
      <c r="D7" s="8"/>
      <c r="E7" s="8"/>
      <c r="F7" s="8"/>
      <c r="G7" s="8"/>
      <c r="H7" s="8"/>
    </row>
    <row r="8" spans="1:8" x14ac:dyDescent="0.2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">
      <c r="A11" t="s">
        <v>50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50</v>
      </c>
    </row>
    <row r="12" spans="1:8" x14ac:dyDescent="0.2">
      <c r="A12" t="s">
        <v>52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53</v>
      </c>
    </row>
    <row r="13" spans="1:8" x14ac:dyDescent="0.2">
      <c r="A13" t="s">
        <v>54</v>
      </c>
      <c r="B13" s="4">
        <v>1.94</v>
      </c>
      <c r="C13" t="s">
        <v>18</v>
      </c>
      <c r="D13" t="s">
        <v>4</v>
      </c>
      <c r="E13" t="s">
        <v>24</v>
      </c>
      <c r="G13" t="s">
        <v>20</v>
      </c>
      <c r="H13" t="s">
        <v>43</v>
      </c>
    </row>
    <row r="14" spans="1:8" s="8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55</v>
      </c>
      <c r="C15" s="8"/>
      <c r="D15" s="8"/>
      <c r="E15" s="8"/>
      <c r="F15" s="8"/>
      <c r="G15" s="8"/>
      <c r="H15" s="8"/>
    </row>
    <row r="16" spans="1:8" x14ac:dyDescent="0.2">
      <c r="A16" s="8" t="s">
        <v>2</v>
      </c>
      <c r="B16" t="s">
        <v>56</v>
      </c>
      <c r="C16" s="8"/>
      <c r="D16" s="8"/>
      <c r="E16" s="8"/>
      <c r="F16" s="8"/>
      <c r="G16" s="8"/>
      <c r="H16" s="8"/>
    </row>
    <row r="17" spans="1:8" x14ac:dyDescent="0.2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">
      <c r="A19" s="8" t="s">
        <v>6</v>
      </c>
      <c r="B19" t="s">
        <v>55</v>
      </c>
      <c r="C19" s="8"/>
      <c r="D19" s="8"/>
      <c r="E19" s="8"/>
      <c r="F19" s="8"/>
      <c r="G19" s="8"/>
      <c r="H19" s="8"/>
    </row>
    <row r="20" spans="1:8" x14ac:dyDescent="0.2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">
      <c r="A23" t="s">
        <v>55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55</v>
      </c>
    </row>
    <row r="24" spans="1:8" x14ac:dyDescent="0.2">
      <c r="A24" t="s">
        <v>57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58</v>
      </c>
    </row>
    <row r="25" spans="1:8" x14ac:dyDescent="0.2">
      <c r="A25" t="s">
        <v>59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60</v>
      </c>
    </row>
    <row r="26" spans="1:8" x14ac:dyDescent="0.2">
      <c r="A26" t="s">
        <v>61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118</v>
      </c>
    </row>
    <row r="27" spans="1:8" x14ac:dyDescent="0.2">
      <c r="A27" t="s">
        <v>54</v>
      </c>
      <c r="B27" s="4">
        <v>0.38800000000000001</v>
      </c>
      <c r="C27" t="s">
        <v>18</v>
      </c>
      <c r="D27" t="s">
        <v>4</v>
      </c>
      <c r="E27" t="s">
        <v>24</v>
      </c>
      <c r="G27" t="s">
        <v>20</v>
      </c>
      <c r="H27" t="s">
        <v>43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62</v>
      </c>
      <c r="C29" s="8"/>
      <c r="D29" s="8"/>
      <c r="E29" s="8"/>
      <c r="F29" s="8"/>
      <c r="G29" s="8"/>
      <c r="H29" s="8"/>
    </row>
    <row r="30" spans="1:8" x14ac:dyDescent="0.2">
      <c r="A30" s="8" t="s">
        <v>2</v>
      </c>
      <c r="B30" t="s">
        <v>63</v>
      </c>
      <c r="C30" s="8"/>
      <c r="D30" s="8"/>
      <c r="E30" s="8"/>
      <c r="F30" s="8"/>
      <c r="G30" s="8"/>
      <c r="H30" s="8"/>
    </row>
    <row r="31" spans="1:8" x14ac:dyDescent="0.2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">
      <c r="A33" s="8" t="s">
        <v>6</v>
      </c>
      <c r="B33" t="s">
        <v>62</v>
      </c>
      <c r="C33" s="8"/>
      <c r="D33" s="8"/>
      <c r="E33" s="8"/>
      <c r="F33" s="8"/>
      <c r="G33" s="8"/>
      <c r="H33" s="8"/>
    </row>
    <row r="34" spans="1:8" x14ac:dyDescent="0.2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">
      <c r="A37" t="s">
        <v>62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62</v>
      </c>
    </row>
    <row r="38" spans="1:8" x14ac:dyDescent="0.2">
      <c r="A38" t="s">
        <v>64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65</v>
      </c>
    </row>
    <row r="39" spans="1:8" x14ac:dyDescent="0.2">
      <c r="A39" t="s">
        <v>66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67</v>
      </c>
    </row>
    <row r="40" spans="1:8" x14ac:dyDescent="0.2">
      <c r="A40" t="s">
        <v>68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69</v>
      </c>
    </row>
    <row r="41" spans="1:8" x14ac:dyDescent="0.2">
      <c r="A41" t="s">
        <v>54</v>
      </c>
      <c r="B41" s="4">
        <v>1.94</v>
      </c>
      <c r="C41" t="s">
        <v>18</v>
      </c>
      <c r="D41" t="s">
        <v>4</v>
      </c>
      <c r="E41" t="s">
        <v>24</v>
      </c>
      <c r="G41" t="s">
        <v>20</v>
      </c>
      <c r="H41" t="s">
        <v>43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70</v>
      </c>
      <c r="C43" s="8"/>
      <c r="D43" s="8"/>
      <c r="E43" s="8"/>
      <c r="F43" s="8"/>
      <c r="G43" s="8"/>
      <c r="H43" s="8"/>
    </row>
    <row r="44" spans="1:8" x14ac:dyDescent="0.2">
      <c r="A44" s="8" t="s">
        <v>2</v>
      </c>
      <c r="B44" t="s">
        <v>71</v>
      </c>
      <c r="C44" s="8"/>
      <c r="D44" s="8"/>
      <c r="E44" s="8"/>
      <c r="F44" s="8"/>
      <c r="G44" s="8"/>
      <c r="H44" s="8"/>
    </row>
    <row r="45" spans="1:8" x14ac:dyDescent="0.2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">
      <c r="A47" s="8" t="s">
        <v>6</v>
      </c>
      <c r="B47" t="s">
        <v>70</v>
      </c>
      <c r="C47" s="8"/>
      <c r="D47" s="8"/>
      <c r="E47" s="8"/>
      <c r="F47" s="8"/>
      <c r="G47" s="8"/>
      <c r="H47" s="8"/>
    </row>
    <row r="48" spans="1:8" x14ac:dyDescent="0.2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">
      <c r="A51" t="s">
        <v>70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70</v>
      </c>
    </row>
    <row r="52" spans="1:8" x14ac:dyDescent="0.2">
      <c r="A52" t="s">
        <v>52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53</v>
      </c>
    </row>
    <row r="53" spans="1:8" x14ac:dyDescent="0.2">
      <c r="A53" t="s">
        <v>72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73</v>
      </c>
    </row>
    <row r="54" spans="1:8" x14ac:dyDescent="0.2">
      <c r="A54" t="s">
        <v>61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118</v>
      </c>
    </row>
    <row r="55" spans="1:8" x14ac:dyDescent="0.2">
      <c r="A55" t="s">
        <v>54</v>
      </c>
      <c r="B55" s="4">
        <v>1.48</v>
      </c>
      <c r="C55" t="s">
        <v>18</v>
      </c>
      <c r="D55" t="s">
        <v>4</v>
      </c>
      <c r="E55" t="s">
        <v>24</v>
      </c>
      <c r="G55" t="s">
        <v>20</v>
      </c>
      <c r="H55" t="s">
        <v>43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74</v>
      </c>
      <c r="C57" s="8"/>
      <c r="D57" s="8"/>
      <c r="E57" s="8"/>
      <c r="F57" s="8"/>
      <c r="G57" s="8"/>
      <c r="H57" s="8"/>
    </row>
    <row r="58" spans="1:8" x14ac:dyDescent="0.2">
      <c r="A58" s="8" t="s">
        <v>2</v>
      </c>
      <c r="B58" t="s">
        <v>75</v>
      </c>
      <c r="C58" s="8"/>
      <c r="D58" s="8"/>
      <c r="E58" s="8"/>
      <c r="F58" s="8"/>
      <c r="G58" s="8"/>
      <c r="H58" s="8"/>
    </row>
    <row r="59" spans="1:8" x14ac:dyDescent="0.2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">
      <c r="A61" s="8" t="s">
        <v>6</v>
      </c>
      <c r="B61" t="s">
        <v>74</v>
      </c>
      <c r="C61" s="8"/>
      <c r="D61" s="8"/>
      <c r="E61" s="8"/>
      <c r="F61" s="8"/>
      <c r="G61" s="8"/>
      <c r="H61" s="8"/>
    </row>
    <row r="62" spans="1:8" x14ac:dyDescent="0.2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">
      <c r="A65" t="s">
        <v>74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74</v>
      </c>
    </row>
    <row r="66" spans="1:8" x14ac:dyDescent="0.2">
      <c r="A66" t="s">
        <v>76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">
      <c r="A67" t="s">
        <v>61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118</v>
      </c>
    </row>
    <row r="68" spans="1:8" x14ac:dyDescent="0.2">
      <c r="A68" t="s">
        <v>54</v>
      </c>
      <c r="B68" s="4">
        <v>0.48499999999999999</v>
      </c>
      <c r="C68" t="s">
        <v>18</v>
      </c>
      <c r="D68" t="s">
        <v>4</v>
      </c>
      <c r="E68" t="s">
        <v>24</v>
      </c>
      <c r="G68" t="s">
        <v>20</v>
      </c>
      <c r="H68" t="s">
        <v>43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77</v>
      </c>
      <c r="C70" s="8"/>
      <c r="D70" s="8"/>
      <c r="E70" s="8"/>
      <c r="F70" s="8"/>
      <c r="G70" s="8"/>
      <c r="H70" s="8"/>
    </row>
    <row r="71" spans="1:8" x14ac:dyDescent="0.2">
      <c r="A71" s="8" t="s">
        <v>2</v>
      </c>
      <c r="B71" t="s">
        <v>78</v>
      </c>
      <c r="C71" s="8"/>
      <c r="D71" s="8"/>
      <c r="E71" s="8"/>
      <c r="F71" s="8"/>
      <c r="G71" s="8"/>
      <c r="H71" s="8"/>
    </row>
    <row r="72" spans="1:8" x14ac:dyDescent="0.2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">
      <c r="A74" s="8" t="s">
        <v>6</v>
      </c>
      <c r="B74" t="s">
        <v>77</v>
      </c>
      <c r="C74" s="8"/>
      <c r="D74" s="8"/>
      <c r="E74" s="8"/>
      <c r="F74" s="8"/>
      <c r="G74" s="8"/>
      <c r="H74" s="8"/>
    </row>
    <row r="75" spans="1:8" x14ac:dyDescent="0.2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">
      <c r="A78" t="s">
        <v>77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77</v>
      </c>
    </row>
    <row r="79" spans="1:8" x14ac:dyDescent="0.2">
      <c r="A79" t="s">
        <v>64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65</v>
      </c>
    </row>
    <row r="80" spans="1:8" x14ac:dyDescent="0.2">
      <c r="A80" t="s">
        <v>79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80</v>
      </c>
    </row>
    <row r="81" spans="1:8" x14ac:dyDescent="0.2">
      <c r="A81" t="s">
        <v>61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118</v>
      </c>
    </row>
    <row r="82" spans="1:8" x14ac:dyDescent="0.2">
      <c r="A82" t="s">
        <v>54</v>
      </c>
      <c r="B82" s="4">
        <v>1.78</v>
      </c>
      <c r="C82" t="s">
        <v>18</v>
      </c>
      <c r="D82" t="s">
        <v>4</v>
      </c>
      <c r="E82" t="s">
        <v>24</v>
      </c>
      <c r="G82" t="s">
        <v>20</v>
      </c>
      <c r="H82" t="s">
        <v>43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81</v>
      </c>
      <c r="C84" s="8"/>
      <c r="D84" s="8"/>
      <c r="E84" s="8"/>
      <c r="F84" s="8"/>
      <c r="G84" s="8"/>
      <c r="H84" s="8"/>
    </row>
    <row r="85" spans="1:8" x14ac:dyDescent="0.2">
      <c r="A85" s="8" t="s">
        <v>2</v>
      </c>
      <c r="B85" t="s">
        <v>82</v>
      </c>
      <c r="C85" s="8"/>
      <c r="D85" s="8"/>
      <c r="E85" s="8"/>
      <c r="F85" s="8"/>
      <c r="G85" s="8"/>
      <c r="H85" s="8"/>
    </row>
    <row r="86" spans="1:8" x14ac:dyDescent="0.2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">
      <c r="A88" s="8" t="s">
        <v>6</v>
      </c>
      <c r="B88" t="s">
        <v>81</v>
      </c>
      <c r="C88" s="8"/>
      <c r="D88" s="8"/>
      <c r="E88" s="8"/>
      <c r="F88" s="8"/>
      <c r="G88" s="8"/>
      <c r="H88" s="8"/>
    </row>
    <row r="89" spans="1:8" x14ac:dyDescent="0.2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">
      <c r="A92" t="s">
        <v>81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81</v>
      </c>
    </row>
    <row r="93" spans="1:8" x14ac:dyDescent="0.2">
      <c r="A93" t="s">
        <v>76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">
      <c r="A94" t="s">
        <v>61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118</v>
      </c>
    </row>
    <row r="95" spans="1:8" x14ac:dyDescent="0.2">
      <c r="A95" t="s">
        <v>54</v>
      </c>
      <c r="B95" s="4">
        <v>0.38800000000000001</v>
      </c>
      <c r="C95" t="s">
        <v>18</v>
      </c>
      <c r="D95" t="s">
        <v>4</v>
      </c>
      <c r="E95" t="s">
        <v>24</v>
      </c>
      <c r="G95" t="s">
        <v>20</v>
      </c>
      <c r="H95" t="s">
        <v>43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169</v>
      </c>
      <c r="C97" s="8"/>
      <c r="D97" s="8"/>
      <c r="E97" s="8"/>
      <c r="F97" s="8"/>
      <c r="G97" s="8"/>
      <c r="H97" s="8"/>
    </row>
    <row r="98" spans="1:8" x14ac:dyDescent="0.2">
      <c r="A98" s="8" t="s">
        <v>2</v>
      </c>
      <c r="B98" t="s">
        <v>83</v>
      </c>
      <c r="C98" s="8"/>
      <c r="D98" s="8"/>
      <c r="E98" s="8"/>
      <c r="F98" s="8"/>
      <c r="G98" s="8"/>
      <c r="H98" s="8"/>
    </row>
    <row r="99" spans="1:8" x14ac:dyDescent="0.2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">
      <c r="A101" s="8" t="s">
        <v>6</v>
      </c>
      <c r="B101" t="s">
        <v>169</v>
      </c>
      <c r="C101" s="8"/>
      <c r="D101" s="8"/>
      <c r="E101" s="8"/>
      <c r="F101" s="8"/>
      <c r="G101" s="8"/>
      <c r="H101" s="8"/>
    </row>
    <row r="102" spans="1:8" x14ac:dyDescent="0.2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">
      <c r="A105" t="s">
        <v>169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169</v>
      </c>
    </row>
    <row r="106" spans="1:8" x14ac:dyDescent="0.2">
      <c r="A106" t="s">
        <v>50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50</v>
      </c>
    </row>
    <row r="107" spans="1:8" x14ac:dyDescent="0.2">
      <c r="A107" t="s">
        <v>55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55</v>
      </c>
    </row>
    <row r="108" spans="1:8" x14ac:dyDescent="0.2">
      <c r="A108" t="s">
        <v>62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62</v>
      </c>
    </row>
    <row r="109" spans="1:8" x14ac:dyDescent="0.2">
      <c r="A109" t="s">
        <v>70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70</v>
      </c>
    </row>
    <row r="110" spans="1:8" x14ac:dyDescent="0.2">
      <c r="A110" t="s">
        <v>74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74</v>
      </c>
    </row>
    <row r="111" spans="1:8" x14ac:dyDescent="0.2">
      <c r="A111" t="s">
        <v>77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77</v>
      </c>
    </row>
    <row r="112" spans="1:8" x14ac:dyDescent="0.2">
      <c r="A112" t="s">
        <v>81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81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84</v>
      </c>
      <c r="C114" s="8"/>
      <c r="D114" s="8"/>
      <c r="E114" s="8"/>
      <c r="F114" s="8"/>
      <c r="G114" s="8"/>
      <c r="H114" s="8"/>
    </row>
    <row r="115" spans="1:8" x14ac:dyDescent="0.2">
      <c r="A115" s="8" t="s">
        <v>2</v>
      </c>
      <c r="B115" t="s">
        <v>85</v>
      </c>
      <c r="C115" s="8"/>
      <c r="D115" s="8"/>
      <c r="E115" s="8"/>
      <c r="F115" s="8"/>
      <c r="G115" s="8"/>
      <c r="H115" s="8"/>
    </row>
    <row r="116" spans="1:8" x14ac:dyDescent="0.2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">
      <c r="A118" s="8" t="s">
        <v>6</v>
      </c>
      <c r="B118" t="s">
        <v>86</v>
      </c>
      <c r="C118" s="8"/>
      <c r="D118" s="8"/>
      <c r="E118" s="8"/>
      <c r="F118" s="8"/>
      <c r="G118" s="8"/>
      <c r="H118" s="8"/>
    </row>
    <row r="119" spans="1:8" x14ac:dyDescent="0.2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2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">
      <c r="A122" t="s">
        <v>84</v>
      </c>
      <c r="B122" s="9">
        <v>1</v>
      </c>
      <c r="C122" s="8" t="s">
        <v>16</v>
      </c>
      <c r="D122" t="s">
        <v>4</v>
      </c>
      <c r="E122" t="s">
        <v>9</v>
      </c>
      <c r="F122" s="8"/>
      <c r="G122" s="8" t="s">
        <v>17</v>
      </c>
      <c r="H122" t="s">
        <v>86</v>
      </c>
    </row>
    <row r="123" spans="1:8" x14ac:dyDescent="0.2">
      <c r="A123" t="s">
        <v>87</v>
      </c>
      <c r="B123" s="9">
        <f>1.5/1000</f>
        <v>1.5E-3</v>
      </c>
      <c r="C123" t="s">
        <v>18</v>
      </c>
      <c r="D123" t="s">
        <v>4</v>
      </c>
      <c r="E123" t="s">
        <v>9</v>
      </c>
      <c r="F123" s="8"/>
      <c r="G123" t="s">
        <v>20</v>
      </c>
      <c r="H123" t="s">
        <v>88</v>
      </c>
    </row>
    <row r="124" spans="1:8" x14ac:dyDescent="0.2">
      <c r="A124" t="s">
        <v>47</v>
      </c>
      <c r="B124" s="9">
        <f>3.5/1000</f>
        <v>3.5000000000000001E-3</v>
      </c>
      <c r="C124" t="s">
        <v>18</v>
      </c>
      <c r="D124" t="s">
        <v>19</v>
      </c>
      <c r="E124" t="s">
        <v>9</v>
      </c>
      <c r="F124" s="8"/>
      <c r="G124" t="s">
        <v>20</v>
      </c>
      <c r="H124" t="s">
        <v>26</v>
      </c>
    </row>
    <row r="125" spans="1:8" x14ac:dyDescent="0.2">
      <c r="A125" t="s">
        <v>89</v>
      </c>
      <c r="B125" s="13">
        <f>0.13/1000</f>
        <v>1.3000000000000002E-4</v>
      </c>
      <c r="C125" t="s">
        <v>18</v>
      </c>
      <c r="D125" t="s">
        <v>4</v>
      </c>
      <c r="E125" t="s">
        <v>9</v>
      </c>
      <c r="F125" s="8"/>
      <c r="G125" t="s">
        <v>20</v>
      </c>
      <c r="H125" t="s">
        <v>90</v>
      </c>
    </row>
    <row r="126" spans="1:8" x14ac:dyDescent="0.2">
      <c r="A126" t="s">
        <v>91</v>
      </c>
      <c r="B126" s="13">
        <f>0.075/1000</f>
        <v>7.4999999999999993E-5</v>
      </c>
      <c r="C126" t="s">
        <v>18</v>
      </c>
      <c r="D126" t="s">
        <v>4</v>
      </c>
      <c r="E126" t="s">
        <v>9</v>
      </c>
      <c r="F126" s="8"/>
      <c r="G126" t="s">
        <v>20</v>
      </c>
      <c r="H126" t="s">
        <v>92</v>
      </c>
    </row>
    <row r="127" spans="1:8" x14ac:dyDescent="0.2">
      <c r="A127" t="s">
        <v>35</v>
      </c>
      <c r="B127" s="15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2">
      <c r="A128" t="s">
        <v>93</v>
      </c>
      <c r="B128" s="15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2">
      <c r="A129" t="s">
        <v>94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95</v>
      </c>
    </row>
    <row r="130" spans="1:11" x14ac:dyDescent="0.2">
      <c r="A130" s="2"/>
      <c r="B130" s="2"/>
      <c r="C130" s="3"/>
      <c r="D130" s="2"/>
      <c r="E130" s="2"/>
      <c r="F130" s="2"/>
      <c r="G130" s="2"/>
      <c r="H130" s="2"/>
    </row>
    <row r="131" spans="1:11" x14ac:dyDescent="0.2">
      <c r="A131" s="1" t="s">
        <v>0</v>
      </c>
      <c r="B131" s="1" t="s">
        <v>96</v>
      </c>
      <c r="C131" s="8"/>
      <c r="D131" s="8"/>
      <c r="E131" s="8"/>
      <c r="F131" s="8"/>
      <c r="G131" s="8"/>
      <c r="H131" s="8"/>
    </row>
    <row r="132" spans="1:11" x14ac:dyDescent="0.2">
      <c r="A132" s="8" t="s">
        <v>2</v>
      </c>
      <c r="B132" t="s">
        <v>97</v>
      </c>
      <c r="C132" s="8"/>
      <c r="D132" s="8"/>
      <c r="E132" s="8"/>
      <c r="F132" s="8"/>
      <c r="G132" s="8"/>
      <c r="H132" s="8"/>
    </row>
    <row r="133" spans="1:11" x14ac:dyDescent="0.2">
      <c r="A133" s="8" t="s">
        <v>3</v>
      </c>
      <c r="B133" t="s">
        <v>4</v>
      </c>
      <c r="C133" s="8"/>
      <c r="D133" s="8"/>
      <c r="E133" s="8"/>
      <c r="F133" s="8"/>
      <c r="G133" s="8"/>
      <c r="H133" s="8"/>
    </row>
    <row r="134" spans="1:11" x14ac:dyDescent="0.2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2">
      <c r="A135" s="8" t="s">
        <v>6</v>
      </c>
      <c r="B135" t="s">
        <v>98</v>
      </c>
      <c r="C135" s="8"/>
      <c r="D135" s="8"/>
      <c r="E135" s="8"/>
      <c r="F135" s="8"/>
      <c r="G135" s="8"/>
      <c r="H135" s="8"/>
    </row>
    <row r="136" spans="1:11" x14ac:dyDescent="0.2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2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2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2">
      <c r="A139" t="s">
        <v>96</v>
      </c>
      <c r="B139" s="9">
        <v>1</v>
      </c>
      <c r="C139" s="8" t="s">
        <v>16</v>
      </c>
      <c r="D139" t="s">
        <v>4</v>
      </c>
      <c r="E139" t="s">
        <v>23</v>
      </c>
      <c r="F139" s="8"/>
      <c r="G139" s="8" t="s">
        <v>17</v>
      </c>
      <c r="H139" t="s">
        <v>98</v>
      </c>
    </row>
    <row r="140" spans="1:11" x14ac:dyDescent="0.2">
      <c r="A140" t="s">
        <v>99</v>
      </c>
      <c r="B140" s="13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4"/>
    </row>
    <row r="141" spans="1:11" x14ac:dyDescent="0.2">
      <c r="A141" t="s">
        <v>37</v>
      </c>
      <c r="B141" s="13">
        <v>6.3E-5</v>
      </c>
      <c r="C141" t="s">
        <v>30</v>
      </c>
      <c r="E141" t="s">
        <v>9</v>
      </c>
      <c r="F141" t="s">
        <v>39</v>
      </c>
      <c r="G141" t="s">
        <v>31</v>
      </c>
      <c r="K141" s="14"/>
    </row>
    <row r="142" spans="1:11" x14ac:dyDescent="0.2">
      <c r="A142" t="s">
        <v>100</v>
      </c>
      <c r="B142" s="13">
        <v>3.93E-5</v>
      </c>
      <c r="C142" t="s">
        <v>30</v>
      </c>
      <c r="E142" t="s">
        <v>9</v>
      </c>
      <c r="F142" t="s">
        <v>39</v>
      </c>
      <c r="G142" t="s">
        <v>31</v>
      </c>
      <c r="K142" s="14"/>
    </row>
    <row r="143" spans="1:11" x14ac:dyDescent="0.2">
      <c r="A143" t="s">
        <v>101</v>
      </c>
      <c r="B143" s="13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4"/>
    </row>
    <row r="144" spans="1:11" x14ac:dyDescent="0.2">
      <c r="A144" t="s">
        <v>102</v>
      </c>
      <c r="B144" s="13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4"/>
    </row>
    <row r="145" spans="1:11" x14ac:dyDescent="0.2">
      <c r="A145" t="s">
        <v>103</v>
      </c>
      <c r="B145" s="13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4"/>
    </row>
    <row r="146" spans="1:11" x14ac:dyDescent="0.2">
      <c r="A146" t="s">
        <v>104</v>
      </c>
      <c r="B146" s="13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4"/>
    </row>
    <row r="147" spans="1:11" x14ac:dyDescent="0.2">
      <c r="A147" t="s">
        <v>105</v>
      </c>
      <c r="B147" s="13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4"/>
    </row>
    <row r="148" spans="1:11" x14ac:dyDescent="0.2">
      <c r="A148" t="s">
        <v>106</v>
      </c>
      <c r="B148" s="13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4"/>
    </row>
    <row r="149" spans="1:11" x14ac:dyDescent="0.2">
      <c r="A149" t="s">
        <v>107</v>
      </c>
      <c r="B149" s="13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4"/>
    </row>
    <row r="150" spans="1:11" x14ac:dyDescent="0.2">
      <c r="A150" t="s">
        <v>108</v>
      </c>
      <c r="B150" s="13">
        <v>1.2E-10</v>
      </c>
      <c r="C150" t="s">
        <v>30</v>
      </c>
      <c r="E150" t="s">
        <v>9</v>
      </c>
      <c r="F150" t="s">
        <v>39</v>
      </c>
      <c r="G150" t="s">
        <v>31</v>
      </c>
      <c r="K150" s="14"/>
    </row>
    <row r="151" spans="1:11" x14ac:dyDescent="0.2">
      <c r="A151" t="s">
        <v>109</v>
      </c>
      <c r="B151" s="13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4"/>
    </row>
    <row r="152" spans="1:11" x14ac:dyDescent="0.2">
      <c r="A152" t="s">
        <v>110</v>
      </c>
      <c r="B152" s="13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4"/>
    </row>
    <row r="153" spans="1:11" x14ac:dyDescent="0.2">
      <c r="A153" t="s">
        <v>111</v>
      </c>
      <c r="B153" s="13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4"/>
    </row>
    <row r="154" spans="1:11" x14ac:dyDescent="0.2">
      <c r="A154" t="s">
        <v>112</v>
      </c>
      <c r="B154" s="13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4"/>
    </row>
    <row r="155" spans="1:11" x14ac:dyDescent="0.2">
      <c r="A155" t="s">
        <v>113</v>
      </c>
      <c r="B155" s="13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4"/>
    </row>
    <row r="156" spans="1:11" x14ac:dyDescent="0.2">
      <c r="A156" t="s">
        <v>114</v>
      </c>
      <c r="B156" s="13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4"/>
    </row>
    <row r="157" spans="1:11" x14ac:dyDescent="0.2">
      <c r="A157" t="s">
        <v>115</v>
      </c>
      <c r="B157" s="13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4"/>
    </row>
    <row r="158" spans="1:11" x14ac:dyDescent="0.2">
      <c r="A158" t="s">
        <v>116</v>
      </c>
      <c r="B158" s="13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4"/>
    </row>
    <row r="159" spans="1:11" x14ac:dyDescent="0.2">
      <c r="A159" t="s">
        <v>117</v>
      </c>
      <c r="B159" s="13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4"/>
    </row>
    <row r="160" spans="1:11" x14ac:dyDescent="0.2">
      <c r="A160" s="2"/>
      <c r="B160" s="2"/>
      <c r="C160" s="3"/>
      <c r="D160" s="2"/>
      <c r="E160" s="2"/>
      <c r="F160" s="2"/>
      <c r="G160" s="2"/>
      <c r="H160" s="2"/>
    </row>
    <row r="161" spans="1:11" x14ac:dyDescent="0.2">
      <c r="A161" s="1" t="s">
        <v>0</v>
      </c>
      <c r="B161" s="1" t="s">
        <v>121</v>
      </c>
      <c r="C161" s="8"/>
      <c r="D161" s="8"/>
      <c r="E161" s="8"/>
      <c r="F161" s="8"/>
      <c r="G161" s="8"/>
      <c r="H161" s="8"/>
      <c r="I161" s="8"/>
    </row>
    <row r="162" spans="1:11" x14ac:dyDescent="0.2">
      <c r="A162" s="8" t="s">
        <v>2</v>
      </c>
      <c r="B162" t="s">
        <v>155</v>
      </c>
      <c r="C162" s="8"/>
      <c r="D162" s="8"/>
      <c r="E162" s="8"/>
      <c r="F162" s="8"/>
      <c r="G162" s="8"/>
      <c r="H162" s="8"/>
      <c r="I162" s="8"/>
    </row>
    <row r="163" spans="1:11" x14ac:dyDescent="0.2">
      <c r="A163" s="8" t="s">
        <v>3</v>
      </c>
      <c r="B163" t="s">
        <v>4</v>
      </c>
      <c r="C163" s="8"/>
      <c r="D163" s="8"/>
      <c r="E163" s="8"/>
      <c r="F163" s="8"/>
      <c r="G163" s="8"/>
      <c r="H163" s="8"/>
      <c r="I163" s="8"/>
    </row>
    <row r="164" spans="1:11" x14ac:dyDescent="0.2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2">
      <c r="A165" s="8" t="s">
        <v>6</v>
      </c>
      <c r="B165" s="8" t="s">
        <v>122</v>
      </c>
      <c r="C165" s="8"/>
      <c r="D165" s="8"/>
      <c r="E165" s="8"/>
      <c r="F165" s="8"/>
      <c r="G165" s="8"/>
      <c r="H165" s="8"/>
      <c r="I165" s="8"/>
    </row>
    <row r="166" spans="1:11" x14ac:dyDescent="0.2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2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2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2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2">
      <c r="A170" s="8" t="s">
        <v>123</v>
      </c>
      <c r="B170" s="13">
        <v>1.4039999999999999E-5</v>
      </c>
      <c r="C170" s="8" t="s">
        <v>30</v>
      </c>
      <c r="D170" s="8"/>
      <c r="E170" s="8" t="s">
        <v>124</v>
      </c>
      <c r="F170" s="8" t="s">
        <v>125</v>
      </c>
      <c r="G170" s="8" t="s">
        <v>31</v>
      </c>
      <c r="H170" s="8"/>
      <c r="I170" s="8"/>
      <c r="K170" s="14"/>
    </row>
    <row r="171" spans="1:11" x14ac:dyDescent="0.2">
      <c r="A171" s="8" t="s">
        <v>126</v>
      </c>
      <c r="B171" s="9">
        <v>1.155E-2</v>
      </c>
      <c r="C171" s="8" t="s">
        <v>30</v>
      </c>
      <c r="D171" s="8"/>
      <c r="E171" s="8" t="s">
        <v>9</v>
      </c>
      <c r="F171" s="8" t="s">
        <v>127</v>
      </c>
      <c r="G171" s="8" t="s">
        <v>31</v>
      </c>
      <c r="H171" s="8"/>
      <c r="I171" s="8"/>
      <c r="K171" s="14"/>
    </row>
    <row r="172" spans="1:11" x14ac:dyDescent="0.2">
      <c r="A172" s="8" t="s">
        <v>128</v>
      </c>
      <c r="B172" s="13">
        <v>8.5109999999999986E-6</v>
      </c>
      <c r="C172" s="8" t="s">
        <v>30</v>
      </c>
      <c r="D172" s="8"/>
      <c r="E172" s="8" t="s">
        <v>129</v>
      </c>
      <c r="F172" s="8" t="s">
        <v>125</v>
      </c>
      <c r="G172" s="8" t="s">
        <v>31</v>
      </c>
      <c r="H172" s="8"/>
      <c r="I172" s="8"/>
      <c r="K172" s="14"/>
    </row>
    <row r="173" spans="1:11" x14ac:dyDescent="0.2">
      <c r="A173" s="8" t="s">
        <v>130</v>
      </c>
      <c r="B173" s="13">
        <v>8.5109999999999986E-6</v>
      </c>
      <c r="C173" s="8" t="s">
        <v>30</v>
      </c>
      <c r="D173" s="8"/>
      <c r="E173" s="8" t="s">
        <v>129</v>
      </c>
      <c r="F173" s="8" t="s">
        <v>125</v>
      </c>
      <c r="G173" s="8" t="s">
        <v>31</v>
      </c>
      <c r="H173" s="8"/>
      <c r="I173" s="8"/>
      <c r="K173" s="14"/>
    </row>
    <row r="174" spans="1:11" x14ac:dyDescent="0.2">
      <c r="A174" s="8" t="s">
        <v>121</v>
      </c>
      <c r="B174" s="9">
        <v>1</v>
      </c>
      <c r="C174" s="8" t="s">
        <v>16</v>
      </c>
      <c r="D174" t="s">
        <v>4</v>
      </c>
      <c r="E174" s="8" t="s">
        <v>9</v>
      </c>
      <c r="F174" s="8"/>
      <c r="G174" s="8" t="s">
        <v>17</v>
      </c>
      <c r="H174" s="8" t="s">
        <v>122</v>
      </c>
      <c r="I174" s="8"/>
      <c r="K174" s="14"/>
    </row>
    <row r="175" spans="1:11" x14ac:dyDescent="0.2">
      <c r="A175" s="8" t="s">
        <v>131</v>
      </c>
      <c r="B175" s="13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132</v>
      </c>
      <c r="I175" s="8"/>
      <c r="K175" s="14"/>
    </row>
    <row r="176" spans="1:11" x14ac:dyDescent="0.2">
      <c r="A176" s="8" t="s">
        <v>133</v>
      </c>
      <c r="B176" s="13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134</v>
      </c>
      <c r="I176" s="8"/>
      <c r="K176" s="14"/>
    </row>
    <row r="177" spans="1:11" x14ac:dyDescent="0.2">
      <c r="A177" s="8" t="s">
        <v>135</v>
      </c>
      <c r="B177" s="13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136</v>
      </c>
      <c r="I177" s="8"/>
      <c r="K177" s="14"/>
    </row>
    <row r="178" spans="1:11" x14ac:dyDescent="0.2">
      <c r="A178" s="8" t="s">
        <v>137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137</v>
      </c>
      <c r="I178" s="8"/>
      <c r="K178" s="14"/>
    </row>
    <row r="179" spans="1:11" x14ac:dyDescent="0.2">
      <c r="A179" s="8" t="s">
        <v>138</v>
      </c>
      <c r="B179" s="13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138</v>
      </c>
      <c r="I179" s="8"/>
      <c r="K179" s="14"/>
    </row>
    <row r="180" spans="1:11" x14ac:dyDescent="0.2">
      <c r="A180" s="8" t="s">
        <v>139</v>
      </c>
      <c r="B180" s="13">
        <v>1.3140000000000001E-3</v>
      </c>
      <c r="C180" s="8" t="s">
        <v>18</v>
      </c>
      <c r="D180" s="8" t="s">
        <v>19</v>
      </c>
      <c r="E180" s="8" t="s">
        <v>140</v>
      </c>
      <c r="F180" s="8"/>
      <c r="G180" s="8" t="s">
        <v>20</v>
      </c>
      <c r="H180" s="8" t="s">
        <v>141</v>
      </c>
      <c r="I180" s="8"/>
      <c r="K180" s="14"/>
    </row>
    <row r="181" spans="1:11" x14ac:dyDescent="0.2">
      <c r="A181" s="8" t="s">
        <v>142</v>
      </c>
      <c r="B181" s="13">
        <v>8.2189999999999997E-8</v>
      </c>
      <c r="C181" s="8" t="s">
        <v>18</v>
      </c>
      <c r="D181" s="8" t="s">
        <v>4</v>
      </c>
      <c r="E181" s="8" t="s">
        <v>143</v>
      </c>
      <c r="F181" s="8"/>
      <c r="G181" s="8" t="s">
        <v>20</v>
      </c>
      <c r="H181" s="8" t="s">
        <v>144</v>
      </c>
      <c r="I181" s="8"/>
      <c r="K181" s="14"/>
    </row>
    <row r="182" spans="1:11" x14ac:dyDescent="0.2">
      <c r="A182" s="8" t="s">
        <v>145</v>
      </c>
      <c r="B182" s="13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146</v>
      </c>
      <c r="I182" s="8"/>
      <c r="K182" s="14"/>
    </row>
    <row r="183" spans="1:11" x14ac:dyDescent="0.2">
      <c r="A183" s="8" t="s">
        <v>147</v>
      </c>
      <c r="B183" s="13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148</v>
      </c>
      <c r="I183" s="8"/>
      <c r="K183" s="14"/>
    </row>
    <row r="184" spans="1:11" x14ac:dyDescent="0.2">
      <c r="A184" s="8" t="s">
        <v>149</v>
      </c>
      <c r="B184" s="13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150</v>
      </c>
      <c r="I184" s="8"/>
      <c r="K184" s="14"/>
    </row>
    <row r="185" spans="1:11" x14ac:dyDescent="0.2">
      <c r="A185" s="8" t="s">
        <v>151</v>
      </c>
      <c r="B185" s="13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152</v>
      </c>
      <c r="I185" s="8"/>
      <c r="K185" s="14"/>
    </row>
    <row r="186" spans="1:11" x14ac:dyDescent="0.2">
      <c r="A186" s="8" t="s">
        <v>153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154</v>
      </c>
      <c r="I186" s="8"/>
      <c r="K186" s="14"/>
    </row>
    <row r="187" spans="1:11" x14ac:dyDescent="0.2">
      <c r="A187" s="2"/>
      <c r="B187" s="2"/>
      <c r="C187" s="3"/>
      <c r="D187" s="2"/>
      <c r="E187" s="2"/>
      <c r="F187" s="2"/>
      <c r="G187" s="2"/>
      <c r="H187" s="2"/>
      <c r="K187" s="14"/>
    </row>
    <row r="188" spans="1:11" x14ac:dyDescent="0.2">
      <c r="A188" s="1" t="s">
        <v>0</v>
      </c>
      <c r="B188" s="1" t="s">
        <v>120</v>
      </c>
      <c r="C188" s="8"/>
      <c r="D188" s="8"/>
      <c r="E188" s="8"/>
      <c r="F188" s="8"/>
      <c r="G188" s="8"/>
      <c r="H188" s="8"/>
      <c r="K188" s="14"/>
    </row>
    <row r="189" spans="1:11" x14ac:dyDescent="0.2">
      <c r="A189" s="8" t="s">
        <v>2</v>
      </c>
      <c r="B189" t="s">
        <v>156</v>
      </c>
      <c r="C189" s="8"/>
      <c r="D189" s="8"/>
      <c r="E189" s="8"/>
      <c r="F189" s="8"/>
      <c r="G189" s="8"/>
      <c r="H189" s="8"/>
      <c r="K189" s="14"/>
    </row>
    <row r="190" spans="1:11" x14ac:dyDescent="0.2">
      <c r="A190" s="8" t="s">
        <v>3</v>
      </c>
      <c r="B190" t="s">
        <v>4</v>
      </c>
      <c r="C190" s="8"/>
      <c r="D190" s="8"/>
      <c r="E190" s="8"/>
      <c r="F190" s="8"/>
      <c r="G190" s="8"/>
      <c r="H190" s="8"/>
    </row>
    <row r="191" spans="1:11" x14ac:dyDescent="0.2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2">
      <c r="A192" s="8" t="s">
        <v>6</v>
      </c>
      <c r="B192" t="s">
        <v>120</v>
      </c>
      <c r="C192" s="8"/>
      <c r="D192" s="8"/>
      <c r="E192" s="8"/>
      <c r="F192" s="8"/>
      <c r="G192" s="8"/>
      <c r="H192" s="8"/>
    </row>
    <row r="193" spans="1:8" x14ac:dyDescent="0.2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2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2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2">
      <c r="A196" s="8" t="s">
        <v>120</v>
      </c>
      <c r="B196" s="9">
        <v>1</v>
      </c>
      <c r="C196" s="8" t="s">
        <v>16</v>
      </c>
      <c r="D196" t="s">
        <v>4</v>
      </c>
      <c r="E196" s="8" t="s">
        <v>9</v>
      </c>
      <c r="F196" s="8"/>
      <c r="G196" s="8" t="s">
        <v>17</v>
      </c>
      <c r="H196" s="8" t="s">
        <v>120</v>
      </c>
    </row>
    <row r="197" spans="1:8" x14ac:dyDescent="0.2">
      <c r="A197" s="8" t="s">
        <v>121</v>
      </c>
      <c r="B197" s="9">
        <v>1</v>
      </c>
      <c r="C197" s="8" t="s">
        <v>16</v>
      </c>
      <c r="D197" t="s">
        <v>4</v>
      </c>
      <c r="E197" s="8" t="s">
        <v>9</v>
      </c>
      <c r="F197" s="8"/>
      <c r="G197" t="s">
        <v>20</v>
      </c>
      <c r="H197" s="8" t="s">
        <v>122</v>
      </c>
    </row>
    <row r="198" spans="1:8" x14ac:dyDescent="0.2">
      <c r="A198" t="s">
        <v>54</v>
      </c>
      <c r="B198" s="4">
        <f>13.1/1000</f>
        <v>1.3099999999999999E-2</v>
      </c>
      <c r="C198" t="s">
        <v>18</v>
      </c>
      <c r="D198" t="s">
        <v>4</v>
      </c>
      <c r="E198" t="s">
        <v>24</v>
      </c>
      <c r="G198" t="s">
        <v>20</v>
      </c>
      <c r="H198" t="s">
        <v>43</v>
      </c>
    </row>
    <row r="199" spans="1:8" x14ac:dyDescent="0.2">
      <c r="A199" t="s">
        <v>29</v>
      </c>
      <c r="B199" s="15">
        <f>0.447/1000</f>
        <v>4.4700000000000002E-4</v>
      </c>
      <c r="C199" t="s">
        <v>30</v>
      </c>
      <c r="D199" s="8"/>
      <c r="E199" t="s">
        <v>9</v>
      </c>
      <c r="F199" t="s">
        <v>39</v>
      </c>
      <c r="G199" t="s">
        <v>31</v>
      </c>
      <c r="H199" s="8"/>
    </row>
    <row r="200" spans="1:8" x14ac:dyDescent="0.2">
      <c r="A200" s="2"/>
      <c r="B200" s="2"/>
      <c r="C200" s="3"/>
      <c r="D200" s="2"/>
      <c r="E200" s="2"/>
      <c r="F200" s="2"/>
      <c r="G200" s="2"/>
      <c r="H200" s="2"/>
    </row>
    <row r="201" spans="1:8" x14ac:dyDescent="0.2">
      <c r="A201" s="1" t="s">
        <v>0</v>
      </c>
      <c r="B201" s="1" t="s">
        <v>157</v>
      </c>
      <c r="C201" s="8"/>
      <c r="D201" s="8"/>
      <c r="E201" s="8"/>
      <c r="F201" s="8"/>
      <c r="G201" s="8"/>
      <c r="H201" s="8"/>
    </row>
    <row r="202" spans="1:8" x14ac:dyDescent="0.2">
      <c r="A202" s="8" t="s">
        <v>2</v>
      </c>
      <c r="B202" t="s">
        <v>156</v>
      </c>
      <c r="C202" s="8"/>
      <c r="D202" s="8"/>
      <c r="E202" s="8"/>
      <c r="F202" s="8"/>
      <c r="G202" s="8"/>
      <c r="H202" s="8"/>
    </row>
    <row r="203" spans="1:8" x14ac:dyDescent="0.2">
      <c r="A203" s="8" t="s">
        <v>3</v>
      </c>
      <c r="B203" t="s">
        <v>4</v>
      </c>
      <c r="C203" s="8"/>
      <c r="D203" s="8"/>
      <c r="E203" s="8"/>
      <c r="F203" s="8"/>
      <c r="G203" s="8"/>
      <c r="H203" s="8"/>
    </row>
    <row r="204" spans="1:8" x14ac:dyDescent="0.2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2">
      <c r="A205" s="8" t="s">
        <v>6</v>
      </c>
      <c r="B205" t="s">
        <v>157</v>
      </c>
      <c r="C205" s="8"/>
      <c r="D205" s="8"/>
      <c r="E205" s="8"/>
      <c r="F205" s="8"/>
      <c r="G205" s="8"/>
      <c r="H205" s="8"/>
    </row>
    <row r="206" spans="1:8" x14ac:dyDescent="0.2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2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2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2">
      <c r="A209" s="8" t="s">
        <v>157</v>
      </c>
      <c r="B209" s="9">
        <v>1</v>
      </c>
      <c r="C209" s="8" t="s">
        <v>16</v>
      </c>
      <c r="D209" t="s">
        <v>4</v>
      </c>
      <c r="E209" s="8" t="s">
        <v>9</v>
      </c>
      <c r="F209" s="8"/>
      <c r="G209" s="8" t="s">
        <v>17</v>
      </c>
      <c r="H209" s="8" t="s">
        <v>157</v>
      </c>
    </row>
    <row r="210" spans="1:8" x14ac:dyDescent="0.2">
      <c r="A210" s="8" t="s">
        <v>121</v>
      </c>
      <c r="B210" s="9">
        <v>1</v>
      </c>
      <c r="C210" s="8" t="s">
        <v>16</v>
      </c>
      <c r="D210" t="s">
        <v>4</v>
      </c>
      <c r="E210" s="8" t="s">
        <v>9</v>
      </c>
      <c r="F210" s="8"/>
      <c r="G210" t="s">
        <v>20</v>
      </c>
      <c r="H210" s="8" t="s">
        <v>122</v>
      </c>
    </row>
    <row r="211" spans="1:8" x14ac:dyDescent="0.2">
      <c r="A211" t="s">
        <v>54</v>
      </c>
      <c r="B211" s="4">
        <f>3.99/1000</f>
        <v>3.9900000000000005E-3</v>
      </c>
      <c r="C211" t="s">
        <v>18</v>
      </c>
      <c r="D211" t="s">
        <v>4</v>
      </c>
      <c r="E211" t="s">
        <v>24</v>
      </c>
      <c r="G211" t="s">
        <v>20</v>
      </c>
      <c r="H211" t="s">
        <v>43</v>
      </c>
    </row>
    <row r="212" spans="1:8" x14ac:dyDescent="0.2">
      <c r="A212" t="s">
        <v>29</v>
      </c>
      <c r="B212" s="15">
        <f>0.309/1000</f>
        <v>3.0899999999999998E-4</v>
      </c>
      <c r="C212" t="s">
        <v>30</v>
      </c>
      <c r="D212" s="8"/>
      <c r="E212" t="s">
        <v>9</v>
      </c>
      <c r="F212" t="s">
        <v>39</v>
      </c>
      <c r="G212" t="s">
        <v>31</v>
      </c>
      <c r="H212" s="8"/>
    </row>
    <row r="213" spans="1:8" x14ac:dyDescent="0.2">
      <c r="A213" s="2"/>
      <c r="B213" s="2"/>
      <c r="C213" s="3"/>
      <c r="D213" s="2"/>
      <c r="E213" s="2"/>
      <c r="F213" s="2"/>
      <c r="G213" s="2"/>
      <c r="H213" s="2"/>
    </row>
    <row r="214" spans="1:8" x14ac:dyDescent="0.2">
      <c r="A214" s="1" t="s">
        <v>0</v>
      </c>
      <c r="B214" s="1" t="s">
        <v>160</v>
      </c>
      <c r="C214" s="8"/>
      <c r="D214" s="8"/>
      <c r="E214" s="8"/>
      <c r="F214" s="8"/>
      <c r="G214" s="8"/>
      <c r="H214" s="8"/>
    </row>
    <row r="215" spans="1:8" x14ac:dyDescent="0.2">
      <c r="A215" s="8" t="s">
        <v>2</v>
      </c>
      <c r="B215" t="s">
        <v>161</v>
      </c>
      <c r="C215" s="8"/>
      <c r="D215" s="8"/>
      <c r="E215" s="8"/>
      <c r="F215" s="8"/>
      <c r="G215" s="8"/>
      <c r="H215" s="8"/>
    </row>
    <row r="216" spans="1:8" x14ac:dyDescent="0.2">
      <c r="A216" s="8" t="s">
        <v>3</v>
      </c>
      <c r="B216" t="s">
        <v>4</v>
      </c>
      <c r="C216" s="8"/>
      <c r="D216" s="8"/>
      <c r="E216" s="8"/>
      <c r="F216" s="8"/>
      <c r="G216" s="8"/>
      <c r="H216" s="8"/>
    </row>
    <row r="217" spans="1:8" x14ac:dyDescent="0.2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2">
      <c r="A218" s="8" t="s">
        <v>6</v>
      </c>
      <c r="B218" t="s">
        <v>160</v>
      </c>
      <c r="C218" s="8"/>
      <c r="D218" s="8"/>
      <c r="E218" s="8"/>
      <c r="F218" s="8"/>
      <c r="G218" s="8"/>
      <c r="H218" s="8"/>
    </row>
    <row r="219" spans="1:8" x14ac:dyDescent="0.2">
      <c r="A219" s="8" t="s">
        <v>8</v>
      </c>
      <c r="B219" t="s">
        <v>23</v>
      </c>
      <c r="C219" s="8"/>
      <c r="D219" s="8"/>
      <c r="E219" s="8"/>
      <c r="F219" s="8"/>
      <c r="G219" s="8"/>
      <c r="H219" s="8"/>
    </row>
    <row r="220" spans="1:8" x14ac:dyDescent="0.2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2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2">
      <c r="A222" s="8" t="s">
        <v>160</v>
      </c>
      <c r="B222" s="9">
        <v>1</v>
      </c>
      <c r="C222" s="8" t="s">
        <v>16</v>
      </c>
      <c r="D222" t="s">
        <v>4</v>
      </c>
      <c r="E222" t="s">
        <v>23</v>
      </c>
      <c r="F222" s="8"/>
      <c r="G222" s="8" t="s">
        <v>17</v>
      </c>
      <c r="H222" s="8" t="s">
        <v>160</v>
      </c>
    </row>
    <row r="223" spans="1:8" x14ac:dyDescent="0.2">
      <c r="A223" t="s">
        <v>84</v>
      </c>
      <c r="B223" s="9">
        <v>6.7299999999999999E-2</v>
      </c>
      <c r="C223" s="8" t="s">
        <v>16</v>
      </c>
      <c r="D223" t="s">
        <v>4</v>
      </c>
      <c r="E223" t="s">
        <v>9</v>
      </c>
      <c r="F223" s="8"/>
      <c r="G223" t="s">
        <v>20</v>
      </c>
      <c r="H223" t="s">
        <v>86</v>
      </c>
    </row>
    <row r="224" spans="1:8" x14ac:dyDescent="0.2">
      <c r="A224" s="8" t="s">
        <v>157</v>
      </c>
      <c r="B224" s="9">
        <v>6.7299999999999999E-2</v>
      </c>
      <c r="C224" s="8" t="s">
        <v>16</v>
      </c>
      <c r="D224" t="s">
        <v>4</v>
      </c>
      <c r="E224" s="8" t="s">
        <v>9</v>
      </c>
      <c r="F224" s="8"/>
      <c r="G224" t="s">
        <v>20</v>
      </c>
      <c r="H224" s="8" t="s">
        <v>157</v>
      </c>
    </row>
    <row r="225" spans="1:8" x14ac:dyDescent="0.2">
      <c r="A225" s="8" t="s">
        <v>162</v>
      </c>
      <c r="B225" s="9">
        <v>1.27</v>
      </c>
      <c r="C225" t="s">
        <v>18</v>
      </c>
      <c r="D225" t="s">
        <v>19</v>
      </c>
      <c r="E225" s="8" t="s">
        <v>23</v>
      </c>
      <c r="F225" s="8"/>
      <c r="G225" t="s">
        <v>20</v>
      </c>
      <c r="H225" s="8" t="s">
        <v>163</v>
      </c>
    </row>
    <row r="226" spans="1:8" x14ac:dyDescent="0.2">
      <c r="A226" s="8" t="s">
        <v>158</v>
      </c>
      <c r="B226" s="9">
        <v>1.0500000000000001E-2</v>
      </c>
      <c r="C226" s="8" t="s">
        <v>16</v>
      </c>
      <c r="D226" t="s">
        <v>4</v>
      </c>
      <c r="E226" t="s">
        <v>24</v>
      </c>
      <c r="F226" s="8"/>
      <c r="G226" t="s">
        <v>20</v>
      </c>
      <c r="H226" s="8" t="s">
        <v>158</v>
      </c>
    </row>
    <row r="227" spans="1:8" x14ac:dyDescent="0.2">
      <c r="A227" t="s">
        <v>29</v>
      </c>
      <c r="B227" s="15">
        <v>-6.7299999999999999E-2</v>
      </c>
      <c r="C227" t="s">
        <v>30</v>
      </c>
      <c r="D227" s="8"/>
      <c r="E227" t="s">
        <v>9</v>
      </c>
      <c r="F227" t="s">
        <v>39</v>
      </c>
      <c r="G227" t="s">
        <v>31</v>
      </c>
      <c r="H227" s="8"/>
    </row>
    <row r="228" spans="1:8" x14ac:dyDescent="0.2">
      <c r="A228" s="2"/>
      <c r="B228" s="2"/>
      <c r="C228" s="3"/>
      <c r="D228" s="2"/>
      <c r="E228" s="2"/>
      <c r="F228" s="2"/>
      <c r="G228" s="2"/>
      <c r="H228" s="2"/>
    </row>
    <row r="229" spans="1:8" x14ac:dyDescent="0.2">
      <c r="A229" s="1" t="s">
        <v>0</v>
      </c>
      <c r="B229" s="1" t="s">
        <v>158</v>
      </c>
      <c r="C229" s="8"/>
      <c r="D229" s="8"/>
      <c r="E229" s="8"/>
      <c r="F229" s="8"/>
      <c r="G229" s="8"/>
      <c r="H229" s="8"/>
    </row>
    <row r="230" spans="1:8" x14ac:dyDescent="0.2">
      <c r="A230" s="8" t="s">
        <v>2</v>
      </c>
      <c r="B230" t="s">
        <v>159</v>
      </c>
      <c r="C230" s="8"/>
      <c r="D230" s="8"/>
      <c r="E230" s="8"/>
      <c r="F230" s="8"/>
      <c r="G230" s="8"/>
      <c r="H230" s="8"/>
    </row>
    <row r="231" spans="1:8" x14ac:dyDescent="0.2">
      <c r="A231" s="8" t="s">
        <v>3</v>
      </c>
      <c r="B231" t="s">
        <v>4</v>
      </c>
      <c r="C231" s="8"/>
      <c r="D231" s="8"/>
      <c r="E231" s="8"/>
      <c r="F231" s="8"/>
      <c r="G231" s="8"/>
      <c r="H231" s="8"/>
    </row>
    <row r="232" spans="1:8" x14ac:dyDescent="0.2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2">
      <c r="A233" s="8" t="s">
        <v>6</v>
      </c>
      <c r="B233" t="s">
        <v>158</v>
      </c>
      <c r="C233" s="8"/>
      <c r="D233" s="8"/>
      <c r="E233" s="8"/>
      <c r="F233" s="8"/>
      <c r="G233" s="8"/>
      <c r="H233" s="8"/>
    </row>
    <row r="234" spans="1:8" x14ac:dyDescent="0.2">
      <c r="A234" s="8" t="s">
        <v>8</v>
      </c>
      <c r="B234" t="s">
        <v>24</v>
      </c>
      <c r="C234" s="8"/>
      <c r="D234" s="8"/>
      <c r="E234" s="8"/>
      <c r="F234" s="8"/>
      <c r="G234" s="8"/>
      <c r="H234" s="8"/>
    </row>
    <row r="235" spans="1:8" x14ac:dyDescent="0.2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2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2">
      <c r="A237" s="8" t="s">
        <v>158</v>
      </c>
      <c r="B237" s="9">
        <v>1</v>
      </c>
      <c r="C237" s="8" t="s">
        <v>16</v>
      </c>
      <c r="D237" t="s">
        <v>4</v>
      </c>
      <c r="E237" t="s">
        <v>24</v>
      </c>
      <c r="F237" s="8"/>
      <c r="G237" s="8" t="s">
        <v>17</v>
      </c>
      <c r="H237" s="8" t="s">
        <v>158</v>
      </c>
    </row>
    <row r="238" spans="1:8" x14ac:dyDescent="0.2">
      <c r="A238" t="s">
        <v>84</v>
      </c>
      <c r="B238" s="9">
        <v>0.35699999999999998</v>
      </c>
      <c r="C238" s="8" t="s">
        <v>16</v>
      </c>
      <c r="D238" t="s">
        <v>4</v>
      </c>
      <c r="E238" t="s">
        <v>9</v>
      </c>
      <c r="F238" s="8"/>
      <c r="G238" t="s">
        <v>20</v>
      </c>
      <c r="H238" t="s">
        <v>86</v>
      </c>
    </row>
    <row r="239" spans="1:8" x14ac:dyDescent="0.2">
      <c r="A239" s="8" t="s">
        <v>157</v>
      </c>
      <c r="B239" s="9">
        <v>0.35699999999999998</v>
      </c>
      <c r="C239" s="8" t="s">
        <v>16</v>
      </c>
      <c r="D239" t="s">
        <v>4</v>
      </c>
      <c r="E239" s="8" t="s">
        <v>9</v>
      </c>
      <c r="F239" s="8"/>
      <c r="G239" t="s">
        <v>20</v>
      </c>
      <c r="H239" s="8" t="s">
        <v>157</v>
      </c>
    </row>
    <row r="240" spans="1:8" x14ac:dyDescent="0.2">
      <c r="A240" t="s">
        <v>54</v>
      </c>
      <c r="B240" s="4">
        <v>1.06</v>
      </c>
      <c r="C240" t="s">
        <v>18</v>
      </c>
      <c r="D240" t="s">
        <v>4</v>
      </c>
      <c r="E240" t="s">
        <v>24</v>
      </c>
      <c r="G240" t="s">
        <v>20</v>
      </c>
      <c r="H240" t="s">
        <v>43</v>
      </c>
    </row>
    <row r="241" spans="1:8" x14ac:dyDescent="0.2">
      <c r="A241" s="8" t="s">
        <v>160</v>
      </c>
      <c r="B241" s="9">
        <v>1.46</v>
      </c>
      <c r="C241" s="8" t="s">
        <v>16</v>
      </c>
      <c r="D241" t="s">
        <v>4</v>
      </c>
      <c r="E241" t="s">
        <v>23</v>
      </c>
      <c r="F241" s="8"/>
      <c r="G241" t="s">
        <v>20</v>
      </c>
      <c r="H241" s="8" t="s">
        <v>160</v>
      </c>
    </row>
    <row r="242" spans="1:8" x14ac:dyDescent="0.2">
      <c r="A242" t="s">
        <v>29</v>
      </c>
      <c r="B242" s="15">
        <v>-0.36699999999999999</v>
      </c>
      <c r="C242" t="s">
        <v>30</v>
      </c>
      <c r="D242" s="8"/>
      <c r="E242" t="s">
        <v>9</v>
      </c>
      <c r="F242" t="s">
        <v>39</v>
      </c>
      <c r="G242" t="s">
        <v>31</v>
      </c>
      <c r="H242" s="8"/>
    </row>
    <row r="243" spans="1:8" x14ac:dyDescent="0.2">
      <c r="A243" s="2"/>
      <c r="B243" s="2"/>
      <c r="C243" s="3"/>
      <c r="D243" s="2"/>
      <c r="E243" s="2"/>
      <c r="F243" s="2"/>
      <c r="G243" s="2"/>
      <c r="H243" s="2"/>
    </row>
    <row r="244" spans="1:8" x14ac:dyDescent="0.2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2">
      <c r="A245" s="8" t="s">
        <v>2</v>
      </c>
      <c r="B245" t="s">
        <v>166</v>
      </c>
      <c r="C245" s="8"/>
      <c r="D245" s="8"/>
      <c r="E245" s="8"/>
      <c r="F245" s="8"/>
      <c r="G245" s="8"/>
      <c r="H245" s="8"/>
    </row>
    <row r="246" spans="1:8" x14ac:dyDescent="0.2">
      <c r="A246" s="8" t="s">
        <v>3</v>
      </c>
      <c r="B246" t="s">
        <v>4</v>
      </c>
      <c r="C246" s="8"/>
      <c r="D246" s="8"/>
      <c r="E246" s="8"/>
      <c r="F246" s="8"/>
      <c r="G246" s="8"/>
      <c r="H246" s="8"/>
    </row>
    <row r="247" spans="1:8" x14ac:dyDescent="0.2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2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2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2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2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2">
      <c r="A252" s="8" t="s">
        <v>40</v>
      </c>
      <c r="B252" s="9">
        <v>1</v>
      </c>
      <c r="C252" s="8" t="s">
        <v>16</v>
      </c>
      <c r="D252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2">
      <c r="A253" s="5" t="s">
        <v>167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168</v>
      </c>
    </row>
    <row r="254" spans="1:8" x14ac:dyDescent="0.2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2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  <row r="256" spans="1:8" x14ac:dyDescent="0.2">
      <c r="A256" s="2"/>
      <c r="B256" s="2"/>
      <c r="C256" s="3"/>
      <c r="D256" s="2"/>
      <c r="E256" s="2"/>
      <c r="F256" s="2"/>
      <c r="G256" s="2"/>
      <c r="H256" s="2"/>
    </row>
    <row r="257" spans="1:8" x14ac:dyDescent="0.2">
      <c r="A257" s="19" t="s">
        <v>0</v>
      </c>
      <c r="B257" s="19" t="s">
        <v>184</v>
      </c>
      <c r="C257" s="20"/>
      <c r="D257" s="5"/>
      <c r="E257" s="5"/>
      <c r="F257" s="5"/>
      <c r="G257" s="5"/>
      <c r="H257" s="5"/>
    </row>
    <row r="258" spans="1:8" x14ac:dyDescent="0.2">
      <c r="A258" s="19" t="s">
        <v>2</v>
      </c>
      <c r="B258" s="5" t="s">
        <v>199</v>
      </c>
      <c r="C258" s="20"/>
      <c r="D258" s="5"/>
      <c r="E258" s="5"/>
      <c r="F258" s="5"/>
      <c r="G258" s="5"/>
      <c r="H258" s="5"/>
    </row>
    <row r="259" spans="1:8" x14ac:dyDescent="0.2">
      <c r="A259" s="19" t="s">
        <v>3</v>
      </c>
      <c r="B259" s="5" t="s">
        <v>4</v>
      </c>
      <c r="C259" s="20"/>
      <c r="D259" s="5"/>
      <c r="E259" s="5"/>
      <c r="F259" s="5"/>
      <c r="G259" s="5"/>
      <c r="H259" s="5"/>
    </row>
    <row r="260" spans="1:8" x14ac:dyDescent="0.2">
      <c r="A260" s="1" t="s">
        <v>6</v>
      </c>
      <c r="B260" s="17" t="s">
        <v>185</v>
      </c>
      <c r="C260" s="20"/>
      <c r="D260" s="5"/>
      <c r="E260" s="5"/>
      <c r="F260" s="5"/>
      <c r="G260" s="5"/>
      <c r="H260" s="5"/>
    </row>
    <row r="261" spans="1:8" x14ac:dyDescent="0.2">
      <c r="A261" s="19" t="s">
        <v>5</v>
      </c>
      <c r="B261" s="7">
        <v>1</v>
      </c>
      <c r="C261" s="20"/>
      <c r="D261" s="21"/>
      <c r="E261" s="5"/>
      <c r="F261" s="5"/>
      <c r="G261" s="5"/>
      <c r="H261" s="5"/>
    </row>
    <row r="262" spans="1:8" x14ac:dyDescent="0.2">
      <c r="A262" s="19" t="s">
        <v>8</v>
      </c>
      <c r="B262" s="5" t="s">
        <v>23</v>
      </c>
      <c r="C262" s="20"/>
      <c r="D262" s="21"/>
      <c r="E262" s="5"/>
      <c r="F262" s="5"/>
      <c r="G262" s="5"/>
      <c r="H262" s="5"/>
    </row>
    <row r="263" spans="1:8" x14ac:dyDescent="0.2">
      <c r="A263" s="19" t="s">
        <v>200</v>
      </c>
      <c r="B263" s="5"/>
      <c r="C263" s="20"/>
      <c r="D263" s="21"/>
      <c r="E263" s="5"/>
      <c r="F263" s="5"/>
      <c r="G263" s="5"/>
      <c r="H263" s="5"/>
    </row>
    <row r="264" spans="1:8" x14ac:dyDescent="0.2">
      <c r="A264" s="19" t="s">
        <v>10</v>
      </c>
      <c r="B264" s="5"/>
      <c r="C264" s="20"/>
      <c r="D264" s="5"/>
      <c r="E264" s="5"/>
      <c r="F264" s="5"/>
      <c r="G264" s="5"/>
      <c r="H264" s="5"/>
    </row>
    <row r="265" spans="1:8" x14ac:dyDescent="0.2">
      <c r="A265" s="5" t="s">
        <v>11</v>
      </c>
      <c r="B265" s="20" t="s">
        <v>12</v>
      </c>
      <c r="C265" s="5" t="s">
        <v>13</v>
      </c>
      <c r="D265" s="5" t="s">
        <v>3</v>
      </c>
      <c r="E265" s="5" t="s">
        <v>8</v>
      </c>
      <c r="F265" s="5" t="s">
        <v>14</v>
      </c>
      <c r="G265" s="5" t="s">
        <v>15</v>
      </c>
      <c r="H265" s="5" t="s">
        <v>6</v>
      </c>
    </row>
    <row r="266" spans="1:8" x14ac:dyDescent="0.2">
      <c r="A266" s="17" t="s">
        <v>184</v>
      </c>
      <c r="B266" s="22">
        <v>1</v>
      </c>
      <c r="C266" s="8" t="s">
        <v>16</v>
      </c>
      <c r="D266" s="17" t="s">
        <v>4</v>
      </c>
      <c r="E266" s="5" t="s">
        <v>23</v>
      </c>
      <c r="F266" s="17"/>
      <c r="G266" s="17" t="s">
        <v>17</v>
      </c>
      <c r="H266" s="17" t="s">
        <v>185</v>
      </c>
    </row>
    <row r="267" spans="1:8" x14ac:dyDescent="0.2">
      <c r="A267" t="s">
        <v>46</v>
      </c>
      <c r="B267" s="23">
        <v>2.8998115122517001E-2</v>
      </c>
      <c r="C267" t="s">
        <v>18</v>
      </c>
      <c r="D267" t="s">
        <v>19</v>
      </c>
      <c r="E267" t="s">
        <v>21</v>
      </c>
      <c r="F267" s="8"/>
      <c r="G267" t="s">
        <v>20</v>
      </c>
      <c r="H267" t="s">
        <v>22</v>
      </c>
    </row>
    <row r="268" spans="1:8" x14ac:dyDescent="0.2">
      <c r="A268" s="17" t="s">
        <v>201</v>
      </c>
      <c r="B268" s="6">
        <v>1.1684210526315801E-3</v>
      </c>
      <c r="C268" t="s">
        <v>18</v>
      </c>
      <c r="D268" t="s">
        <v>4</v>
      </c>
      <c r="E268" s="17" t="s">
        <v>24</v>
      </c>
      <c r="F268" s="17"/>
      <c r="G268" s="17" t="s">
        <v>20</v>
      </c>
      <c r="H268" s="18" t="s">
        <v>202</v>
      </c>
    </row>
    <row r="269" spans="1:8" x14ac:dyDescent="0.2">
      <c r="A269" s="17" t="s">
        <v>203</v>
      </c>
      <c r="B269" s="6">
        <v>2.9473684210526402E-9</v>
      </c>
      <c r="C269" t="s">
        <v>18</v>
      </c>
      <c r="D269" s="17" t="s">
        <v>19</v>
      </c>
      <c r="E269" s="17" t="s">
        <v>8</v>
      </c>
      <c r="F269" s="17"/>
      <c r="G269" s="17" t="s">
        <v>20</v>
      </c>
      <c r="H269" s="18" t="s">
        <v>204</v>
      </c>
    </row>
    <row r="270" spans="1:8" x14ac:dyDescent="0.2">
      <c r="A270" s="17" t="s">
        <v>205</v>
      </c>
      <c r="B270" s="24">
        <v>5.3052631578947428E-2</v>
      </c>
      <c r="C270" s="8" t="s">
        <v>16</v>
      </c>
      <c r="D270" s="17" t="s">
        <v>4</v>
      </c>
      <c r="E270" t="s">
        <v>9</v>
      </c>
      <c r="F270" s="16"/>
      <c r="G270" t="s">
        <v>20</v>
      </c>
      <c r="H270" s="17" t="s">
        <v>205</v>
      </c>
    </row>
    <row r="271" spans="1:8" x14ac:dyDescent="0.2">
      <c r="A271" t="s">
        <v>29</v>
      </c>
      <c r="B271" s="24">
        <v>5.8947368421052686E-3</v>
      </c>
      <c r="C271" s="17" t="s">
        <v>30</v>
      </c>
      <c r="D271" s="5"/>
      <c r="E271" t="s">
        <v>9</v>
      </c>
      <c r="F271" s="25" t="s">
        <v>186</v>
      </c>
      <c r="G271" s="5" t="s">
        <v>31</v>
      </c>
    </row>
    <row r="272" spans="1:8" x14ac:dyDescent="0.2">
      <c r="A272" t="s">
        <v>100</v>
      </c>
      <c r="B272" s="15">
        <v>2.2105263157894801E-6</v>
      </c>
      <c r="C272" s="17" t="s">
        <v>30</v>
      </c>
      <c r="D272" s="17"/>
      <c r="E272" s="17" t="s">
        <v>9</v>
      </c>
      <c r="F272" s="25" t="s">
        <v>186</v>
      </c>
      <c r="G272" s="5" t="s">
        <v>31</v>
      </c>
    </row>
    <row r="273" spans="1:7" x14ac:dyDescent="0.2">
      <c r="A273" t="s">
        <v>99</v>
      </c>
      <c r="B273" s="15">
        <v>2.10526315789474E-6</v>
      </c>
      <c r="C273" s="17" t="s">
        <v>30</v>
      </c>
      <c r="D273" s="17"/>
      <c r="E273" s="17" t="s">
        <v>9</v>
      </c>
      <c r="F273" s="25" t="s">
        <v>186</v>
      </c>
      <c r="G273" s="5" t="s">
        <v>31</v>
      </c>
    </row>
    <row r="274" spans="1:7" x14ac:dyDescent="0.2">
      <c r="A274" s="18" t="s">
        <v>206</v>
      </c>
      <c r="B274" s="15">
        <v>1.05263157894737E-7</v>
      </c>
      <c r="C274" s="17" t="s">
        <v>30</v>
      </c>
      <c r="D274" s="17"/>
      <c r="E274" s="17" t="s">
        <v>9</v>
      </c>
      <c r="F274" s="17" t="s">
        <v>186</v>
      </c>
      <c r="G274" s="5" t="s">
        <v>31</v>
      </c>
    </row>
    <row r="275" spans="1:7" x14ac:dyDescent="0.2">
      <c r="A275" t="s">
        <v>37</v>
      </c>
      <c r="B275" s="15">
        <v>1.8842105263157901E-5</v>
      </c>
      <c r="C275" s="17" t="s">
        <v>30</v>
      </c>
      <c r="D275" s="17"/>
      <c r="E275" t="s">
        <v>9</v>
      </c>
      <c r="F275" s="25" t="s">
        <v>186</v>
      </c>
      <c r="G275" s="5" t="s">
        <v>31</v>
      </c>
    </row>
    <row r="276" spans="1:7" x14ac:dyDescent="0.2">
      <c r="A276" s="18" t="s">
        <v>194</v>
      </c>
      <c r="B276" s="15">
        <v>5.7894736842105305E-7</v>
      </c>
      <c r="C276" s="17" t="s">
        <v>30</v>
      </c>
      <c r="D276" s="17"/>
      <c r="E276" s="17" t="s">
        <v>9</v>
      </c>
      <c r="F276" s="25" t="s">
        <v>186</v>
      </c>
      <c r="G276" s="5" t="s">
        <v>31</v>
      </c>
    </row>
    <row r="277" spans="1:7" x14ac:dyDescent="0.2">
      <c r="A277" s="18" t="s">
        <v>104</v>
      </c>
      <c r="B277" s="15">
        <v>2.1052631578947401E-7</v>
      </c>
      <c r="C277" s="17" t="s">
        <v>30</v>
      </c>
      <c r="D277" s="17"/>
      <c r="E277" s="17" t="s">
        <v>9</v>
      </c>
      <c r="F277" s="17" t="s">
        <v>186</v>
      </c>
      <c r="G277" s="5" t="s">
        <v>31</v>
      </c>
    </row>
    <row r="278" spans="1:7" x14ac:dyDescent="0.2">
      <c r="A278" s="18" t="s">
        <v>207</v>
      </c>
      <c r="B278" s="15">
        <v>1.05263157894737E-9</v>
      </c>
      <c r="C278" s="17" t="s">
        <v>30</v>
      </c>
      <c r="D278" s="17"/>
      <c r="E278" s="17" t="s">
        <v>9</v>
      </c>
      <c r="F278" s="17" t="s">
        <v>186</v>
      </c>
      <c r="G278" s="5" t="s">
        <v>31</v>
      </c>
    </row>
    <row r="279" spans="1:7" x14ac:dyDescent="0.2">
      <c r="A279" s="18" t="s">
        <v>208</v>
      </c>
      <c r="B279" s="15">
        <v>1.5789473684210501E-7</v>
      </c>
      <c r="C279" s="17" t="s">
        <v>30</v>
      </c>
      <c r="D279" s="17"/>
      <c r="E279" s="17" t="s">
        <v>9</v>
      </c>
      <c r="F279" s="17" t="s">
        <v>186</v>
      </c>
      <c r="G279" s="5" t="s">
        <v>31</v>
      </c>
    </row>
    <row r="280" spans="1:7" x14ac:dyDescent="0.2">
      <c r="A280" s="18" t="s">
        <v>209</v>
      </c>
      <c r="B280" s="15">
        <v>4.2105263157894802E-7</v>
      </c>
      <c r="C280" s="17" t="s">
        <v>30</v>
      </c>
      <c r="D280" s="17"/>
      <c r="E280" s="17" t="s">
        <v>9</v>
      </c>
      <c r="F280" s="17" t="s">
        <v>186</v>
      </c>
      <c r="G280" s="5" t="s">
        <v>31</v>
      </c>
    </row>
    <row r="281" spans="1:7" x14ac:dyDescent="0.2">
      <c r="A281" s="18" t="s">
        <v>114</v>
      </c>
      <c r="B281" s="15">
        <v>1.0526315789473699E-11</v>
      </c>
      <c r="C281" s="17" t="s">
        <v>30</v>
      </c>
      <c r="D281" s="17"/>
      <c r="E281" s="17" t="s">
        <v>9</v>
      </c>
      <c r="F281" s="17" t="s">
        <v>186</v>
      </c>
      <c r="G281" s="5" t="s">
        <v>31</v>
      </c>
    </row>
    <row r="282" spans="1:7" x14ac:dyDescent="0.2">
      <c r="A282" s="18" t="s">
        <v>210</v>
      </c>
      <c r="B282" s="15">
        <v>7.3684210526315899E-7</v>
      </c>
      <c r="C282" s="17" t="s">
        <v>30</v>
      </c>
      <c r="D282" s="17"/>
      <c r="E282" s="17" t="s">
        <v>9</v>
      </c>
      <c r="F282" s="17" t="s">
        <v>186</v>
      </c>
      <c r="G282" s="5" t="s">
        <v>31</v>
      </c>
    </row>
    <row r="283" spans="1:7" x14ac:dyDescent="0.2">
      <c r="A283" s="18" t="s">
        <v>211</v>
      </c>
      <c r="B283" s="6">
        <v>0</v>
      </c>
      <c r="C283" s="17" t="s">
        <v>30</v>
      </c>
      <c r="E283" s="17" t="s">
        <v>9</v>
      </c>
      <c r="F283" s="17" t="s">
        <v>186</v>
      </c>
      <c r="G283" s="5" t="s">
        <v>31</v>
      </c>
    </row>
    <row r="284" spans="1:7" x14ac:dyDescent="0.2">
      <c r="A284" s="18" t="s">
        <v>195</v>
      </c>
      <c r="B284" s="15">
        <v>1.05263157894737E-7</v>
      </c>
      <c r="C284" s="17" t="s">
        <v>30</v>
      </c>
      <c r="E284" s="17" t="s">
        <v>9</v>
      </c>
      <c r="F284" s="17" t="s">
        <v>186</v>
      </c>
      <c r="G284" s="5" t="s">
        <v>31</v>
      </c>
    </row>
    <row r="285" spans="1:7" x14ac:dyDescent="0.2">
      <c r="A285" s="18" t="s">
        <v>107</v>
      </c>
      <c r="B285" s="15">
        <v>3.1578947368421103E-11</v>
      </c>
      <c r="C285" s="17" t="s">
        <v>30</v>
      </c>
      <c r="E285" s="17" t="s">
        <v>9</v>
      </c>
      <c r="F285" s="17" t="s">
        <v>186</v>
      </c>
      <c r="G285" s="5" t="s">
        <v>31</v>
      </c>
    </row>
    <row r="286" spans="1:7" x14ac:dyDescent="0.2">
      <c r="A286" s="18" t="s">
        <v>212</v>
      </c>
      <c r="B286" s="15">
        <v>1.0526315789473701E-8</v>
      </c>
      <c r="C286" s="17" t="s">
        <v>30</v>
      </c>
      <c r="E286" s="17" t="s">
        <v>9</v>
      </c>
      <c r="F286" s="17" t="s">
        <v>186</v>
      </c>
      <c r="G286" s="5" t="s">
        <v>31</v>
      </c>
    </row>
    <row r="287" spans="1:7" x14ac:dyDescent="0.2">
      <c r="A287" s="18" t="s">
        <v>213</v>
      </c>
      <c r="B287" s="15">
        <v>1.2631578947368401E-6</v>
      </c>
      <c r="C287" s="17" t="s">
        <v>30</v>
      </c>
      <c r="E287" s="17" t="s">
        <v>9</v>
      </c>
      <c r="F287" s="17" t="s">
        <v>186</v>
      </c>
      <c r="G287" s="5" t="s">
        <v>31</v>
      </c>
    </row>
    <row r="288" spans="1:7" x14ac:dyDescent="0.2">
      <c r="A288" s="18" t="s">
        <v>214</v>
      </c>
      <c r="B288" s="15">
        <v>2.1052631578947401E-7</v>
      </c>
      <c r="C288" s="17" t="s">
        <v>30</v>
      </c>
      <c r="E288" s="17" t="s">
        <v>9</v>
      </c>
      <c r="F288" s="17" t="s">
        <v>186</v>
      </c>
      <c r="G288" s="5" t="s">
        <v>31</v>
      </c>
    </row>
    <row r="289" spans="1:8" x14ac:dyDescent="0.2">
      <c r="A289" s="18" t="s">
        <v>215</v>
      </c>
      <c r="B289" s="15">
        <v>2.1052631578947401E-8</v>
      </c>
      <c r="C289" s="17" t="s">
        <v>30</v>
      </c>
      <c r="E289" s="17" t="s">
        <v>9</v>
      </c>
      <c r="F289" s="17" t="s">
        <v>186</v>
      </c>
      <c r="G289" s="5" t="s">
        <v>31</v>
      </c>
    </row>
    <row r="290" spans="1:8" x14ac:dyDescent="0.2">
      <c r="A290" s="18" t="s">
        <v>216</v>
      </c>
      <c r="B290" s="15">
        <v>2.1052631578947401E-7</v>
      </c>
      <c r="C290" s="5" t="s">
        <v>30</v>
      </c>
      <c r="E290" s="17" t="s">
        <v>9</v>
      </c>
      <c r="F290" s="17" t="s">
        <v>186</v>
      </c>
      <c r="G290" s="5" t="s">
        <v>31</v>
      </c>
    </row>
    <row r="291" spans="1:8" x14ac:dyDescent="0.2">
      <c r="A291" s="2"/>
      <c r="B291" s="2"/>
      <c r="C291" s="3"/>
      <c r="D291" s="2"/>
      <c r="E291" s="2"/>
      <c r="F291" s="2"/>
      <c r="G291" s="2"/>
      <c r="H291" s="2"/>
    </row>
    <row r="292" spans="1:8" x14ac:dyDescent="0.2">
      <c r="A292" s="19" t="s">
        <v>0</v>
      </c>
      <c r="B292" s="19" t="s">
        <v>205</v>
      </c>
      <c r="C292" s="20"/>
      <c r="D292" s="5"/>
      <c r="E292" s="5"/>
      <c r="F292" s="5"/>
      <c r="G292" s="5"/>
      <c r="H292" s="5"/>
    </row>
    <row r="293" spans="1:8" x14ac:dyDescent="0.2">
      <c r="A293" s="19" t="s">
        <v>2</v>
      </c>
      <c r="B293" s="5" t="s">
        <v>237</v>
      </c>
      <c r="C293" s="20"/>
      <c r="D293" s="5"/>
      <c r="E293" s="5"/>
      <c r="F293" s="5"/>
      <c r="G293" s="5"/>
      <c r="H293" s="5"/>
    </row>
    <row r="294" spans="1:8" x14ac:dyDescent="0.2">
      <c r="A294" s="19" t="s">
        <v>3</v>
      </c>
      <c r="B294" s="17" t="s">
        <v>4</v>
      </c>
      <c r="C294" s="20"/>
      <c r="D294" s="5"/>
      <c r="E294" s="5"/>
      <c r="F294" s="5"/>
      <c r="G294" s="5"/>
      <c r="H294" s="5"/>
    </row>
    <row r="295" spans="1:8" x14ac:dyDescent="0.2">
      <c r="A295" s="1" t="s">
        <v>6</v>
      </c>
      <c r="B295" s="5" t="s">
        <v>205</v>
      </c>
      <c r="C295" s="20"/>
      <c r="D295" s="5"/>
      <c r="E295" s="5"/>
      <c r="F295" s="5"/>
      <c r="G295" s="5"/>
      <c r="H295" s="5"/>
    </row>
    <row r="296" spans="1:8" x14ac:dyDescent="0.2">
      <c r="A296" s="19" t="s">
        <v>5</v>
      </c>
      <c r="B296" s="7">
        <v>1</v>
      </c>
      <c r="C296" s="20"/>
      <c r="D296" s="21"/>
      <c r="E296" s="5"/>
      <c r="F296" s="5"/>
      <c r="G296" s="5"/>
      <c r="H296" s="5"/>
    </row>
    <row r="297" spans="1:8" x14ac:dyDescent="0.2">
      <c r="A297" s="19" t="s">
        <v>8</v>
      </c>
      <c r="B297" s="5" t="s">
        <v>9</v>
      </c>
      <c r="C297" s="20"/>
      <c r="D297" s="21"/>
      <c r="E297" s="5"/>
      <c r="F297" s="5"/>
      <c r="G297" s="5"/>
      <c r="H297" s="5"/>
    </row>
    <row r="298" spans="1:8" x14ac:dyDescent="0.2">
      <c r="A298" s="19" t="s">
        <v>10</v>
      </c>
      <c r="B298" s="5"/>
      <c r="C298" s="20"/>
      <c r="D298" s="21"/>
      <c r="E298" s="5"/>
      <c r="F298" s="5"/>
      <c r="G298" s="5"/>
      <c r="H298" s="5"/>
    </row>
    <row r="299" spans="1:8" x14ac:dyDescent="0.2">
      <c r="A299" s="5" t="s">
        <v>11</v>
      </c>
      <c r="B299" s="20" t="s">
        <v>12</v>
      </c>
      <c r="C299" s="5" t="s">
        <v>13</v>
      </c>
      <c r="D299" s="5" t="s">
        <v>3</v>
      </c>
      <c r="E299" s="5" t="s">
        <v>8</v>
      </c>
      <c r="F299" s="5" t="s">
        <v>14</v>
      </c>
      <c r="G299" s="5" t="s">
        <v>15</v>
      </c>
      <c r="H299" s="5" t="s">
        <v>6</v>
      </c>
    </row>
    <row r="300" spans="1:8" x14ac:dyDescent="0.2">
      <c r="A300" s="17" t="s">
        <v>205</v>
      </c>
      <c r="B300" s="22">
        <v>1</v>
      </c>
      <c r="C300" s="8" t="s">
        <v>16</v>
      </c>
      <c r="D300" s="17" t="s">
        <v>4</v>
      </c>
      <c r="E300" t="s">
        <v>9</v>
      </c>
      <c r="F300" s="17"/>
      <c r="G300" s="17" t="s">
        <v>17</v>
      </c>
      <c r="H300" s="17" t="s">
        <v>205</v>
      </c>
    </row>
    <row r="301" spans="1:8" x14ac:dyDescent="0.2">
      <c r="A301" t="s">
        <v>54</v>
      </c>
      <c r="B301" s="22">
        <v>0.38400000000000001</v>
      </c>
      <c r="C301" t="s">
        <v>18</v>
      </c>
      <c r="D301" t="s">
        <v>4</v>
      </c>
      <c r="E301" t="s">
        <v>24</v>
      </c>
      <c r="F301" s="17"/>
      <c r="G301" s="17" t="s">
        <v>20</v>
      </c>
      <c r="H301" t="s">
        <v>43</v>
      </c>
    </row>
    <row r="302" spans="1:8" x14ac:dyDescent="0.2">
      <c r="A302" t="s">
        <v>224</v>
      </c>
      <c r="B302" s="15">
        <v>8.2699999999999996E-11</v>
      </c>
      <c r="C302" t="s">
        <v>18</v>
      </c>
      <c r="D302" t="s">
        <v>19</v>
      </c>
      <c r="E302" t="s">
        <v>8</v>
      </c>
      <c r="G302" s="17" t="s">
        <v>20</v>
      </c>
      <c r="H302" t="s">
        <v>225</v>
      </c>
    </row>
    <row r="303" spans="1:8" x14ac:dyDescent="0.2">
      <c r="A303" t="s">
        <v>226</v>
      </c>
      <c r="B303" s="15">
        <v>7.4400000000000002E-10</v>
      </c>
      <c r="C303" t="s">
        <v>18</v>
      </c>
      <c r="D303" t="s">
        <v>4</v>
      </c>
      <c r="E303" t="s">
        <v>8</v>
      </c>
      <c r="G303" s="17" t="s">
        <v>20</v>
      </c>
      <c r="H303" t="s">
        <v>227</v>
      </c>
    </row>
    <row r="304" spans="1:8" x14ac:dyDescent="0.2">
      <c r="A304" t="s">
        <v>228</v>
      </c>
      <c r="B304" s="15">
        <v>8.2600000000000002E-5</v>
      </c>
      <c r="C304" t="s">
        <v>18</v>
      </c>
      <c r="D304" t="s">
        <v>4</v>
      </c>
      <c r="E304" t="s">
        <v>9</v>
      </c>
      <c r="G304" s="17" t="s">
        <v>20</v>
      </c>
      <c r="H304" t="s">
        <v>229</v>
      </c>
    </row>
    <row r="305" spans="1:8" x14ac:dyDescent="0.2">
      <c r="A305" t="s">
        <v>230</v>
      </c>
      <c r="B305" s="15">
        <v>3.3099999999999999E-10</v>
      </c>
      <c r="C305" t="s">
        <v>18</v>
      </c>
      <c r="D305" t="s">
        <v>4</v>
      </c>
      <c r="E305" t="s">
        <v>8</v>
      </c>
      <c r="G305" s="17" t="s">
        <v>20</v>
      </c>
      <c r="H305" t="s">
        <v>231</v>
      </c>
    </row>
    <row r="306" spans="1:8" x14ac:dyDescent="0.2">
      <c r="A306" t="s">
        <v>232</v>
      </c>
      <c r="B306" s="15">
        <v>5.1400000000000003E-12</v>
      </c>
      <c r="C306" t="s">
        <v>18</v>
      </c>
      <c r="D306" t="s">
        <v>4</v>
      </c>
      <c r="E306" t="s">
        <v>8</v>
      </c>
      <c r="G306" s="17" t="s">
        <v>20</v>
      </c>
      <c r="H306" t="s">
        <v>233</v>
      </c>
    </row>
    <row r="307" spans="1:8" x14ac:dyDescent="0.2">
      <c r="A307" t="s">
        <v>87</v>
      </c>
      <c r="B307" s="15">
        <v>2.8400000000000002E-4</v>
      </c>
      <c r="C307" t="s">
        <v>18</v>
      </c>
      <c r="D307" t="s">
        <v>4</v>
      </c>
      <c r="E307" t="s">
        <v>9</v>
      </c>
      <c r="G307" s="17" t="s">
        <v>20</v>
      </c>
      <c r="H307" t="s">
        <v>88</v>
      </c>
    </row>
    <row r="308" spans="1:8" x14ac:dyDescent="0.2">
      <c r="A308" t="s">
        <v>234</v>
      </c>
      <c r="B308" s="15">
        <v>5.7899999999999997E-10</v>
      </c>
      <c r="C308" t="s">
        <v>18</v>
      </c>
      <c r="D308" t="s">
        <v>4</v>
      </c>
      <c r="E308" t="s">
        <v>8</v>
      </c>
      <c r="G308" s="17" t="s">
        <v>20</v>
      </c>
      <c r="H308" t="s">
        <v>235</v>
      </c>
    </row>
    <row r="309" spans="1:8" x14ac:dyDescent="0.2">
      <c r="A309" t="s">
        <v>89</v>
      </c>
      <c r="B309" s="15">
        <v>3.0400000000000002E-4</v>
      </c>
      <c r="C309" t="s">
        <v>18</v>
      </c>
      <c r="D309" t="s">
        <v>4</v>
      </c>
      <c r="E309" t="s">
        <v>9</v>
      </c>
      <c r="G309" s="17" t="s">
        <v>20</v>
      </c>
      <c r="H309" t="s">
        <v>90</v>
      </c>
    </row>
    <row r="310" spans="1:8" x14ac:dyDescent="0.2">
      <c r="A310" t="s">
        <v>94</v>
      </c>
      <c r="B310" s="15">
        <v>-2.2699999999999999E-4</v>
      </c>
      <c r="C310" t="s">
        <v>18</v>
      </c>
      <c r="D310" t="s">
        <v>236</v>
      </c>
      <c r="E310" t="s">
        <v>9</v>
      </c>
      <c r="G310" s="17" t="s">
        <v>20</v>
      </c>
      <c r="H310" t="s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80"/>
  <sheetViews>
    <sheetView tabSelected="1" topLeftCell="A46" zoomScale="160" zoomScaleNormal="160" workbookViewId="0">
      <selection activeCell="A53" sqref="A53"/>
    </sheetView>
  </sheetViews>
  <sheetFormatPr baseColWidth="10" defaultColWidth="8.832031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45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">
      <c r="A10" t="s">
        <v>46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162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163</v>
      </c>
    </row>
    <row r="12" spans="1:8" x14ac:dyDescent="0.2">
      <c r="A12" t="s">
        <v>54</v>
      </c>
      <c r="B12" s="4">
        <v>4.9231999999999998E-2</v>
      </c>
      <c r="C12" t="s">
        <v>18</v>
      </c>
      <c r="D12" t="s">
        <v>4</v>
      </c>
      <c r="E12" t="s">
        <v>24</v>
      </c>
      <c r="G12" t="s">
        <v>20</v>
      </c>
      <c r="H12" t="s">
        <v>43</v>
      </c>
    </row>
    <row r="13" spans="1:8" x14ac:dyDescent="0.2">
      <c r="A13" t="s">
        <v>179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2">
      <c r="A14" t="s">
        <v>238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2">
      <c r="A15" t="s">
        <v>239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240</v>
      </c>
    </row>
    <row r="16" spans="1:8" x14ac:dyDescent="0.2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2">
      <c r="A17" s="14" t="s">
        <v>241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242</v>
      </c>
    </row>
    <row r="18" spans="1:8" x14ac:dyDescent="0.2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243</v>
      </c>
      <c r="G18" t="s">
        <v>31</v>
      </c>
    </row>
    <row r="19" spans="1:8" x14ac:dyDescent="0.2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244</v>
      </c>
      <c r="G19" t="s">
        <v>31</v>
      </c>
    </row>
    <row r="20" spans="1:8" x14ac:dyDescent="0.2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244</v>
      </c>
      <c r="G20" t="s">
        <v>31</v>
      </c>
      <c r="H20" s="14"/>
    </row>
    <row r="21" spans="1:8" x14ac:dyDescent="0.2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243</v>
      </c>
      <c r="G21" t="s">
        <v>31</v>
      </c>
      <c r="H21" s="14"/>
    </row>
    <row r="22" spans="1:8" x14ac:dyDescent="0.2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245</v>
      </c>
      <c r="G22" t="s">
        <v>31</v>
      </c>
    </row>
    <row r="23" spans="1:8" x14ac:dyDescent="0.2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2">
      <c r="A24" s="2"/>
      <c r="B24" s="2"/>
      <c r="C24" s="3"/>
      <c r="D24" s="2"/>
      <c r="E24" s="2"/>
      <c r="F24" s="2"/>
      <c r="G24" s="2"/>
      <c r="H24" s="2"/>
    </row>
    <row r="25" spans="1:8" x14ac:dyDescent="0.2">
      <c r="A25" s="1" t="s">
        <v>0</v>
      </c>
      <c r="B25" s="1" t="s">
        <v>164</v>
      </c>
      <c r="C25" s="8"/>
      <c r="D25" s="8"/>
      <c r="E25" s="8"/>
      <c r="F25" s="8"/>
      <c r="G25" s="8"/>
      <c r="H25" s="8"/>
    </row>
    <row r="26" spans="1:8" x14ac:dyDescent="0.2">
      <c r="A26" s="8" t="s">
        <v>2</v>
      </c>
      <c r="B26" t="s">
        <v>246</v>
      </c>
      <c r="C26" s="8"/>
      <c r="D26" s="8"/>
      <c r="E26" s="8"/>
      <c r="F26" s="8"/>
      <c r="G26" s="8"/>
      <c r="H26" s="8"/>
    </row>
    <row r="27" spans="1:8" x14ac:dyDescent="0.2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2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2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2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2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2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8" x14ac:dyDescent="0.2">
      <c r="A33" t="s">
        <v>164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8" x14ac:dyDescent="0.2">
      <c r="A34" t="s">
        <v>46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8" x14ac:dyDescent="0.2">
      <c r="A35" s="17" t="s">
        <v>184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185</v>
      </c>
    </row>
    <row r="36" spans="1:8" x14ac:dyDescent="0.2">
      <c r="A36" t="s">
        <v>54</v>
      </c>
      <c r="B36" s="4">
        <v>4.9231999999999998E-2</v>
      </c>
      <c r="C36" t="s">
        <v>18</v>
      </c>
      <c r="D36" t="s">
        <v>4</v>
      </c>
      <c r="E36" t="s">
        <v>24</v>
      </c>
      <c r="G36" t="s">
        <v>20</v>
      </c>
      <c r="H36" t="s">
        <v>43</v>
      </c>
    </row>
    <row r="37" spans="1:8" x14ac:dyDescent="0.2">
      <c r="A37" t="s">
        <v>179</v>
      </c>
      <c r="B37" s="13">
        <v>3.4820000000000001E-4</v>
      </c>
      <c r="C37" t="s">
        <v>18</v>
      </c>
      <c r="D37" t="s">
        <v>4</v>
      </c>
      <c r="E37" t="s">
        <v>9</v>
      </c>
      <c r="F37" s="8"/>
      <c r="G37" t="s">
        <v>20</v>
      </c>
      <c r="H37" t="s">
        <v>25</v>
      </c>
    </row>
    <row r="38" spans="1:8" x14ac:dyDescent="0.2">
      <c r="A38" t="s">
        <v>238</v>
      </c>
      <c r="B38" s="4">
        <v>0.71728999999999998</v>
      </c>
      <c r="C38" t="s">
        <v>18</v>
      </c>
      <c r="D38" t="s">
        <v>19</v>
      </c>
      <c r="E38" t="s">
        <v>9</v>
      </c>
      <c r="G38" t="s">
        <v>20</v>
      </c>
      <c r="H38" t="s">
        <v>26</v>
      </c>
    </row>
    <row r="39" spans="1:8" x14ac:dyDescent="0.2">
      <c r="A39" t="s">
        <v>239</v>
      </c>
      <c r="B39" s="15">
        <v>2.9845513851461699E-5</v>
      </c>
      <c r="C39" t="s">
        <v>18</v>
      </c>
      <c r="D39" t="s">
        <v>4</v>
      </c>
      <c r="E39" t="s">
        <v>9</v>
      </c>
      <c r="F39" s="8"/>
      <c r="G39" t="s">
        <v>20</v>
      </c>
      <c r="H39" t="s">
        <v>240</v>
      </c>
    </row>
    <row r="40" spans="1:8" x14ac:dyDescent="0.2">
      <c r="A40" t="s">
        <v>27</v>
      </c>
      <c r="B40" s="13">
        <v>3.9794018468615601E-10</v>
      </c>
      <c r="C40" t="s">
        <v>18</v>
      </c>
      <c r="D40" t="s">
        <v>4</v>
      </c>
      <c r="E40" t="s">
        <v>8</v>
      </c>
      <c r="G40" t="s">
        <v>20</v>
      </c>
      <c r="H40" t="s">
        <v>28</v>
      </c>
    </row>
    <row r="41" spans="1:8" x14ac:dyDescent="0.2">
      <c r="A41" s="14" t="s">
        <v>241</v>
      </c>
      <c r="B41" s="13">
        <v>-1.9897009234307801E-4</v>
      </c>
      <c r="C41" t="s">
        <v>18</v>
      </c>
      <c r="D41" t="s">
        <v>19</v>
      </c>
      <c r="E41" t="s">
        <v>9</v>
      </c>
      <c r="G41" t="s">
        <v>20</v>
      </c>
      <c r="H41" t="s">
        <v>242</v>
      </c>
    </row>
    <row r="42" spans="1:8" x14ac:dyDescent="0.2">
      <c r="A42" t="s">
        <v>37</v>
      </c>
      <c r="B42" s="13">
        <v>6.9639532320077196E-4</v>
      </c>
      <c r="C42" s="17" t="s">
        <v>30</v>
      </c>
      <c r="E42" s="5" t="s">
        <v>9</v>
      </c>
      <c r="F42" s="7" t="s">
        <v>243</v>
      </c>
      <c r="G42" t="s">
        <v>31</v>
      </c>
    </row>
    <row r="43" spans="1:8" x14ac:dyDescent="0.2">
      <c r="A43" t="s">
        <v>38</v>
      </c>
      <c r="B43" s="13">
        <v>8.6020242597452001E-2</v>
      </c>
      <c r="C43" s="17" t="s">
        <v>30</v>
      </c>
      <c r="E43" s="5" t="s">
        <v>21</v>
      </c>
      <c r="F43" s="5" t="s">
        <v>244</v>
      </c>
      <c r="G43" t="s">
        <v>31</v>
      </c>
    </row>
    <row r="44" spans="1:8" x14ac:dyDescent="0.2">
      <c r="A44" t="s">
        <v>36</v>
      </c>
      <c r="B44" s="13">
        <v>1.19382055405847E-4</v>
      </c>
      <c r="C44" s="17" t="s">
        <v>30</v>
      </c>
      <c r="E44" s="5" t="s">
        <v>9</v>
      </c>
      <c r="F44" s="5" t="s">
        <v>244</v>
      </c>
      <c r="G44" t="s">
        <v>31</v>
      </c>
      <c r="H44" s="14"/>
    </row>
    <row r="45" spans="1:8" x14ac:dyDescent="0.2">
      <c r="A45" t="s">
        <v>29</v>
      </c>
      <c r="B45" s="27">
        <v>1.2889324324324325</v>
      </c>
      <c r="C45" s="17" t="s">
        <v>30</v>
      </c>
      <c r="E45" s="5" t="s">
        <v>9</v>
      </c>
      <c r="F45" s="5" t="s">
        <v>243</v>
      </c>
      <c r="G45" t="s">
        <v>31</v>
      </c>
      <c r="H45" s="14"/>
    </row>
    <row r="46" spans="1:8" x14ac:dyDescent="0.2">
      <c r="A46" t="s">
        <v>38</v>
      </c>
      <c r="B46" s="15">
        <v>5.4119865117317201E-2</v>
      </c>
      <c r="C46" s="17" t="s">
        <v>30</v>
      </c>
      <c r="E46" s="5" t="s">
        <v>21</v>
      </c>
      <c r="F46" s="17" t="s">
        <v>245</v>
      </c>
      <c r="G46" t="s">
        <v>31</v>
      </c>
    </row>
    <row r="47" spans="1:8" x14ac:dyDescent="0.2">
      <c r="A47" t="s">
        <v>32</v>
      </c>
      <c r="B47" s="4">
        <v>0.13927999999999999</v>
      </c>
      <c r="C47" s="17" t="s">
        <v>30</v>
      </c>
      <c r="E47" s="5" t="s">
        <v>21</v>
      </c>
      <c r="F47" s="17" t="s">
        <v>33</v>
      </c>
      <c r="G47" t="s">
        <v>31</v>
      </c>
    </row>
    <row r="48" spans="1:8" x14ac:dyDescent="0.2">
      <c r="A48" s="2"/>
      <c r="B48" s="2"/>
      <c r="C48" s="3"/>
      <c r="D48" s="2"/>
      <c r="E48" s="2"/>
      <c r="F48" s="2"/>
      <c r="G48" s="2"/>
      <c r="H48" s="2"/>
    </row>
    <row r="49" spans="1:8" x14ac:dyDescent="0.2">
      <c r="A49" s="1" t="s">
        <v>0</v>
      </c>
      <c r="B49" s="1" t="s">
        <v>170</v>
      </c>
      <c r="C49" s="8"/>
      <c r="D49" s="8"/>
      <c r="E49" s="8"/>
      <c r="F49" s="8"/>
      <c r="G49" s="8"/>
      <c r="H49" s="8"/>
    </row>
    <row r="50" spans="1:8" x14ac:dyDescent="0.2">
      <c r="A50" s="8" t="s">
        <v>2</v>
      </c>
      <c r="B50" t="s">
        <v>165</v>
      </c>
      <c r="C50" s="8"/>
      <c r="D50" s="8"/>
      <c r="E50" s="8"/>
      <c r="F50" s="8"/>
      <c r="G50" s="8"/>
      <c r="H50" s="8"/>
    </row>
    <row r="51" spans="1:8" x14ac:dyDescent="0.2">
      <c r="A51" s="8" t="s">
        <v>3</v>
      </c>
      <c r="B51" t="s">
        <v>4</v>
      </c>
      <c r="C51" s="8"/>
      <c r="D51" s="8"/>
      <c r="E51" s="8"/>
      <c r="F51" s="8"/>
      <c r="G51" s="8"/>
      <c r="H51" s="8"/>
    </row>
    <row r="52" spans="1:8" x14ac:dyDescent="0.2">
      <c r="A52" s="8" t="s">
        <v>5</v>
      </c>
      <c r="B52" s="8">
        <v>1</v>
      </c>
      <c r="C52" s="8"/>
      <c r="D52" s="8"/>
      <c r="E52" s="8"/>
      <c r="F52" s="8"/>
      <c r="G52" s="8"/>
      <c r="H52" s="8"/>
    </row>
    <row r="53" spans="1:8" x14ac:dyDescent="0.2">
      <c r="A53" s="8" t="s">
        <v>6</v>
      </c>
      <c r="B53" t="s">
        <v>7</v>
      </c>
      <c r="C53" s="8"/>
      <c r="D53" s="8"/>
      <c r="E53" s="8"/>
      <c r="F53" s="8"/>
      <c r="G53" s="8"/>
      <c r="H53" s="8"/>
    </row>
    <row r="54" spans="1:8" x14ac:dyDescent="0.2">
      <c r="A54" s="8" t="s">
        <v>8</v>
      </c>
      <c r="B54" t="s">
        <v>9</v>
      </c>
      <c r="C54" s="8"/>
      <c r="D54" s="8"/>
      <c r="E54" s="8"/>
      <c r="F54" s="8"/>
      <c r="G54" s="8"/>
      <c r="H54" s="8"/>
    </row>
    <row r="55" spans="1:8" x14ac:dyDescent="0.2">
      <c r="A55" s="1" t="s">
        <v>10</v>
      </c>
      <c r="B55" s="8"/>
      <c r="C55" s="8"/>
      <c r="D55" s="8"/>
      <c r="E55" s="8"/>
      <c r="F55" s="8"/>
      <c r="G55" s="8"/>
      <c r="H55" s="8"/>
    </row>
    <row r="56" spans="1:8" x14ac:dyDescent="0.2">
      <c r="A56" s="8" t="s">
        <v>11</v>
      </c>
      <c r="B56" s="8" t="s">
        <v>12</v>
      </c>
      <c r="C56" s="8" t="s">
        <v>13</v>
      </c>
      <c r="D56" s="8" t="s">
        <v>3</v>
      </c>
      <c r="E56" s="8" t="s">
        <v>8</v>
      </c>
      <c r="F56" s="8" t="s">
        <v>14</v>
      </c>
      <c r="G56" s="8" t="s">
        <v>15</v>
      </c>
      <c r="H56" s="8" t="s">
        <v>6</v>
      </c>
    </row>
    <row r="57" spans="1:8" x14ac:dyDescent="0.2">
      <c r="A57" t="s">
        <v>170</v>
      </c>
      <c r="B57" s="9">
        <v>1</v>
      </c>
      <c r="C57" s="8" t="s">
        <v>16</v>
      </c>
      <c r="D57" t="s">
        <v>4</v>
      </c>
      <c r="E57" t="s">
        <v>9</v>
      </c>
      <c r="F57" s="8"/>
      <c r="G57" s="8" t="s">
        <v>17</v>
      </c>
      <c r="H57" t="s">
        <v>7</v>
      </c>
    </row>
    <row r="58" spans="1:8" x14ac:dyDescent="0.2">
      <c r="A58" s="8" t="s">
        <v>40</v>
      </c>
      <c r="B58" s="9">
        <v>0.81499999999999995</v>
      </c>
      <c r="C58" s="8" t="s">
        <v>16</v>
      </c>
      <c r="D58" t="s">
        <v>4</v>
      </c>
      <c r="E58" s="8" t="s">
        <v>9</v>
      </c>
      <c r="F58" s="8"/>
      <c r="G58" t="s">
        <v>20</v>
      </c>
      <c r="H58" t="s">
        <v>41</v>
      </c>
    </row>
    <row r="59" spans="1:8" x14ac:dyDescent="0.2">
      <c r="A59" t="s">
        <v>77</v>
      </c>
      <c r="B59" s="13">
        <v>5.5099999999999998E-5</v>
      </c>
      <c r="C59" s="8" t="s">
        <v>16</v>
      </c>
      <c r="D59" t="s">
        <v>4</v>
      </c>
      <c r="E59" t="s">
        <v>9</v>
      </c>
      <c r="F59" s="8"/>
      <c r="G59" t="s">
        <v>20</v>
      </c>
      <c r="H59" t="s">
        <v>77</v>
      </c>
    </row>
    <row r="60" spans="1:8" x14ac:dyDescent="0.2">
      <c r="A60" t="s">
        <v>27</v>
      </c>
      <c r="B60" s="13">
        <v>3.29E-10</v>
      </c>
      <c r="C60" t="s">
        <v>18</v>
      </c>
      <c r="D60" t="s">
        <v>4</v>
      </c>
      <c r="E60" t="s">
        <v>8</v>
      </c>
      <c r="F60" s="8"/>
      <c r="G60" t="s">
        <v>20</v>
      </c>
      <c r="H60" t="s">
        <v>28</v>
      </c>
    </row>
    <row r="61" spans="1:8" x14ac:dyDescent="0.2">
      <c r="A61" t="s">
        <v>32</v>
      </c>
      <c r="B61" s="4">
        <v>0.14899999999999999</v>
      </c>
      <c r="C61" t="s">
        <v>30</v>
      </c>
      <c r="E61" t="s">
        <v>21</v>
      </c>
      <c r="F61" t="s">
        <v>33</v>
      </c>
      <c r="G61" t="s">
        <v>31</v>
      </c>
    </row>
    <row r="62" spans="1:8" x14ac:dyDescent="0.2">
      <c r="A62" t="s">
        <v>54</v>
      </c>
      <c r="B62" s="4">
        <v>0.55600000000000005</v>
      </c>
      <c r="C62" t="s">
        <v>18</v>
      </c>
      <c r="D62" t="s">
        <v>4</v>
      </c>
      <c r="E62" t="s">
        <v>24</v>
      </c>
      <c r="G62" t="s">
        <v>20</v>
      </c>
      <c r="H62" t="s">
        <v>43</v>
      </c>
    </row>
    <row r="63" spans="1:8" x14ac:dyDescent="0.2">
      <c r="A63" t="s">
        <v>34</v>
      </c>
      <c r="B63" s="15">
        <v>7.67E-4</v>
      </c>
      <c r="C63" t="s">
        <v>30</v>
      </c>
      <c r="E63" t="s">
        <v>9</v>
      </c>
      <c r="F63" t="s">
        <v>39</v>
      </c>
      <c r="G63" t="s">
        <v>31</v>
      </c>
    </row>
    <row r="64" spans="1:8" x14ac:dyDescent="0.2">
      <c r="A64" t="s">
        <v>35</v>
      </c>
      <c r="B64" s="15">
        <v>1.6299999999999999E-3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2">
      <c r="A65" t="s">
        <v>37</v>
      </c>
      <c r="B65" s="15">
        <v>1E-3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2">
      <c r="A66" t="s">
        <v>38</v>
      </c>
      <c r="B66" s="15">
        <f>47.6/1000</f>
        <v>4.7600000000000003E-2</v>
      </c>
      <c r="C66" t="s">
        <v>30</v>
      </c>
      <c r="E66" t="s">
        <v>21</v>
      </c>
      <c r="F66" t="s">
        <v>39</v>
      </c>
      <c r="G66" t="s">
        <v>31</v>
      </c>
    </row>
    <row r="67" spans="1:8" x14ac:dyDescent="0.2">
      <c r="A67" t="s">
        <v>38</v>
      </c>
      <c r="B67" s="15">
        <f>101/1000</f>
        <v>0.10100000000000001</v>
      </c>
      <c r="C67" t="s">
        <v>30</v>
      </c>
      <c r="E67" t="s">
        <v>21</v>
      </c>
      <c r="F67" t="s">
        <v>42</v>
      </c>
      <c r="G67" t="s">
        <v>31</v>
      </c>
    </row>
    <row r="68" spans="1:8" x14ac:dyDescent="0.2">
      <c r="A68" s="8" t="s">
        <v>153</v>
      </c>
      <c r="B68" s="15">
        <v>-5.5099999999999998E-5</v>
      </c>
      <c r="C68" t="s">
        <v>18</v>
      </c>
      <c r="D68" t="s">
        <v>19</v>
      </c>
      <c r="E68" t="s">
        <v>9</v>
      </c>
      <c r="G68" t="s">
        <v>20</v>
      </c>
      <c r="H68" s="8" t="s">
        <v>154</v>
      </c>
    </row>
    <row r="69" spans="1:8" x14ac:dyDescent="0.2">
      <c r="B69" s="15"/>
    </row>
    <row r="70" spans="1:8" x14ac:dyDescent="0.2">
      <c r="B70" s="15"/>
    </row>
    <row r="71" spans="1:8" x14ac:dyDescent="0.2">
      <c r="B71" s="15"/>
    </row>
    <row r="72" spans="1:8" x14ac:dyDescent="0.2">
      <c r="B72" s="15"/>
    </row>
    <row r="73" spans="1:8" x14ac:dyDescent="0.2">
      <c r="B73" s="4"/>
    </row>
    <row r="74" spans="1:8" x14ac:dyDescent="0.2">
      <c r="B74" s="15"/>
    </row>
    <row r="75" spans="1:8" x14ac:dyDescent="0.2">
      <c r="B75" s="15"/>
    </row>
    <row r="76" spans="1:8" x14ac:dyDescent="0.2">
      <c r="B76" s="15"/>
    </row>
    <row r="77" spans="1:8" x14ac:dyDescent="0.2">
      <c r="B77" s="15"/>
    </row>
    <row r="78" spans="1:8" x14ac:dyDescent="0.2">
      <c r="B78" s="15"/>
    </row>
    <row r="79" spans="1:8" x14ac:dyDescent="0.2">
      <c r="B79" s="15"/>
    </row>
    <row r="80" spans="1:8" x14ac:dyDescent="0.2">
      <c r="A80" s="8"/>
      <c r="B80" s="13"/>
      <c r="C80" s="8"/>
      <c r="D80" s="8"/>
      <c r="E80" s="8"/>
      <c r="F80" s="8"/>
      <c r="H80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34" workbookViewId="0">
      <selection activeCell="A60" sqref="A60"/>
    </sheetView>
  </sheetViews>
  <sheetFormatPr baseColWidth="10" defaultColWidth="8.832031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33.3320312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171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173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172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171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172</v>
      </c>
    </row>
    <row r="10" spans="1:8" x14ac:dyDescent="0.2">
      <c r="A10" t="s">
        <v>46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162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163</v>
      </c>
    </row>
    <row r="12" spans="1:8" x14ac:dyDescent="0.2">
      <c r="A12" t="s">
        <v>54</v>
      </c>
      <c r="B12" s="4">
        <v>7.3999999999999996E-2</v>
      </c>
      <c r="C12" t="s">
        <v>18</v>
      </c>
      <c r="D12" t="s">
        <v>4</v>
      </c>
      <c r="E12" t="s">
        <v>24</v>
      </c>
      <c r="G12" t="s">
        <v>20</v>
      </c>
      <c r="H12" t="s">
        <v>43</v>
      </c>
    </row>
    <row r="13" spans="1:8" x14ac:dyDescent="0.2">
      <c r="A13" t="s">
        <v>175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176</v>
      </c>
    </row>
    <row r="14" spans="1:8" x14ac:dyDescent="0.2">
      <c r="A14" t="s">
        <v>177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178</v>
      </c>
    </row>
    <row r="15" spans="1:8" x14ac:dyDescent="0.2">
      <c r="A15" t="s">
        <v>72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73</v>
      </c>
    </row>
    <row r="16" spans="1:8" x14ac:dyDescent="0.2">
      <c r="A16" t="s">
        <v>179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">
      <c r="A17" t="s">
        <v>48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49</v>
      </c>
    </row>
    <row r="18" spans="1:8" x14ac:dyDescent="0.2">
      <c r="A18" t="s">
        <v>180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183</v>
      </c>
    </row>
    <row r="19" spans="1:8" x14ac:dyDescent="0.2">
      <c r="A19" t="s">
        <v>181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182</v>
      </c>
    </row>
    <row r="20" spans="1:8" x14ac:dyDescent="0.2">
      <c r="A20" t="s">
        <v>99</v>
      </c>
      <c r="B20" s="13">
        <v>9.7999999999999997E-4</v>
      </c>
      <c r="C20" s="17" t="s">
        <v>30</v>
      </c>
      <c r="E20" s="17" t="s">
        <v>9</v>
      </c>
      <c r="F20" s="7" t="s">
        <v>186</v>
      </c>
      <c r="G20" t="s">
        <v>31</v>
      </c>
    </row>
    <row r="21" spans="1:8" x14ac:dyDescent="0.2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">
      <c r="A22" t="s">
        <v>187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186</v>
      </c>
      <c r="G23" t="s">
        <v>31</v>
      </c>
    </row>
    <row r="24" spans="1:8" x14ac:dyDescent="0.2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">
      <c r="A25" t="s">
        <v>188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">
      <c r="A26" t="s">
        <v>189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">
      <c r="A27" t="s">
        <v>190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">
      <c r="A28" t="s">
        <v>191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">
      <c r="A29" t="s">
        <v>189</v>
      </c>
      <c r="B29" s="15">
        <v>5.2999999999999998E-4</v>
      </c>
      <c r="C29" s="17" t="s">
        <v>30</v>
      </c>
      <c r="E29" s="17" t="s">
        <v>9</v>
      </c>
      <c r="F29" s="7" t="s">
        <v>186</v>
      </c>
      <c r="G29" t="s">
        <v>31</v>
      </c>
    </row>
    <row r="30" spans="1:8" x14ac:dyDescent="0.2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">
      <c r="A31" t="s">
        <v>192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">
      <c r="A32" t="s">
        <v>193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">
      <c r="A33" t="s">
        <v>194</v>
      </c>
      <c r="B33" s="15">
        <v>1.38E-5</v>
      </c>
      <c r="C33" s="17" t="s">
        <v>30</v>
      </c>
      <c r="E33" s="17" t="s">
        <v>9</v>
      </c>
      <c r="F33" s="7" t="s">
        <v>186</v>
      </c>
      <c r="G33" t="s">
        <v>31</v>
      </c>
    </row>
    <row r="34" spans="1:8" x14ac:dyDescent="0.2">
      <c r="A34" t="s">
        <v>195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">
      <c r="A35" t="s">
        <v>196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">
      <c r="A36" s="8" t="s">
        <v>197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">
      <c r="A37" s="8" t="s">
        <v>198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">
      <c r="A38" s="2"/>
      <c r="B38" s="2"/>
      <c r="C38" s="3"/>
      <c r="D38" s="2"/>
      <c r="E38" s="2"/>
      <c r="F38" s="2"/>
      <c r="G38" s="2"/>
      <c r="H38" s="2"/>
    </row>
    <row r="39" spans="1:8" x14ac:dyDescent="0.2">
      <c r="A39" s="1" t="s">
        <v>0</v>
      </c>
      <c r="B39" s="1" t="s">
        <v>174</v>
      </c>
      <c r="C39" s="8"/>
      <c r="D39" s="8"/>
      <c r="E39" s="8"/>
      <c r="F39" s="8"/>
      <c r="G39" s="8"/>
      <c r="H39" s="8"/>
    </row>
    <row r="40" spans="1:8" x14ac:dyDescent="0.2">
      <c r="A40" s="8" t="s">
        <v>2</v>
      </c>
      <c r="B40" t="s">
        <v>217</v>
      </c>
      <c r="C40" s="8"/>
      <c r="D40" s="8"/>
      <c r="E40" s="8"/>
      <c r="F40" s="8"/>
      <c r="G40" s="8"/>
      <c r="H40" s="8"/>
    </row>
    <row r="41" spans="1:8" x14ac:dyDescent="0.2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">
      <c r="A43" s="8" t="s">
        <v>6</v>
      </c>
      <c r="B43" t="s">
        <v>172</v>
      </c>
      <c r="C43" s="8"/>
      <c r="D43" s="8"/>
      <c r="E43" s="8"/>
      <c r="F43" s="8"/>
      <c r="G43" s="8"/>
      <c r="H43" s="8"/>
    </row>
    <row r="44" spans="1:8" x14ac:dyDescent="0.2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">
      <c r="A47" t="s">
        <v>174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172</v>
      </c>
    </row>
    <row r="48" spans="1:8" x14ac:dyDescent="0.2">
      <c r="A48" t="s">
        <v>46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">
      <c r="A49" s="17" t="s">
        <v>184</v>
      </c>
      <c r="B49" s="22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185</v>
      </c>
    </row>
    <row r="50" spans="1:8" x14ac:dyDescent="0.2">
      <c r="A50" t="s">
        <v>54</v>
      </c>
      <c r="B50" s="4">
        <v>7.3999999999999996E-2</v>
      </c>
      <c r="C50" t="s">
        <v>18</v>
      </c>
      <c r="D50" t="s">
        <v>4</v>
      </c>
      <c r="E50" t="s">
        <v>24</v>
      </c>
      <c r="G50" t="s">
        <v>20</v>
      </c>
      <c r="H50" t="s">
        <v>43</v>
      </c>
    </row>
    <row r="51" spans="1:8" x14ac:dyDescent="0.2">
      <c r="A51" t="s">
        <v>175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176</v>
      </c>
    </row>
    <row r="52" spans="1:8" x14ac:dyDescent="0.2">
      <c r="A52" t="s">
        <v>177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178</v>
      </c>
    </row>
    <row r="53" spans="1:8" x14ac:dyDescent="0.2">
      <c r="A53" t="s">
        <v>72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73</v>
      </c>
    </row>
    <row r="54" spans="1:8" x14ac:dyDescent="0.2">
      <c r="A54" t="s">
        <v>179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">
      <c r="A55" t="s">
        <v>48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49</v>
      </c>
    </row>
    <row r="56" spans="1:8" x14ac:dyDescent="0.2">
      <c r="A56" t="s">
        <v>180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183</v>
      </c>
    </row>
    <row r="57" spans="1:8" x14ac:dyDescent="0.2">
      <c r="A57" t="s">
        <v>181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182</v>
      </c>
    </row>
    <row r="58" spans="1:8" x14ac:dyDescent="0.2">
      <c r="A58" t="s">
        <v>99</v>
      </c>
      <c r="B58" s="13">
        <v>9.7999999999999997E-4</v>
      </c>
      <c r="C58" s="17" t="s">
        <v>30</v>
      </c>
      <c r="E58" s="17" t="s">
        <v>9</v>
      </c>
      <c r="F58" s="7" t="s">
        <v>186</v>
      </c>
      <c r="G58" t="s">
        <v>31</v>
      </c>
    </row>
    <row r="59" spans="1:8" x14ac:dyDescent="0.2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">
      <c r="A60" t="s">
        <v>187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186</v>
      </c>
      <c r="G61" t="s">
        <v>31</v>
      </c>
    </row>
    <row r="62" spans="1:8" x14ac:dyDescent="0.2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">
      <c r="A63" t="s">
        <v>188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">
      <c r="A64" t="s">
        <v>189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">
      <c r="A65" t="s">
        <v>190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">
      <c r="A66" t="s">
        <v>191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">
      <c r="A67" t="s">
        <v>189</v>
      </c>
      <c r="B67" s="15">
        <v>5.2999999999999998E-4</v>
      </c>
      <c r="C67" s="17" t="s">
        <v>30</v>
      </c>
      <c r="E67" s="17" t="s">
        <v>9</v>
      </c>
      <c r="F67" s="7" t="s">
        <v>186</v>
      </c>
      <c r="G67" t="s">
        <v>31</v>
      </c>
    </row>
    <row r="68" spans="1:8" x14ac:dyDescent="0.2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">
      <c r="A69" t="s">
        <v>192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">
      <c r="A70" t="s">
        <v>193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">
      <c r="A71" t="s">
        <v>194</v>
      </c>
      <c r="B71" s="15">
        <v>1.38E-5</v>
      </c>
      <c r="C71" s="17" t="s">
        <v>30</v>
      </c>
      <c r="E71" s="17" t="s">
        <v>9</v>
      </c>
      <c r="F71" s="7" t="s">
        <v>186</v>
      </c>
      <c r="G71" t="s">
        <v>31</v>
      </c>
    </row>
    <row r="72" spans="1:8" x14ac:dyDescent="0.2">
      <c r="A72" t="s">
        <v>195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">
      <c r="A73" t="s">
        <v>196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">
      <c r="A74" s="8" t="s">
        <v>197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">
      <c r="A75" s="8" t="s">
        <v>198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E16" sqref="E16"/>
    </sheetView>
  </sheetViews>
  <sheetFormatPr baseColWidth="10" defaultColWidth="8.83203125" defaultRowHeight="15" x14ac:dyDescent="0.2"/>
  <cols>
    <col min="1" max="1" width="38" bestFit="1" customWidth="1"/>
    <col min="3" max="3" width="39.33203125" bestFit="1" customWidth="1"/>
    <col min="4" max="4" width="8.1640625" bestFit="1" customWidth="1"/>
    <col min="5" max="5" width="11.5" bestFit="1" customWidth="1"/>
    <col min="6" max="6" width="20.83203125" bestFit="1" customWidth="1"/>
    <col min="7" max="7" width="13.5" bestFit="1" customWidth="1"/>
    <col min="8" max="8" width="25.6640625" bestFit="1" customWidth="1"/>
  </cols>
  <sheetData>
    <row r="1" spans="1:8" x14ac:dyDescent="0.2">
      <c r="A1" s="1" t="s">
        <v>0</v>
      </c>
      <c r="B1" s="1" t="s">
        <v>223</v>
      </c>
    </row>
    <row r="2" spans="1:8" x14ac:dyDescent="0.2">
      <c r="A2" t="s">
        <v>2</v>
      </c>
      <c r="B2" t="s">
        <v>218</v>
      </c>
    </row>
    <row r="3" spans="1:8" x14ac:dyDescent="0.2">
      <c r="A3" t="s">
        <v>3</v>
      </c>
      <c r="B3" t="s">
        <v>4</v>
      </c>
    </row>
    <row r="4" spans="1:8" x14ac:dyDescent="0.2">
      <c r="A4" t="s">
        <v>5</v>
      </c>
      <c r="B4">
        <v>1</v>
      </c>
    </row>
    <row r="5" spans="1:8" x14ac:dyDescent="0.2">
      <c r="A5" t="s">
        <v>6</v>
      </c>
      <c r="B5" t="s">
        <v>219</v>
      </c>
    </row>
    <row r="6" spans="1:8" x14ac:dyDescent="0.2">
      <c r="A6" t="s">
        <v>8</v>
      </c>
      <c r="B6" t="s">
        <v>9</v>
      </c>
    </row>
    <row r="7" spans="1:8" x14ac:dyDescent="0.2">
      <c r="A7" s="1" t="s">
        <v>10</v>
      </c>
    </row>
    <row r="8" spans="1:8" x14ac:dyDescent="0.2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2">
      <c r="A9" t="s">
        <v>223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219</v>
      </c>
    </row>
    <row r="10" spans="1:8" x14ac:dyDescent="0.2">
      <c r="A10" t="s">
        <v>171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172</v>
      </c>
    </row>
    <row r="11" spans="1:8" x14ac:dyDescent="0.2">
      <c r="A11" t="s">
        <v>54</v>
      </c>
      <c r="B11" s="4">
        <v>0.14300000000000002</v>
      </c>
      <c r="C11" s="26" t="s">
        <v>18</v>
      </c>
      <c r="D11" t="s">
        <v>4</v>
      </c>
      <c r="E11" t="s">
        <v>24</v>
      </c>
      <c r="F11" s="17"/>
      <c r="G11" t="s">
        <v>20</v>
      </c>
      <c r="H11" s="17" t="s">
        <v>43</v>
      </c>
    </row>
    <row r="12" spans="1:8" x14ac:dyDescent="0.2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2">
      <c r="A13" t="s">
        <v>220</v>
      </c>
      <c r="B13" s="4">
        <v>2.2000000000000002E-2</v>
      </c>
      <c r="C13" s="26" t="s">
        <v>18</v>
      </c>
      <c r="D13" t="s">
        <v>19</v>
      </c>
      <c r="E13" t="s">
        <v>9</v>
      </c>
      <c r="G13" t="s">
        <v>20</v>
      </c>
      <c r="H13" t="s">
        <v>221</v>
      </c>
    </row>
    <row r="14" spans="1:8" x14ac:dyDescent="0.2">
      <c r="A14" t="s">
        <v>87</v>
      </c>
      <c r="B14" s="15">
        <v>2.0789999999999999E-5</v>
      </c>
      <c r="C14" s="26" t="s">
        <v>18</v>
      </c>
      <c r="D14" s="8" t="s">
        <v>4</v>
      </c>
      <c r="E14" t="s">
        <v>9</v>
      </c>
      <c r="G14" t="s">
        <v>20</v>
      </c>
      <c r="H14" t="s">
        <v>88</v>
      </c>
    </row>
    <row r="15" spans="1:8" x14ac:dyDescent="0.2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2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2">
      <c r="A17" t="s">
        <v>222</v>
      </c>
      <c r="B17" s="4">
        <v>-1.474E-3</v>
      </c>
      <c r="C17" s="26" t="s">
        <v>18</v>
      </c>
      <c r="D17" t="s">
        <v>19</v>
      </c>
      <c r="E17" t="s">
        <v>21</v>
      </c>
      <c r="G17" t="s">
        <v>20</v>
      </c>
      <c r="H17" t="s">
        <v>119</v>
      </c>
    </row>
    <row r="18" spans="1:8" x14ac:dyDescent="0.2">
      <c r="A18" t="s">
        <v>93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2023-12-07T19:50:30Z</dcterms:modified>
</cp:coreProperties>
</file>