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898B220A-02E7-2246-9448-E531F38A62D1}" xr6:coauthVersionLast="47" xr6:coauthVersionMax="47" xr10:uidLastSave="{00000000-0000-0000-0000-000000000000}"/>
  <bookViews>
    <workbookView xWindow="0" yWindow="500" windowWidth="28800" windowHeight="17500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4" i="6" l="1"/>
  <c r="B36" i="5"/>
  <c r="B45" i="5"/>
  <c r="B126" i="6"/>
  <c r="B50" i="7"/>
  <c r="B158" i="6" l="1"/>
  <c r="B66" i="5" l="1"/>
  <c r="B67" i="5"/>
  <c r="B17" i="7"/>
  <c r="B18" i="7"/>
  <c r="B55" i="7"/>
  <c r="B56" i="7"/>
  <c r="B12" i="8"/>
</calcChain>
</file>

<file path=xl/sharedStrings.xml><?xml version="1.0" encoding="utf-8"?>
<sst xmlns="http://schemas.openxmlformats.org/spreadsheetml/2006/main" count="1304" uniqueCount="165">
  <si>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</si>
  <si>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</si>
  <si>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</si>
  <si>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</si>
  <si>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</si>
  <si>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</si>
  <si>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</si>
  <si>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</si>
  <si>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</si>
  <si>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</si>
  <si>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</si>
  <si>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</si>
  <si>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</si>
  <si>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</si>
  <si>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</si>
  <si>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</si>
  <si>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</si>
  <si>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</si>
  <si>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</si>
  <si>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</si>
  <si>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</si>
  <si>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</si>
  <si>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</si>
  <si>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</si>
  <si>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</si>
  <si>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</si>
  <si>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</si>
  <si>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</si>
  <si>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</si>
  <si>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</si>
  <si>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</si>
  <si>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</si>
  <si>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</si>
  <si>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</si>
  <si>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</si>
  <si>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</si>
  <si>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</si>
  <si>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</si>
  <si>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</si>
  <si>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</si>
  <si>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</si>
  <si>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</si>
  <si>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</si>
  <si>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</si>
  <si>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</si>
  <si>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</si>
  <si>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</si>
  <si>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</si>
  <si>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</si>
  <si>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</si>
  <si>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</si>
  <si>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</si>
  <si>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</si>
  <si>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</si>
  <si>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</si>
  <si>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</si>
  <si>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</si>
  <si>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</si>
  <si>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</si>
  <si>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</si>
  <si>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</si>
  <si>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</si>
  <si>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</si>
  <si>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</si>
  <si>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</si>
  <si>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</si>
  <si>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</si>
  <si>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</si>
  <si>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</si>
  <si>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</si>
  <si>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</si>
  <si>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</si>
  <si>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</si>
  <si>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</si>
  <si>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</si>
  <si>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</si>
  <si>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</si>
  <si>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</si>
  <si>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</si>
  <si>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</si>
  <si>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</si>
  <si>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</si>
  <si>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</si>
  <si>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</si>
  <si>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market for monoethanolamine</t>
  </si>
  <si>
    <t>monoethanolamine</t>
  </si>
  <si>
    <t>Monoethanolamine</t>
  </si>
  <si>
    <t>Methane, fossil</t>
  </si>
  <si>
    <t>Carbon monoxide, fossil</t>
  </si>
  <si>
    <t>Particulates, &lt; 2.5 um</t>
  </si>
  <si>
    <t>Mercury</t>
  </si>
  <si>
    <t>Benzo(a)pyrene</t>
  </si>
  <si>
    <t>zeolite, powder</t>
  </si>
  <si>
    <t>wastewater, average</t>
  </si>
  <si>
    <t>treatment of inert waste, inert material landfill</t>
  </si>
  <si>
    <t>inert waste, for final disposal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</si>
  <si>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</si>
  <si>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</si>
  <si>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</si>
  <si>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</si>
  <si>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</si>
  <si>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</si>
  <si>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</si>
  <si>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</si>
  <si>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</si>
  <si>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</si>
  <si>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</si>
  <si>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</si>
  <si>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</si>
  <si>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</si>
  <si>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</si>
  <si>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</si>
  <si>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</si>
  <si>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</si>
  <si>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</si>
  <si>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</si>
  <si>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</si>
  <si>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</si>
  <si>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</si>
  <si>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</si>
  <si>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</si>
  <si>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</si>
  <si>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</si>
  <si>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</si>
  <si>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</si>
  <si>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</si>
  <si>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</si>
  <si>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</si>
  <si>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</si>
  <si>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</si>
  <si>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</si>
  <si>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</si>
  <si>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</si>
  <si>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market group for electricity, low voltage</t>
  </si>
  <si>
    <t>electricity, low voltage</t>
  </si>
  <si>
    <t>industrial furnace production, natural gas</t>
  </si>
  <si>
    <t>industrial furnace, natural gas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</si>
  <si>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</si>
  <si>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</si>
  <si>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</si>
  <si>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</si>
  <si>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</si>
  <si>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</si>
  <si>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</si>
  <si>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</si>
  <si>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</si>
  <si>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</si>
  <si>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</si>
  <si>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</si>
  <si>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</si>
  <si>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</si>
  <si>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</si>
  <si>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</si>
  <si>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</si>
  <si>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</si>
  <si>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</si>
  <si>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</si>
  <si>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</si>
  <si>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</si>
  <si>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</si>
  <si>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</si>
  <si>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</si>
  <si>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</si>
  <si>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</si>
  <si>
    <t>market group for natural gas, high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</si>
</sst>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16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H158"/>
  <sheetViews>
    <sheetView tabSelected="1" topLeftCell="A112" zoomScaleNormal="100" workbookViewId="0">
      <selection activeCell="B124" sqref="B124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50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51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50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50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50</v>
      </c>
    </row>
    <row r="12" spans="1:8" x14ac:dyDescent="0.2">
      <c r="A12" t="s">
        <v>52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53</v>
      </c>
    </row>
    <row r="13" spans="1:8" x14ac:dyDescent="0.2">
      <c r="A13" t="s">
        <v>54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55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56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55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55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55</v>
      </c>
    </row>
    <row r="24" spans="1:8" x14ac:dyDescent="0.2">
      <c r="A24" t="s">
        <v>57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58</v>
      </c>
    </row>
    <row r="25" spans="1:8" x14ac:dyDescent="0.2">
      <c r="A25" t="s">
        <v>59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60</v>
      </c>
    </row>
    <row r="26" spans="1:8" x14ac:dyDescent="0.2">
      <c r="A26" t="s">
        <v>61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92</v>
      </c>
    </row>
    <row r="27" spans="1:8" x14ac:dyDescent="0.2">
      <c r="A27" t="s">
        <v>54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62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63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62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62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62</v>
      </c>
    </row>
    <row r="38" spans="1:8" x14ac:dyDescent="0.2">
      <c r="A38" t="s">
        <v>64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65</v>
      </c>
    </row>
    <row r="39" spans="1:8" x14ac:dyDescent="0.2">
      <c r="A39" t="s">
        <v>66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67</v>
      </c>
    </row>
    <row r="40" spans="1:8" x14ac:dyDescent="0.2">
      <c r="A40" t="s">
        <v>68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69</v>
      </c>
    </row>
    <row r="41" spans="1:8" x14ac:dyDescent="0.2">
      <c r="A41" t="s">
        <v>54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70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71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70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70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70</v>
      </c>
    </row>
    <row r="52" spans="1:8" x14ac:dyDescent="0.2">
      <c r="A52" t="s">
        <v>52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53</v>
      </c>
    </row>
    <row r="53" spans="1:8" x14ac:dyDescent="0.2">
      <c r="A53" t="s">
        <v>72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73</v>
      </c>
    </row>
    <row r="54" spans="1:8" x14ac:dyDescent="0.2">
      <c r="A54" t="s">
        <v>61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92</v>
      </c>
    </row>
    <row r="55" spans="1:8" x14ac:dyDescent="0.2">
      <c r="A55" t="s">
        <v>54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74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75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74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74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74</v>
      </c>
    </row>
    <row r="66" spans="1:8" x14ac:dyDescent="0.2">
      <c r="A66" t="s">
        <v>76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61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92</v>
      </c>
    </row>
    <row r="68" spans="1:8" x14ac:dyDescent="0.2">
      <c r="A68" t="s">
        <v>54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77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78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77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77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77</v>
      </c>
    </row>
    <row r="79" spans="1:8" x14ac:dyDescent="0.2">
      <c r="A79" t="s">
        <v>64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65</v>
      </c>
    </row>
    <row r="80" spans="1:8" x14ac:dyDescent="0.2">
      <c r="A80" t="s">
        <v>79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80</v>
      </c>
    </row>
    <row r="81" spans="1:8" x14ac:dyDescent="0.2">
      <c r="A81" t="s">
        <v>61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92</v>
      </c>
    </row>
    <row r="82" spans="1:8" x14ac:dyDescent="0.2">
      <c r="A82" t="s">
        <v>54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81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82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81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81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81</v>
      </c>
    </row>
    <row r="93" spans="1:8" x14ac:dyDescent="0.2">
      <c r="A93" t="s">
        <v>76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61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92</v>
      </c>
    </row>
    <row r="95" spans="1:8" x14ac:dyDescent="0.2">
      <c r="A95" t="s">
        <v>54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103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83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103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103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103</v>
      </c>
    </row>
    <row r="106" spans="1:8" x14ac:dyDescent="0.2">
      <c r="A106" t="s">
        <v>50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50</v>
      </c>
    </row>
    <row r="107" spans="1:8" x14ac:dyDescent="0.2">
      <c r="A107" t="s">
        <v>55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55</v>
      </c>
    </row>
    <row r="108" spans="1:8" x14ac:dyDescent="0.2">
      <c r="A108" t="s">
        <v>62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62</v>
      </c>
    </row>
    <row r="109" spans="1:8" x14ac:dyDescent="0.2">
      <c r="A109" t="s">
        <v>70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70</v>
      </c>
    </row>
    <row r="110" spans="1:8" x14ac:dyDescent="0.2">
      <c r="A110" t="s">
        <v>74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74</v>
      </c>
    </row>
    <row r="111" spans="1:8" x14ac:dyDescent="0.2">
      <c r="A111" t="s">
        <v>77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77</v>
      </c>
    </row>
    <row r="112" spans="1:8" x14ac:dyDescent="0.2">
      <c r="A112" t="s">
        <v>81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81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118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83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119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23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s="17" t="s">
        <v>118</v>
      </c>
      <c r="B122" s="9">
        <v>1</v>
      </c>
      <c r="C122" s="8" t="s">
        <v>16</v>
      </c>
      <c r="D122" s="17" t="s">
        <v>4</v>
      </c>
      <c r="E122" s="5" t="s">
        <v>23</v>
      </c>
      <c r="F122" s="17"/>
      <c r="G122" t="s">
        <v>17</v>
      </c>
      <c r="H122" s="17" t="s">
        <v>119</v>
      </c>
    </row>
    <row r="123" spans="1:8" x14ac:dyDescent="0.2">
      <c r="A123" s="5" t="s">
        <v>164</v>
      </c>
      <c r="B123" s="9">
        <v>2.8998115122517001E-2</v>
      </c>
      <c r="C123" t="s">
        <v>18</v>
      </c>
      <c r="D123" t="s">
        <v>4</v>
      </c>
      <c r="E123" t="s">
        <v>21</v>
      </c>
      <c r="F123" s="8"/>
      <c r="G123" t="s">
        <v>20</v>
      </c>
      <c r="H123" t="s">
        <v>22</v>
      </c>
    </row>
    <row r="124" spans="1:8" x14ac:dyDescent="0.2">
      <c r="A124" s="17" t="s">
        <v>133</v>
      </c>
      <c r="B124" s="9">
        <f>0.00116842105263158</f>
        <v>1.1684210526315801E-3</v>
      </c>
      <c r="C124" t="s">
        <v>18</v>
      </c>
      <c r="D124" t="s">
        <v>44</v>
      </c>
      <c r="E124" t="s">
        <v>24</v>
      </c>
      <c r="F124" s="8"/>
      <c r="G124" t="s">
        <v>20</v>
      </c>
      <c r="H124" t="s">
        <v>134</v>
      </c>
    </row>
    <row r="125" spans="1:8" x14ac:dyDescent="0.2">
      <c r="A125" s="17" t="s">
        <v>135</v>
      </c>
      <c r="B125" s="15">
        <v>2.9473684210526402E-9</v>
      </c>
      <c r="C125" t="s">
        <v>18</v>
      </c>
      <c r="D125" t="s">
        <v>19</v>
      </c>
      <c r="E125" t="s">
        <v>8</v>
      </c>
      <c r="F125" s="8"/>
      <c r="G125" t="s">
        <v>20</v>
      </c>
      <c r="H125" t="s">
        <v>136</v>
      </c>
    </row>
    <row r="126" spans="1:8" x14ac:dyDescent="0.2">
      <c r="A126" t="s">
        <v>29</v>
      </c>
      <c r="B126" s="9">
        <f>0.1*0.058947</f>
        <v>5.8947000000000001E-3</v>
      </c>
      <c r="C126" t="s">
        <v>30</v>
      </c>
      <c r="E126" t="s">
        <v>9</v>
      </c>
      <c r="F126" s="8" t="s">
        <v>120</v>
      </c>
      <c r="G126" t="s">
        <v>31</v>
      </c>
    </row>
    <row r="127" spans="1:8" x14ac:dyDescent="0.2">
      <c r="A127" t="s">
        <v>88</v>
      </c>
      <c r="B127" s="15">
        <v>2.2105263157894801E-6</v>
      </c>
      <c r="C127" t="s">
        <v>30</v>
      </c>
      <c r="E127" t="s">
        <v>9</v>
      </c>
      <c r="F127" s="8" t="s">
        <v>120</v>
      </c>
      <c r="G127" t="s">
        <v>31</v>
      </c>
    </row>
    <row r="128" spans="1:8" x14ac:dyDescent="0.2">
      <c r="A128" t="s">
        <v>87</v>
      </c>
      <c r="B128" s="15">
        <v>2.10526315789474E-6</v>
      </c>
      <c r="C128" t="s">
        <v>30</v>
      </c>
      <c r="E128" t="s">
        <v>9</v>
      </c>
      <c r="F128" s="8" t="s">
        <v>120</v>
      </c>
      <c r="G128" t="s">
        <v>31</v>
      </c>
    </row>
    <row r="129" spans="1:7" x14ac:dyDescent="0.2">
      <c r="A129" s="18" t="s">
        <v>137</v>
      </c>
      <c r="B129" s="15">
        <v>1.05263157894737E-7</v>
      </c>
      <c r="C129" t="s">
        <v>30</v>
      </c>
      <c r="E129" t="s">
        <v>9</v>
      </c>
      <c r="F129" t="s">
        <v>120</v>
      </c>
      <c r="G129" t="s">
        <v>31</v>
      </c>
    </row>
    <row r="130" spans="1:7" x14ac:dyDescent="0.2">
      <c r="A130" t="s">
        <v>37</v>
      </c>
      <c r="B130" s="15">
        <v>1.8842105263157901E-5</v>
      </c>
      <c r="C130" t="s">
        <v>30</v>
      </c>
      <c r="E130" t="s">
        <v>9</v>
      </c>
      <c r="F130" t="s">
        <v>120</v>
      </c>
      <c r="G130" t="s">
        <v>31</v>
      </c>
    </row>
    <row r="131" spans="1:7" x14ac:dyDescent="0.2">
      <c r="A131" s="18" t="s">
        <v>128</v>
      </c>
      <c r="B131" s="15">
        <v>5.7894736842105305E-7</v>
      </c>
      <c r="C131" t="s">
        <v>30</v>
      </c>
      <c r="E131" t="s">
        <v>9</v>
      </c>
      <c r="F131" t="s">
        <v>120</v>
      </c>
      <c r="G131" t="s">
        <v>31</v>
      </c>
    </row>
    <row r="132" spans="1:7" x14ac:dyDescent="0.2">
      <c r="A132" s="18" t="s">
        <v>89</v>
      </c>
      <c r="B132" s="15">
        <v>2.1052631578947401E-7</v>
      </c>
      <c r="C132" t="s">
        <v>30</v>
      </c>
      <c r="E132" t="s">
        <v>9</v>
      </c>
      <c r="F132" t="s">
        <v>120</v>
      </c>
      <c r="G132" t="s">
        <v>31</v>
      </c>
    </row>
    <row r="133" spans="1:7" x14ac:dyDescent="0.2">
      <c r="A133" s="18" t="s">
        <v>138</v>
      </c>
      <c r="B133" s="15">
        <v>1.05263157894737E-9</v>
      </c>
      <c r="C133" t="s">
        <v>30</v>
      </c>
      <c r="E133" t="s">
        <v>9</v>
      </c>
      <c r="F133" t="s">
        <v>120</v>
      </c>
      <c r="G133" t="s">
        <v>31</v>
      </c>
    </row>
    <row r="134" spans="1:7" x14ac:dyDescent="0.2">
      <c r="A134" s="18" t="s">
        <v>139</v>
      </c>
      <c r="B134" s="15">
        <v>1.5789473684210501E-7</v>
      </c>
      <c r="C134" t="s">
        <v>30</v>
      </c>
      <c r="E134" t="s">
        <v>9</v>
      </c>
      <c r="F134" t="s">
        <v>120</v>
      </c>
      <c r="G134" t="s">
        <v>31</v>
      </c>
    </row>
    <row r="135" spans="1:7" x14ac:dyDescent="0.2">
      <c r="A135" s="18" t="s">
        <v>140</v>
      </c>
      <c r="B135" s="15">
        <v>4.2105263157894802E-7</v>
      </c>
      <c r="C135" t="s">
        <v>30</v>
      </c>
      <c r="E135" t="s">
        <v>9</v>
      </c>
      <c r="F135" t="s">
        <v>120</v>
      </c>
      <c r="G135" t="s">
        <v>31</v>
      </c>
    </row>
    <row r="136" spans="1:7" x14ac:dyDescent="0.2">
      <c r="A136" s="18" t="s">
        <v>91</v>
      </c>
      <c r="B136" s="15">
        <v>1.0526315789473699E-11</v>
      </c>
      <c r="C136" t="s">
        <v>30</v>
      </c>
      <c r="E136" t="s">
        <v>9</v>
      </c>
      <c r="F136" t="s">
        <v>120</v>
      </c>
      <c r="G136" t="s">
        <v>31</v>
      </c>
    </row>
    <row r="137" spans="1:7" x14ac:dyDescent="0.2">
      <c r="A137" s="18" t="s">
        <v>141</v>
      </c>
      <c r="B137" s="15">
        <v>7.3684210526315899E-7</v>
      </c>
      <c r="C137" t="s">
        <v>30</v>
      </c>
      <c r="E137" t="s">
        <v>9</v>
      </c>
      <c r="F137" t="s">
        <v>120</v>
      </c>
      <c r="G137" t="s">
        <v>31</v>
      </c>
    </row>
    <row r="138" spans="1:7" x14ac:dyDescent="0.2">
      <c r="A138" s="18" t="s">
        <v>142</v>
      </c>
      <c r="B138" s="15">
        <v>0</v>
      </c>
      <c r="C138" t="s">
        <v>30</v>
      </c>
      <c r="E138" t="s">
        <v>9</v>
      </c>
      <c r="F138" t="s">
        <v>120</v>
      </c>
      <c r="G138" t="s">
        <v>31</v>
      </c>
    </row>
    <row r="139" spans="1:7" x14ac:dyDescent="0.2">
      <c r="A139" s="18" t="s">
        <v>129</v>
      </c>
      <c r="B139" s="15">
        <v>1.05263157894737E-7</v>
      </c>
      <c r="C139" t="s">
        <v>30</v>
      </c>
      <c r="E139" t="s">
        <v>9</v>
      </c>
      <c r="F139" t="s">
        <v>120</v>
      </c>
      <c r="G139" t="s">
        <v>31</v>
      </c>
    </row>
    <row r="140" spans="1:7" x14ac:dyDescent="0.2">
      <c r="A140" s="17" t="s">
        <v>90</v>
      </c>
      <c r="B140" s="15">
        <v>3.1578947368421103E-11</v>
      </c>
      <c r="C140" t="s">
        <v>30</v>
      </c>
      <c r="E140" t="s">
        <v>9</v>
      </c>
      <c r="F140" t="s">
        <v>120</v>
      </c>
      <c r="G140" t="s">
        <v>31</v>
      </c>
    </row>
    <row r="141" spans="1:7" x14ac:dyDescent="0.2">
      <c r="A141" s="18" t="s">
        <v>143</v>
      </c>
      <c r="B141" s="15">
        <v>1.0526315789473701E-8</v>
      </c>
      <c r="C141" t="s">
        <v>30</v>
      </c>
      <c r="E141" t="s">
        <v>9</v>
      </c>
      <c r="F141" t="s">
        <v>120</v>
      </c>
      <c r="G141" t="s">
        <v>31</v>
      </c>
    </row>
    <row r="142" spans="1:7" x14ac:dyDescent="0.2">
      <c r="A142" s="18" t="s">
        <v>144</v>
      </c>
      <c r="B142" s="15">
        <v>1.2631578947368401E-6</v>
      </c>
      <c r="C142" t="s">
        <v>30</v>
      </c>
      <c r="E142" t="s">
        <v>9</v>
      </c>
      <c r="F142" t="s">
        <v>120</v>
      </c>
      <c r="G142" t="s">
        <v>31</v>
      </c>
    </row>
    <row r="143" spans="1:7" x14ac:dyDescent="0.2">
      <c r="A143" s="18" t="s">
        <v>145</v>
      </c>
      <c r="B143" s="15">
        <v>2.1052631578947401E-7</v>
      </c>
      <c r="C143" t="s">
        <v>30</v>
      </c>
      <c r="E143" t="s">
        <v>9</v>
      </c>
      <c r="F143" t="s">
        <v>120</v>
      </c>
      <c r="G143" t="s">
        <v>31</v>
      </c>
    </row>
    <row r="144" spans="1:7" x14ac:dyDescent="0.2">
      <c r="A144" s="18" t="s">
        <v>146</v>
      </c>
      <c r="B144" s="15">
        <v>2.1052631578947401E-8</v>
      </c>
      <c r="C144" t="s">
        <v>30</v>
      </c>
      <c r="E144" t="s">
        <v>9</v>
      </c>
      <c r="F144" t="s">
        <v>120</v>
      </c>
      <c r="G144" t="s">
        <v>31</v>
      </c>
    </row>
    <row r="145" spans="1:8" x14ac:dyDescent="0.2">
      <c r="A145" s="18" t="s">
        <v>147</v>
      </c>
      <c r="B145" s="15">
        <v>2.1052631578947401E-7</v>
      </c>
      <c r="C145" t="s">
        <v>30</v>
      </c>
      <c r="E145" t="s">
        <v>9</v>
      </c>
      <c r="F145" t="s">
        <v>120</v>
      </c>
      <c r="G145" t="s">
        <v>31</v>
      </c>
    </row>
    <row r="146" spans="1:8" x14ac:dyDescent="0.2">
      <c r="A146" s="2"/>
      <c r="B146" s="2"/>
      <c r="C146" s="3"/>
      <c r="D146" s="2"/>
      <c r="E146" s="2"/>
      <c r="F146" s="2"/>
      <c r="G146" s="2"/>
      <c r="H146" s="2"/>
    </row>
    <row r="147" spans="1:8" x14ac:dyDescent="0.2">
      <c r="A147" s="1" t="s">
        <v>0</v>
      </c>
      <c r="B147" s="1" t="s">
        <v>40</v>
      </c>
      <c r="C147" s="8"/>
      <c r="D147" s="8"/>
      <c r="E147" s="8"/>
      <c r="F147" s="8"/>
      <c r="G147" s="8"/>
      <c r="H147" s="8"/>
    </row>
    <row r="148" spans="1:8" x14ac:dyDescent="0.2">
      <c r="A148" s="8" t="s">
        <v>2</v>
      </c>
      <c r="B148" t="s">
        <v>100</v>
      </c>
      <c r="C148" s="8"/>
      <c r="D148" s="8"/>
      <c r="E148" s="8"/>
      <c r="F148" s="8"/>
      <c r="G148" s="8"/>
      <c r="H148" s="8"/>
    </row>
    <row r="149" spans="1:8" x14ac:dyDescent="0.2">
      <c r="A149" s="8" t="s">
        <v>3</v>
      </c>
      <c r="B149" t="s">
        <v>4</v>
      </c>
      <c r="C149" s="8"/>
      <c r="D149" s="8"/>
      <c r="E149" s="8"/>
      <c r="F149" s="8"/>
      <c r="G149" s="8"/>
      <c r="H149" s="8"/>
    </row>
    <row r="150" spans="1:8" x14ac:dyDescent="0.2">
      <c r="A150" s="8" t="s">
        <v>5</v>
      </c>
      <c r="B150" s="8">
        <v>1</v>
      </c>
      <c r="C150" s="8"/>
      <c r="D150" s="8"/>
      <c r="E150" s="8"/>
      <c r="F150" s="8"/>
      <c r="G150" s="8"/>
      <c r="H150" s="8"/>
    </row>
    <row r="151" spans="1:8" x14ac:dyDescent="0.2">
      <c r="A151" s="8" t="s">
        <v>6</v>
      </c>
      <c r="B151" t="s">
        <v>41</v>
      </c>
      <c r="C151" s="8"/>
      <c r="D151" s="8"/>
      <c r="E151" s="8"/>
      <c r="F151" s="8"/>
      <c r="G151" s="8"/>
      <c r="H151" s="8"/>
    </row>
    <row r="152" spans="1:8" x14ac:dyDescent="0.2">
      <c r="A152" s="8" t="s">
        <v>8</v>
      </c>
      <c r="B152" s="8" t="s">
        <v>9</v>
      </c>
      <c r="C152" s="8"/>
      <c r="D152" s="8"/>
      <c r="E152" s="8"/>
      <c r="F152" s="8"/>
      <c r="G152" s="8"/>
      <c r="H152" s="8"/>
    </row>
    <row r="153" spans="1:8" x14ac:dyDescent="0.2">
      <c r="A153" s="1" t="s">
        <v>10</v>
      </c>
      <c r="B153" s="8"/>
      <c r="C153" s="8"/>
      <c r="D153" s="8"/>
      <c r="E153" s="8"/>
      <c r="F153" s="8"/>
      <c r="G153" s="8"/>
      <c r="H153" s="8"/>
    </row>
    <row r="154" spans="1:8" x14ac:dyDescent="0.2">
      <c r="A154" s="8" t="s">
        <v>11</v>
      </c>
      <c r="B154" s="8" t="s">
        <v>12</v>
      </c>
      <c r="C154" s="8" t="s">
        <v>13</v>
      </c>
      <c r="D154" s="8" t="s">
        <v>3</v>
      </c>
      <c r="E154" s="8" t="s">
        <v>8</v>
      </c>
      <c r="F154" s="8" t="s">
        <v>14</v>
      </c>
      <c r="G154" s="8" t="s">
        <v>15</v>
      </c>
      <c r="H154" s="8" t="s">
        <v>6</v>
      </c>
    </row>
    <row r="155" spans="1:8" x14ac:dyDescent="0.2">
      <c r="A155" s="8" t="s">
        <v>40</v>
      </c>
      <c r="B155" s="9">
        <v>1</v>
      </c>
      <c r="C155" s="8" t="s">
        <v>16</v>
      </c>
      <c r="D155" t="s">
        <v>4</v>
      </c>
      <c r="E155" s="8" t="s">
        <v>9</v>
      </c>
      <c r="F155" s="8"/>
      <c r="G155" s="8" t="s">
        <v>17</v>
      </c>
      <c r="H155" t="s">
        <v>41</v>
      </c>
    </row>
    <row r="156" spans="1:8" x14ac:dyDescent="0.2">
      <c r="A156" s="5" t="s">
        <v>101</v>
      </c>
      <c r="B156" s="6">
        <v>4.4321789115451698E-10</v>
      </c>
      <c r="C156" t="s">
        <v>18</v>
      </c>
      <c r="D156" t="s">
        <v>19</v>
      </c>
      <c r="E156" s="5" t="s">
        <v>8</v>
      </c>
      <c r="F156" s="8"/>
      <c r="G156" t="s">
        <v>20</v>
      </c>
      <c r="H156" s="7" t="s">
        <v>102</v>
      </c>
    </row>
    <row r="157" spans="1:8" x14ac:dyDescent="0.2">
      <c r="A157" s="7" t="s">
        <v>32</v>
      </c>
      <c r="B157" s="6">
        <v>4.0000000000000001E-3</v>
      </c>
      <c r="C157" t="s">
        <v>30</v>
      </c>
      <c r="D157" s="8"/>
      <c r="E157" s="5" t="s">
        <v>21</v>
      </c>
      <c r="F157" s="5" t="s">
        <v>33</v>
      </c>
      <c r="G157" t="s">
        <v>31</v>
      </c>
      <c r="H157" s="8"/>
    </row>
    <row r="158" spans="1:8" x14ac:dyDescent="0.2">
      <c r="A158" s="5" t="s">
        <v>38</v>
      </c>
      <c r="B158" s="6">
        <f>2.45/997</f>
        <v>2.4573721163490474E-3</v>
      </c>
      <c r="C158" t="s">
        <v>30</v>
      </c>
      <c r="D158" s="8"/>
      <c r="E158" s="5" t="s">
        <v>21</v>
      </c>
      <c r="F158" s="5" t="s">
        <v>42</v>
      </c>
      <c r="G158" t="s">
        <v>31</v>
      </c>
      <c r="H158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I80"/>
  <sheetViews>
    <sheetView topLeftCell="A17" zoomScaleNormal="100" workbookViewId="0">
      <selection activeCell="B36" sqref="B36"/>
    </sheetView>
  </sheetViews>
  <sheetFormatPr baseColWidth="10" defaultColWidth="8.6640625" defaultRowHeight="15" x14ac:dyDescent="0.2"/>
  <cols>
    <col min="1" max="1" width="94.664062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113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155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156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157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158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159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160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161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161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160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162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98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163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9" x14ac:dyDescent="0.2">
      <c r="A33" t="s">
        <v>98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9" x14ac:dyDescent="0.2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9" x14ac:dyDescent="0.2">
      <c r="A35" s="17" t="s">
        <v>118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119</v>
      </c>
    </row>
    <row r="36" spans="1:9" x14ac:dyDescent="0.2">
      <c r="A36" t="s">
        <v>54</v>
      </c>
      <c r="B36" s="4">
        <f>0.049232+0.146*B45/0.1*0.9</f>
        <v>0.23747564000000002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9" x14ac:dyDescent="0.2">
      <c r="A37" t="s">
        <v>113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9" x14ac:dyDescent="0.2">
      <c r="A38" t="s">
        <v>155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9" x14ac:dyDescent="0.2">
      <c r="A39" t="s">
        <v>156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157</v>
      </c>
      <c r="I39" s="4"/>
    </row>
    <row r="40" spans="1:9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9" x14ac:dyDescent="0.2">
      <c r="A41" s="14" t="s">
        <v>158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159</v>
      </c>
    </row>
    <row r="42" spans="1:9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160</v>
      </c>
      <c r="G42" t="s">
        <v>31</v>
      </c>
    </row>
    <row r="43" spans="1:9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161</v>
      </c>
      <c r="G43" t="s">
        <v>31</v>
      </c>
    </row>
    <row r="44" spans="1:9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161</v>
      </c>
      <c r="G44" t="s">
        <v>31</v>
      </c>
      <c r="H44" s="14"/>
    </row>
    <row r="45" spans="1:9" x14ac:dyDescent="0.2">
      <c r="A45" t="s">
        <v>29</v>
      </c>
      <c r="B45" s="19">
        <f>0.1*B21</f>
        <v>0.14326000000000003</v>
      </c>
      <c r="C45" s="17" t="s">
        <v>30</v>
      </c>
      <c r="E45" s="5" t="s">
        <v>9</v>
      </c>
      <c r="F45" s="5" t="s">
        <v>160</v>
      </c>
      <c r="G45" t="s">
        <v>31</v>
      </c>
    </row>
    <row r="46" spans="1:9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162</v>
      </c>
      <c r="G46" t="s">
        <v>31</v>
      </c>
    </row>
    <row r="47" spans="1:9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9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104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99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104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77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77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54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94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95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2" workbookViewId="0">
      <selection activeCell="C51" sqref="C51"/>
    </sheetView>
  </sheetViews>
  <sheetFormatPr baseColWidth="10" defaultColWidth="8.66406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105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107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106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105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106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96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97</v>
      </c>
    </row>
    <row r="12" spans="1:8" x14ac:dyDescent="0.2">
      <c r="A12" t="s">
        <v>54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109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110</v>
      </c>
    </row>
    <row r="14" spans="1:8" x14ac:dyDescent="0.2">
      <c r="A14" t="s">
        <v>111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112</v>
      </c>
    </row>
    <row r="15" spans="1:8" x14ac:dyDescent="0.2">
      <c r="A15" t="s">
        <v>72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73</v>
      </c>
    </row>
    <row r="16" spans="1:8" x14ac:dyDescent="0.2">
      <c r="A16" t="s">
        <v>113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48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49</v>
      </c>
    </row>
    <row r="18" spans="1:8" x14ac:dyDescent="0.2">
      <c r="A18" t="s">
        <v>114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117</v>
      </c>
    </row>
    <row r="19" spans="1:8" x14ac:dyDescent="0.2">
      <c r="A19" t="s">
        <v>115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116</v>
      </c>
    </row>
    <row r="20" spans="1:8" x14ac:dyDescent="0.2">
      <c r="A20" t="s">
        <v>87</v>
      </c>
      <c r="B20" s="13">
        <v>9.7999999999999997E-4</v>
      </c>
      <c r="C20" s="17" t="s">
        <v>30</v>
      </c>
      <c r="E20" s="17" t="s">
        <v>9</v>
      </c>
      <c r="F20" s="7" t="s">
        <v>120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121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120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122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123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124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125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123</v>
      </c>
      <c r="B29" s="15">
        <v>5.2999999999999998E-4</v>
      </c>
      <c r="C29" s="17" t="s">
        <v>30</v>
      </c>
      <c r="E29" s="17" t="s">
        <v>9</v>
      </c>
      <c r="F29" s="7" t="s">
        <v>120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126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127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128</v>
      </c>
      <c r="B33" s="15">
        <v>1.38E-5</v>
      </c>
      <c r="C33" s="17" t="s">
        <v>30</v>
      </c>
      <c r="E33" s="17" t="s">
        <v>9</v>
      </c>
      <c r="F33" s="7" t="s">
        <v>120</v>
      </c>
      <c r="G33" t="s">
        <v>31</v>
      </c>
    </row>
    <row r="34" spans="1:8" x14ac:dyDescent="0.2">
      <c r="A34" t="s">
        <v>129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130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131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132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108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148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106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108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106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118</v>
      </c>
      <c r="B49" s="19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119</v>
      </c>
    </row>
    <row r="50" spans="1:8" x14ac:dyDescent="0.2">
      <c r="A50" t="s">
        <v>54</v>
      </c>
      <c r="B50" s="4">
        <f>0.074</f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109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110</v>
      </c>
    </row>
    <row r="52" spans="1:8" x14ac:dyDescent="0.2">
      <c r="A52" t="s">
        <v>111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112</v>
      </c>
    </row>
    <row r="53" spans="1:8" x14ac:dyDescent="0.2">
      <c r="A53" t="s">
        <v>72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73</v>
      </c>
    </row>
    <row r="54" spans="1:8" x14ac:dyDescent="0.2">
      <c r="A54" t="s">
        <v>113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48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49</v>
      </c>
    </row>
    <row r="56" spans="1:8" x14ac:dyDescent="0.2">
      <c r="A56" t="s">
        <v>114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117</v>
      </c>
    </row>
    <row r="57" spans="1:8" x14ac:dyDescent="0.2">
      <c r="A57" t="s">
        <v>115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116</v>
      </c>
    </row>
    <row r="58" spans="1:8" x14ac:dyDescent="0.2">
      <c r="A58" t="s">
        <v>87</v>
      </c>
      <c r="B58" s="13">
        <v>9.7999999999999997E-4</v>
      </c>
      <c r="C58" s="17" t="s">
        <v>30</v>
      </c>
      <c r="E58" s="17" t="s">
        <v>9</v>
      </c>
      <c r="F58" s="7" t="s">
        <v>120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121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120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122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123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124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125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123</v>
      </c>
      <c r="B67" s="15">
        <v>5.2999999999999998E-4</v>
      </c>
      <c r="C67" s="17" t="s">
        <v>30</v>
      </c>
      <c r="E67" s="17" t="s">
        <v>9</v>
      </c>
      <c r="F67" s="7" t="s">
        <v>120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126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127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128</v>
      </c>
      <c r="B71" s="15">
        <v>1.38E-5</v>
      </c>
      <c r="C71" s="17" t="s">
        <v>30</v>
      </c>
      <c r="E71" s="17" t="s">
        <v>9</v>
      </c>
      <c r="F71" s="7" t="s">
        <v>120</v>
      </c>
      <c r="G71" t="s">
        <v>31</v>
      </c>
    </row>
    <row r="72" spans="1:8" x14ac:dyDescent="0.2">
      <c r="A72" t="s">
        <v>129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130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131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132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30" sqref="C30"/>
    </sheetView>
  </sheetViews>
  <sheetFormatPr baseColWidth="10" defaultColWidth="8.66406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66406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154</v>
      </c>
    </row>
    <row r="2" spans="1:8" x14ac:dyDescent="0.2">
      <c r="A2" t="s">
        <v>2</v>
      </c>
      <c r="B2" t="s">
        <v>149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150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154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150</v>
      </c>
    </row>
    <row r="10" spans="1:8" x14ac:dyDescent="0.2">
      <c r="A10" t="s">
        <v>105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106</v>
      </c>
    </row>
    <row r="11" spans="1:8" x14ac:dyDescent="0.2">
      <c r="A11" t="s">
        <v>54</v>
      </c>
      <c r="B11" s="4">
        <v>0.14300000000000002</v>
      </c>
      <c r="C11" s="20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151</v>
      </c>
      <c r="B13" s="4">
        <v>2.2000000000000002E-2</v>
      </c>
      <c r="C13" s="20" t="s">
        <v>18</v>
      </c>
      <c r="D13" t="s">
        <v>19</v>
      </c>
      <c r="E13" t="s">
        <v>9</v>
      </c>
      <c r="G13" t="s">
        <v>20</v>
      </c>
      <c r="H13" t="s">
        <v>152</v>
      </c>
    </row>
    <row r="14" spans="1:8" x14ac:dyDescent="0.2">
      <c r="A14" t="s">
        <v>84</v>
      </c>
      <c r="B14" s="15">
        <v>2.0789999999999999E-5</v>
      </c>
      <c r="C14" s="20" t="s">
        <v>18</v>
      </c>
      <c r="D14" s="8" t="s">
        <v>4</v>
      </c>
      <c r="E14" t="s">
        <v>9</v>
      </c>
      <c r="G14" t="s">
        <v>20</v>
      </c>
      <c r="H14" t="s">
        <v>85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153</v>
      </c>
      <c r="B17" s="4">
        <v>-1.474E-3</v>
      </c>
      <c r="C17" s="20" t="s">
        <v>18</v>
      </c>
      <c r="D17" t="s">
        <v>19</v>
      </c>
      <c r="E17" t="s">
        <v>21</v>
      </c>
      <c r="G17" t="s">
        <v>20</v>
      </c>
      <c r="H17" t="s">
        <v>93</v>
      </c>
    </row>
    <row r="18" spans="1:8" x14ac:dyDescent="0.2">
      <c r="A18" t="s">
        <v>86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2023-12-19T14:24:07Z</dcterms:modified>
</cp:coreProperties>
</file>