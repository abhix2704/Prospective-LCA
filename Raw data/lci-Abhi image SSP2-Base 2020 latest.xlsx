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aw data\"/>
    </mc:Choice>
  </mc:AlternateContent>
  <xr:revisionPtr revIDLastSave="0" documentId="13_ncr:1_{A917FF2B-A6EC-4384-9790-E3D110C37661}" xr6:coauthVersionLast="36" xr6:coauthVersionMax="47" xr10:uidLastSave="{00000000-0000-0000-0000-000000000000}"/>
  <bookViews>
    <workbookView xWindow="0" yWindow="510" windowWidth="28800" windowHeight="17490" activeTab="3" xr2:uid="{79F87D26-5407-4579-9D8D-FA563FE5FD90}"/>
  </bookViews>
  <sheets>
    <sheet name="Utilities" sheetId="6" r:id="rId1"/>
    <sheet name="Carbon dioxide capture" sheetId="9" r:id="rId2"/>
    <sheet name="Ammonia" sheetId="5" r:id="rId3"/>
    <sheet name="Methanol" sheetId="7" r:id="rId4"/>
    <sheet name="Ethylene" sheetId="8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0" i="7" l="1"/>
  <c r="B159" i="6" l="1"/>
  <c r="B36" i="5" l="1"/>
  <c r="B37" i="5" s="1"/>
  <c r="B67" i="5"/>
  <c r="B68" i="5"/>
  <c r="B17" i="7"/>
  <c r="B18" i="7"/>
  <c r="B55" i="7"/>
  <c r="B56" i="7"/>
  <c r="B12" i="8"/>
  <c r="B46" i="5" l="1"/>
</calcChain>
</file>

<file path=xl/sharedStrings.xml><?xml version="1.0" encoding="utf-8"?>
<sst xmlns="http://schemas.openxmlformats.org/spreadsheetml/2006/main" count="1844" uniqueCount="265">
  <si>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</si>
  <si>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</si>
  <si>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</si>
  <si>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</si>
  <si>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</si>
  <si>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</si>
  <si>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</si>
  <si>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</si>
  <si>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</si>
  <si>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</si>
  <si>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</si>
  <si>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</si>
  <si>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</si>
  <si>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</si>
  <si>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</si>
  <si>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</si>
  <si>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</si>
  <si>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</si>
  <si>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</si>
  <si>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</si>
  <si>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</si>
  <si>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</si>
  <si>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</si>
  <si>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</si>
  <si>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</si>
  <si>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</si>
  <si>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</si>
  <si>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</si>
  <si>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</si>
  <si>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</si>
  <si>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</si>
  <si>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</si>
  <si>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</si>
  <si>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</si>
  <si>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</si>
  <si>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</si>
  <si>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</si>
  <si>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</si>
  <si>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</si>
  <si>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</si>
  <si>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</si>
  <si>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</si>
  <si>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</si>
  <si>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</si>
  <si>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</si>
  <si>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</si>
  <si>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</si>
  <si>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</si>
  <si>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</si>
  <si>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</si>
  <si>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</si>
  <si>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</si>
  <si>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</si>
  <si>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</si>
  <si>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</si>
  <si>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</si>
  <si>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</si>
  <si>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</si>
  <si>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</si>
  <si>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</si>
  <si>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</si>
  <si>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</si>
  <si>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</si>
  <si>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</si>
  <si>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</si>
  <si>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</si>
  <si>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</si>
  <si>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</si>
  <si>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</si>
  <si>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</si>
  <si>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</si>
  <si>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</si>
  <si>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</si>
  <si>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</si>
  <si>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</si>
  <si>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</si>
  <si>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</si>
  <si>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</si>
  <si>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</si>
  <si>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</si>
  <si>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</si>
  <si>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</si>
  <si>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</si>
  <si>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</si>
  <si>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</si>
  <si>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</si>
  <si>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</si>
  <si>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</si>
  <si>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Monoethanolamine</t>
  </si>
  <si>
    <t>treatment of spent solvent mixture, hazardous waste incineration</t>
  </si>
  <si>
    <t>spent solvent mixture</t>
  </si>
  <si>
    <t>Methane, fossil</t>
  </si>
  <si>
    <t>Carbon monoxide, fossil</t>
  </si>
  <si>
    <t>Particulates, &lt; 2.5 um</t>
  </si>
  <si>
    <t>Mercury</t>
  </si>
  <si>
    <t>Benzo(a)pyrene</t>
  </si>
  <si>
    <t>zeolite, powder</t>
  </si>
  <si>
    <t>wastewater, average</t>
  </si>
  <si>
    <t>Occupation, construction site</t>
  </si>
  <si>
    <t>square meter-year</t>
  </si>
  <si>
    <t>natural resource::land</t>
  </si>
  <si>
    <t>Transformation, from forest, unspecified</t>
  </si>
  <si>
    <t>square meter</t>
  </si>
  <si>
    <t>Transformation, to heterogeneous, agricultural</t>
  </si>
  <si>
    <t>diesel, burned in building machine</t>
  </si>
  <si>
    <t>drawing of pipe, steel</t>
  </si>
  <si>
    <t>ton kilometer</t>
  </si>
  <si>
    <t>meter</t>
  </si>
  <si>
    <t>steel, low-alloyed</t>
  </si>
  <si>
    <t>treatment of inert waste, inert material landfill</t>
  </si>
  <si>
    <t>inert waste, for final disposal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</si>
  <si>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</si>
  <si>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</si>
  <si>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</si>
  <si>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</si>
  <si>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</si>
  <si>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</si>
  <si>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</si>
  <si>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</si>
  <si>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</si>
  <si>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</si>
  <si>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</si>
  <si>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</si>
  <si>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</si>
  <si>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</si>
  <si>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</si>
  <si>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</si>
  <si>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</si>
  <si>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</si>
  <si>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</si>
  <si>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</si>
  <si>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</si>
  <si>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</si>
  <si>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</si>
  <si>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</si>
  <si>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</si>
  <si>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</si>
  <si>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</si>
  <si>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</si>
  <si>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</si>
  <si>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</si>
  <si>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</si>
  <si>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</si>
  <si>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</si>
  <si>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</si>
  <si>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</si>
  <si>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</si>
  <si>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</si>
  <si>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</si>
  <si>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</si>
  <si>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</si>
  <si>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</si>
  <si>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</si>
  <si>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</si>
  <si>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</si>
  <si>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</si>
  <si>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</si>
  <si>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</si>
  <si>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</si>
  <si>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</si>
  <si>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</si>
  <si>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</si>
  <si>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</si>
  <si>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</si>
  <si>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</si>
  <si>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</si>
  <si>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</si>
  <si>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</si>
  <si>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</si>
  <si>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</si>
  <si>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</si>
  <si>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</si>
  <si>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</si>
  <si>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</si>
  <si>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</si>
  <si>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</si>
  <si>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</si>
  <si>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</si>
  <si>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</si>
  <si>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</si>
  <si>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</si>
  <si>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</si>
  <si>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</si>
  <si>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</si>
  <si>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</si>
  <si>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</si>
  <si>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</si>
  <si>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</si>
  <si>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</si>
  <si>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</si>
  <si>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</si>
  <si>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</si>
  <si>
    <t>carbon dioxide capture, chemical absorption, with transport and storage, 200 km pipeline sotage 1000m</t>
  </si>
  <si>
    <t>This is the activity for post-combustion CO2 capture using chemical absorption with monoethanolamine (MEA).The electricity consumption includes the compresison of CO2 to 110 bar for pipeline transport. Inventory for transport and injection in a saline aquifer included as input.</t>
  </si>
  <si>
    <t>Volkart et al. (2013): Life cycle assessment of carbon capture and storage in power generation and industry in Europe. International Journal of Greenhouse Gas Control 16, 91–106</t>
  </si>
  <si>
    <t>carbon dioxide transport and storage, 200 km pipeline, storage 1000m</t>
  </si>
  <si>
    <t>market group for electricity, medium voltage</t>
  </si>
  <si>
    <t>electricity, medium voltage</t>
  </si>
  <si>
    <t>This is the activity for the transport and injection of CO2 in a saline aquifer. The pipeline is assumed to have a length of 200 km. Supercritical conditions are required to safely and permanently store CO2 in geological storage sites, that are achieved at a minimum depth of 1000 m. CO2 leakage during transport was considered negligible and omitted. Further details can be found in Volkart et al. (2013): Life cycle assessment of carbon capture and storage in power generation and industry in Europe. International Journal of Greenhouse Gas Control 16, 91–106</t>
  </si>
  <si>
    <t>Inventory from CARMA database as implemented by Antonini et al. (2020): Hydrogen production from natural gas and biomethane with carbon capture and storage – A techno-environmental analysis. Sustainable Energy Fuels, 4, 2967</t>
  </si>
  <si>
    <t xml:space="preserve">gas turbine, 10MW electrical </t>
  </si>
  <si>
    <t>pipeline for carbon dioxide transport, supercritical, 200km w/o recompression</t>
  </si>
  <si>
    <t>kilometer</t>
  </si>
  <si>
    <t>drilling, deep borehole/m</t>
  </si>
  <si>
    <t>This is the activity for the infrastructure-related inventory for 1 km of pipeline for carbon dioxide transport. Further details can be found in Volkart et al. (2013): Life cycle assessment of carbon capture and storage in power generation and industry in Europe. International Journal of Greenhouse Gas Control 16, 91–106</t>
  </si>
  <si>
    <t>gravel and sand quarry operation</t>
  </si>
  <si>
    <t>sand</t>
  </si>
  <si>
    <t>market for diesel, burned in building machine</t>
  </si>
  <si>
    <t>market for steel, low-alloyed</t>
  </si>
  <si>
    <t>market for stone wool, packed</t>
  </si>
  <si>
    <t>stone wool, packed</t>
  </si>
  <si>
    <t>market for transport, freight train</t>
  </si>
  <si>
    <t>transport, freight train</t>
  </si>
  <si>
    <t>market for transport, freight, lorry, unspecified</t>
  </si>
  <si>
    <t xml:space="preserve">transport, freight, lorry, unspecified </t>
  </si>
  <si>
    <t>transport, helicopter</t>
  </si>
  <si>
    <t>hour</t>
  </si>
  <si>
    <t>transport, helicopter, LTO cycle</t>
  </si>
  <si>
    <t>treatment of scrap steel, inert material landfill</t>
  </si>
  <si>
    <t>scrap steel</t>
  </si>
  <si>
    <t>treatment of waste mineral wool, inert material landfill</t>
  </si>
  <si>
    <t>waste mineral wool, for final disposal</t>
  </si>
  <si>
    <t>Water, unspecified natural origin</t>
  </si>
  <si>
    <t>This is the activity for the infrastructure-related inventory for 1 meter of drilling. Further details can be found in Volkart et al. (2013): Life cycle assessment of carbon capture and storage in power generation and industry in Europe. International Journal of Greenhouse Gas Control 16, 91–106</t>
  </si>
  <si>
    <t>activated bentonite production</t>
  </si>
  <si>
    <t>activated bentonite</t>
  </si>
  <si>
    <t>barite production</t>
  </si>
  <si>
    <t>barite</t>
  </si>
  <si>
    <t>cement production, Portland</t>
  </si>
  <si>
    <t>cement, Portland</t>
  </si>
  <si>
    <t>diesel, burned in diesel-electric generating set, 18.5kW</t>
  </si>
  <si>
    <t>lignite mine operation</t>
  </si>
  <si>
    <t>lignite</t>
  </si>
  <si>
    <t>market for chemical, organic</t>
  </si>
  <si>
    <t>chemical, organic</t>
  </si>
  <si>
    <t>market for chemical, inorganic</t>
  </si>
  <si>
    <t>chemical, inorganic</t>
  </si>
  <si>
    <t>market for lubricating oil</t>
  </si>
  <si>
    <t>lubricating oil</t>
  </si>
  <si>
    <t>treatment of drilling waste, landfarming</t>
  </si>
  <si>
    <t>drilling waste</t>
  </si>
  <si>
    <t>treatment of drilling waste, residual material landfill</t>
  </si>
  <si>
    <t>treatment of hazardous waste, hazardous waste incineration</t>
  </si>
  <si>
    <t>hazardous waste, for incineration</t>
  </si>
  <si>
    <t>Boron</t>
  </si>
  <si>
    <t>Fluoride</t>
  </si>
  <si>
    <t>Hydrocarbons, aromatic</t>
  </si>
  <si>
    <t>Magnesium</t>
  </si>
  <si>
    <t>Methane, dichloro-, HCC-30</t>
  </si>
  <si>
    <t>Silicon</t>
  </si>
  <si>
    <t>Strontium</t>
  </si>
  <si>
    <t>Sulfur</t>
  </si>
  <si>
    <t>Water, well, in ground</t>
  </si>
  <si>
    <t>market group for natural gas, high pressure</t>
  </si>
  <si>
    <t>Aluminium</t>
  </si>
  <si>
    <t>Arsenic, ion</t>
  </si>
  <si>
    <t>Barium</t>
  </si>
  <si>
    <t>Iron, ion</t>
  </si>
  <si>
    <t>Manganese</t>
  </si>
  <si>
    <t>Particulates, &gt; 10 um</t>
  </si>
  <si>
    <t>Calcium, ion</t>
  </si>
  <si>
    <t>Chromium, ion</t>
  </si>
  <si>
    <t>Potassium, ion</t>
  </si>
  <si>
    <t>Sodium, ion</t>
  </si>
  <si>
    <t>Zinc, 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</si>
</sst>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  <xf numFmtId="0" fontId="0" fillId="0" borderId="0" xfId="0" applyFont="1"/>
    <xf numFmtId="11" fontId="4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H159"/>
  <sheetViews>
    <sheetView topLeftCell="A88" zoomScaleNormal="100" workbookViewId="0">
      <selection activeCell="J95" sqref="J95"/>
    </sheetView>
  </sheetViews>
  <sheetFormatPr defaultColWidth="8.7109375" defaultRowHeight="15" x14ac:dyDescent="0.25"/>
  <cols>
    <col min="1" max="1" width="70.42578125" bestFit="1" customWidth="1"/>
    <col min="2" max="2" width="19.7109375" customWidth="1"/>
    <col min="3" max="3" width="38.28515625" bestFit="1" customWidth="1"/>
    <col min="4" max="4" width="7.7109375" bestFit="1" customWidth="1"/>
    <col min="5" max="5" width="11.7109375" bestFit="1" customWidth="1"/>
    <col min="6" max="6" width="9.42578125" bestFit="1" customWidth="1"/>
    <col min="7" max="7" width="12.140625" bestFit="1" customWidth="1"/>
    <col min="8" max="8" width="25.140625" bestFit="1" customWidth="1"/>
  </cols>
  <sheetData>
    <row r="1" spans="1:8" s="8" customFormat="1" x14ac:dyDescent="0.25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5">
      <c r="A2" s="2"/>
      <c r="B2" s="2"/>
      <c r="C2" s="3"/>
      <c r="D2" s="2"/>
      <c r="E2" s="2"/>
      <c r="F2" s="2"/>
      <c r="G2" s="2"/>
      <c r="H2" s="2"/>
    </row>
    <row r="3" spans="1:8" x14ac:dyDescent="0.25">
      <c r="A3" s="1" t="s">
        <v>0</v>
      </c>
      <c r="B3" s="1" t="s">
        <v>50</v>
      </c>
      <c r="C3" s="8"/>
      <c r="D3" s="8"/>
      <c r="E3" s="8"/>
      <c r="F3" s="8"/>
      <c r="G3" s="8"/>
      <c r="H3" s="8"/>
    </row>
    <row r="4" spans="1:8" x14ac:dyDescent="0.25">
      <c r="A4" s="8" t="s">
        <v>2</v>
      </c>
      <c r="B4" t="s">
        <v>51</v>
      </c>
      <c r="C4" s="8"/>
      <c r="D4" s="8"/>
      <c r="E4" s="8"/>
      <c r="F4" s="8"/>
      <c r="G4" s="8"/>
      <c r="H4" s="8"/>
    </row>
    <row r="5" spans="1:8" x14ac:dyDescent="0.25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5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5">
      <c r="A7" s="8" t="s">
        <v>6</v>
      </c>
      <c r="B7" t="s">
        <v>50</v>
      </c>
      <c r="C7" s="8"/>
      <c r="D7" s="8"/>
      <c r="E7" s="8"/>
      <c r="F7" s="8"/>
      <c r="G7" s="8"/>
      <c r="H7" s="8"/>
    </row>
    <row r="8" spans="1:8" x14ac:dyDescent="0.25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5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5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5">
      <c r="A11" t="s">
        <v>50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50</v>
      </c>
    </row>
    <row r="12" spans="1:8" x14ac:dyDescent="0.25">
      <c r="A12" t="s">
        <v>52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53</v>
      </c>
    </row>
    <row r="13" spans="1:8" x14ac:dyDescent="0.25">
      <c r="A13" t="s">
        <v>54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5">
      <c r="A14" s="2"/>
      <c r="B14" s="2"/>
      <c r="C14" s="3"/>
      <c r="D14" s="2"/>
      <c r="E14" s="2"/>
      <c r="F14" s="2"/>
      <c r="G14" s="2"/>
      <c r="H14" s="2"/>
    </row>
    <row r="15" spans="1:8" x14ac:dyDescent="0.25">
      <c r="A15" s="1" t="s">
        <v>0</v>
      </c>
      <c r="B15" s="1" t="s">
        <v>55</v>
      </c>
      <c r="C15" s="8"/>
      <c r="D15" s="8"/>
      <c r="E15" s="8"/>
      <c r="F15" s="8"/>
      <c r="G15" s="8"/>
      <c r="H15" s="8"/>
    </row>
    <row r="16" spans="1:8" x14ac:dyDescent="0.25">
      <c r="A16" s="8" t="s">
        <v>2</v>
      </c>
      <c r="B16" t="s">
        <v>56</v>
      </c>
      <c r="C16" s="8"/>
      <c r="D16" s="8"/>
      <c r="E16" s="8"/>
      <c r="F16" s="8"/>
      <c r="G16" s="8"/>
      <c r="H16" s="8"/>
    </row>
    <row r="17" spans="1:8" x14ac:dyDescent="0.25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5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5">
      <c r="A19" s="8" t="s">
        <v>6</v>
      </c>
      <c r="B19" t="s">
        <v>55</v>
      </c>
      <c r="C19" s="8"/>
      <c r="D19" s="8"/>
      <c r="E19" s="8"/>
      <c r="F19" s="8"/>
      <c r="G19" s="8"/>
      <c r="H19" s="8"/>
    </row>
    <row r="20" spans="1:8" x14ac:dyDescent="0.25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5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5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5">
      <c r="A23" t="s">
        <v>55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55</v>
      </c>
    </row>
    <row r="24" spans="1:8" x14ac:dyDescent="0.25">
      <c r="A24" t="s">
        <v>57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58</v>
      </c>
    </row>
    <row r="25" spans="1:8" x14ac:dyDescent="0.25">
      <c r="A25" t="s">
        <v>59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60</v>
      </c>
    </row>
    <row r="26" spans="1:8" x14ac:dyDescent="0.25">
      <c r="A26" t="s">
        <v>61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96</v>
      </c>
    </row>
    <row r="27" spans="1:8" x14ac:dyDescent="0.25">
      <c r="A27" t="s">
        <v>54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5">
      <c r="A28" s="2"/>
      <c r="B28" s="2"/>
      <c r="C28" s="3"/>
      <c r="D28" s="2"/>
      <c r="E28" s="2"/>
      <c r="F28" s="2"/>
      <c r="G28" s="2"/>
      <c r="H28" s="2"/>
    </row>
    <row r="29" spans="1:8" x14ac:dyDescent="0.25">
      <c r="A29" s="1" t="s">
        <v>0</v>
      </c>
      <c r="B29" s="1" t="s">
        <v>62</v>
      </c>
      <c r="C29" s="8"/>
      <c r="D29" s="8"/>
      <c r="E29" s="8"/>
      <c r="F29" s="8"/>
      <c r="G29" s="8"/>
      <c r="H29" s="8"/>
    </row>
    <row r="30" spans="1:8" x14ac:dyDescent="0.25">
      <c r="A30" s="8" t="s">
        <v>2</v>
      </c>
      <c r="B30" t="s">
        <v>63</v>
      </c>
      <c r="C30" s="8"/>
      <c r="D30" s="8"/>
      <c r="E30" s="8"/>
      <c r="F30" s="8"/>
      <c r="G30" s="8"/>
      <c r="H30" s="8"/>
    </row>
    <row r="31" spans="1:8" x14ac:dyDescent="0.25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5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5">
      <c r="A33" s="8" t="s">
        <v>6</v>
      </c>
      <c r="B33" t="s">
        <v>62</v>
      </c>
      <c r="C33" s="8"/>
      <c r="D33" s="8"/>
      <c r="E33" s="8"/>
      <c r="F33" s="8"/>
      <c r="G33" s="8"/>
      <c r="H33" s="8"/>
    </row>
    <row r="34" spans="1:8" x14ac:dyDescent="0.25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5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5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5">
      <c r="A37" t="s">
        <v>62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62</v>
      </c>
    </row>
    <row r="38" spans="1:8" x14ac:dyDescent="0.25">
      <c r="A38" t="s">
        <v>64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65</v>
      </c>
    </row>
    <row r="39" spans="1:8" x14ac:dyDescent="0.25">
      <c r="A39" t="s">
        <v>66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67</v>
      </c>
    </row>
    <row r="40" spans="1:8" x14ac:dyDescent="0.25">
      <c r="A40" t="s">
        <v>68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69</v>
      </c>
    </row>
    <row r="41" spans="1:8" x14ac:dyDescent="0.25">
      <c r="A41" t="s">
        <v>54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5">
      <c r="A42" s="2"/>
      <c r="B42" s="2"/>
      <c r="C42" s="3"/>
      <c r="D42" s="2"/>
      <c r="E42" s="2"/>
      <c r="F42" s="2"/>
      <c r="G42" s="2"/>
      <c r="H42" s="2"/>
    </row>
    <row r="43" spans="1:8" x14ac:dyDescent="0.25">
      <c r="A43" s="1" t="s">
        <v>0</v>
      </c>
      <c r="B43" s="1" t="s">
        <v>70</v>
      </c>
      <c r="C43" s="8"/>
      <c r="D43" s="8"/>
      <c r="E43" s="8"/>
      <c r="F43" s="8"/>
      <c r="G43" s="8"/>
      <c r="H43" s="8"/>
    </row>
    <row r="44" spans="1:8" x14ac:dyDescent="0.25">
      <c r="A44" s="8" t="s">
        <v>2</v>
      </c>
      <c r="B44" t="s">
        <v>71</v>
      </c>
      <c r="C44" s="8"/>
      <c r="D44" s="8"/>
      <c r="E44" s="8"/>
      <c r="F44" s="8"/>
      <c r="G44" s="8"/>
      <c r="H44" s="8"/>
    </row>
    <row r="45" spans="1:8" x14ac:dyDescent="0.25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5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5">
      <c r="A47" s="8" t="s">
        <v>6</v>
      </c>
      <c r="B47" t="s">
        <v>70</v>
      </c>
      <c r="C47" s="8"/>
      <c r="D47" s="8"/>
      <c r="E47" s="8"/>
      <c r="F47" s="8"/>
      <c r="G47" s="8"/>
      <c r="H47" s="8"/>
    </row>
    <row r="48" spans="1:8" x14ac:dyDescent="0.25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5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5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5">
      <c r="A51" t="s">
        <v>70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70</v>
      </c>
    </row>
    <row r="52" spans="1:8" x14ac:dyDescent="0.25">
      <c r="A52" t="s">
        <v>52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53</v>
      </c>
    </row>
    <row r="53" spans="1:8" x14ac:dyDescent="0.25">
      <c r="A53" t="s">
        <v>72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73</v>
      </c>
    </row>
    <row r="54" spans="1:8" x14ac:dyDescent="0.25">
      <c r="A54" t="s">
        <v>61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96</v>
      </c>
    </row>
    <row r="55" spans="1:8" x14ac:dyDescent="0.25">
      <c r="A55" t="s">
        <v>54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5">
      <c r="A56" s="2"/>
      <c r="B56" s="2"/>
      <c r="C56" s="3"/>
      <c r="D56" s="2"/>
      <c r="E56" s="2"/>
      <c r="F56" s="2"/>
      <c r="G56" s="2"/>
      <c r="H56" s="2"/>
    </row>
    <row r="57" spans="1:8" x14ac:dyDescent="0.25">
      <c r="A57" s="1" t="s">
        <v>0</v>
      </c>
      <c r="B57" s="1" t="s">
        <v>74</v>
      </c>
      <c r="C57" s="8"/>
      <c r="D57" s="8"/>
      <c r="E57" s="8"/>
      <c r="F57" s="8"/>
      <c r="G57" s="8"/>
      <c r="H57" s="8"/>
    </row>
    <row r="58" spans="1:8" x14ac:dyDescent="0.25">
      <c r="A58" s="8" t="s">
        <v>2</v>
      </c>
      <c r="B58" t="s">
        <v>75</v>
      </c>
      <c r="C58" s="8"/>
      <c r="D58" s="8"/>
      <c r="E58" s="8"/>
      <c r="F58" s="8"/>
      <c r="G58" s="8"/>
      <c r="H58" s="8"/>
    </row>
    <row r="59" spans="1:8" x14ac:dyDescent="0.25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5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5">
      <c r="A61" s="8" t="s">
        <v>6</v>
      </c>
      <c r="B61" t="s">
        <v>74</v>
      </c>
      <c r="C61" s="8"/>
      <c r="D61" s="8"/>
      <c r="E61" s="8"/>
      <c r="F61" s="8"/>
      <c r="G61" s="8"/>
      <c r="H61" s="8"/>
    </row>
    <row r="62" spans="1:8" x14ac:dyDescent="0.25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5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5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5">
      <c r="A65" t="s">
        <v>74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74</v>
      </c>
    </row>
    <row r="66" spans="1:8" x14ac:dyDescent="0.25">
      <c r="A66" t="s">
        <v>76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5">
      <c r="A67" t="s">
        <v>61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96</v>
      </c>
    </row>
    <row r="68" spans="1:8" x14ac:dyDescent="0.25">
      <c r="A68" t="s">
        <v>54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5">
      <c r="A69" s="2"/>
      <c r="B69" s="2"/>
      <c r="C69" s="3"/>
      <c r="D69" s="2"/>
      <c r="E69" s="2"/>
      <c r="F69" s="2"/>
      <c r="G69" s="2"/>
      <c r="H69" s="2"/>
    </row>
    <row r="70" spans="1:8" x14ac:dyDescent="0.25">
      <c r="A70" s="1" t="s">
        <v>0</v>
      </c>
      <c r="B70" s="1" t="s">
        <v>77</v>
      </c>
      <c r="C70" s="8"/>
      <c r="D70" s="8"/>
      <c r="E70" s="8"/>
      <c r="F70" s="8"/>
      <c r="G70" s="8"/>
      <c r="H70" s="8"/>
    </row>
    <row r="71" spans="1:8" x14ac:dyDescent="0.25">
      <c r="A71" s="8" t="s">
        <v>2</v>
      </c>
      <c r="B71" t="s">
        <v>78</v>
      </c>
      <c r="C71" s="8"/>
      <c r="D71" s="8"/>
      <c r="E71" s="8"/>
      <c r="F71" s="8"/>
      <c r="G71" s="8"/>
      <c r="H71" s="8"/>
    </row>
    <row r="72" spans="1:8" x14ac:dyDescent="0.25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5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5">
      <c r="A74" s="8" t="s">
        <v>6</v>
      </c>
      <c r="B74" t="s">
        <v>77</v>
      </c>
      <c r="C74" s="8"/>
      <c r="D74" s="8"/>
      <c r="E74" s="8"/>
      <c r="F74" s="8"/>
      <c r="G74" s="8"/>
      <c r="H74" s="8"/>
    </row>
    <row r="75" spans="1:8" x14ac:dyDescent="0.25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5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5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5">
      <c r="A78" t="s">
        <v>77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77</v>
      </c>
    </row>
    <row r="79" spans="1:8" x14ac:dyDescent="0.25">
      <c r="A79" t="s">
        <v>64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65</v>
      </c>
    </row>
    <row r="80" spans="1:8" x14ac:dyDescent="0.25">
      <c r="A80" t="s">
        <v>79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80</v>
      </c>
    </row>
    <row r="81" spans="1:8" x14ac:dyDescent="0.25">
      <c r="A81" t="s">
        <v>61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96</v>
      </c>
    </row>
    <row r="82" spans="1:8" x14ac:dyDescent="0.25">
      <c r="A82" t="s">
        <v>54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5">
      <c r="A83" s="2"/>
      <c r="B83" s="2"/>
      <c r="C83" s="3"/>
      <c r="D83" s="2"/>
      <c r="E83" s="2"/>
      <c r="F83" s="2"/>
      <c r="G83" s="2"/>
      <c r="H83" s="2"/>
    </row>
    <row r="84" spans="1:8" x14ac:dyDescent="0.25">
      <c r="A84" s="1" t="s">
        <v>0</v>
      </c>
      <c r="B84" s="1" t="s">
        <v>81</v>
      </c>
      <c r="C84" s="8"/>
      <c r="D84" s="8"/>
      <c r="E84" s="8"/>
      <c r="F84" s="8"/>
      <c r="G84" s="8"/>
      <c r="H84" s="8"/>
    </row>
    <row r="85" spans="1:8" x14ac:dyDescent="0.25">
      <c r="A85" s="8" t="s">
        <v>2</v>
      </c>
      <c r="B85" t="s">
        <v>82</v>
      </c>
      <c r="C85" s="8"/>
      <c r="D85" s="8"/>
      <c r="E85" s="8"/>
      <c r="F85" s="8"/>
      <c r="G85" s="8"/>
      <c r="H85" s="8"/>
    </row>
    <row r="86" spans="1:8" x14ac:dyDescent="0.25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5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5">
      <c r="A88" s="8" t="s">
        <v>6</v>
      </c>
      <c r="B88" t="s">
        <v>81</v>
      </c>
      <c r="C88" s="8"/>
      <c r="D88" s="8"/>
      <c r="E88" s="8"/>
      <c r="F88" s="8"/>
      <c r="G88" s="8"/>
      <c r="H88" s="8"/>
    </row>
    <row r="89" spans="1:8" x14ac:dyDescent="0.25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5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5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5">
      <c r="A92" t="s">
        <v>81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81</v>
      </c>
    </row>
    <row r="93" spans="1:8" x14ac:dyDescent="0.25">
      <c r="A93" t="s">
        <v>76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5">
      <c r="A94" t="s">
        <v>61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96</v>
      </c>
    </row>
    <row r="95" spans="1:8" x14ac:dyDescent="0.25">
      <c r="A95" t="s">
        <v>54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5">
      <c r="A96" s="2"/>
      <c r="B96" s="2"/>
      <c r="C96" s="3"/>
      <c r="D96" s="2"/>
      <c r="E96" s="2"/>
      <c r="F96" s="2"/>
      <c r="G96" s="2"/>
      <c r="H96" s="2"/>
    </row>
    <row r="97" spans="1:8" x14ac:dyDescent="0.25">
      <c r="A97" s="1" t="s">
        <v>0</v>
      </c>
      <c r="B97" s="1" t="s">
        <v>118</v>
      </c>
      <c r="C97" s="8"/>
      <c r="D97" s="8"/>
      <c r="E97" s="8"/>
      <c r="F97" s="8"/>
      <c r="G97" s="8"/>
      <c r="H97" s="8"/>
    </row>
    <row r="98" spans="1:8" x14ac:dyDescent="0.25">
      <c r="A98" s="8" t="s">
        <v>2</v>
      </c>
      <c r="B98" t="s">
        <v>83</v>
      </c>
      <c r="C98" s="8"/>
      <c r="D98" s="8"/>
      <c r="E98" s="8"/>
      <c r="F98" s="8"/>
      <c r="G98" s="8"/>
      <c r="H98" s="8"/>
    </row>
    <row r="99" spans="1:8" x14ac:dyDescent="0.25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5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5">
      <c r="A101" s="8" t="s">
        <v>6</v>
      </c>
      <c r="B101" t="s">
        <v>118</v>
      </c>
      <c r="C101" s="8"/>
      <c r="D101" s="8"/>
      <c r="E101" s="8"/>
      <c r="F101" s="8"/>
      <c r="G101" s="8"/>
      <c r="H101" s="8"/>
    </row>
    <row r="102" spans="1:8" x14ac:dyDescent="0.25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5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5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5">
      <c r="A105" t="s">
        <v>118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118</v>
      </c>
    </row>
    <row r="106" spans="1:8" x14ac:dyDescent="0.25">
      <c r="A106" t="s">
        <v>50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50</v>
      </c>
    </row>
    <row r="107" spans="1:8" x14ac:dyDescent="0.25">
      <c r="A107" t="s">
        <v>55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55</v>
      </c>
    </row>
    <row r="108" spans="1:8" x14ac:dyDescent="0.25">
      <c r="A108" t="s">
        <v>62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62</v>
      </c>
    </row>
    <row r="109" spans="1:8" x14ac:dyDescent="0.25">
      <c r="A109" t="s">
        <v>70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70</v>
      </c>
    </row>
    <row r="110" spans="1:8" x14ac:dyDescent="0.25">
      <c r="A110" t="s">
        <v>74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74</v>
      </c>
    </row>
    <row r="111" spans="1:8" x14ac:dyDescent="0.25">
      <c r="A111" t="s">
        <v>77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77</v>
      </c>
    </row>
    <row r="112" spans="1:8" x14ac:dyDescent="0.25">
      <c r="A112" t="s">
        <v>81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81</v>
      </c>
    </row>
    <row r="113" spans="1:8" x14ac:dyDescent="0.25">
      <c r="A113" s="2"/>
      <c r="B113" s="2"/>
      <c r="C113" s="3"/>
      <c r="D113" s="2"/>
      <c r="E113" s="2"/>
      <c r="F113" s="2"/>
      <c r="G113" s="2"/>
      <c r="H113" s="2"/>
    </row>
    <row r="114" spans="1:8" x14ac:dyDescent="0.25">
      <c r="A114" s="1" t="s">
        <v>0</v>
      </c>
      <c r="B114" s="1" t="s">
        <v>133</v>
      </c>
      <c r="C114" s="8"/>
      <c r="D114" s="8"/>
      <c r="E114" s="8"/>
      <c r="F114" s="8"/>
      <c r="G114" s="8"/>
      <c r="H114" s="8"/>
    </row>
    <row r="115" spans="1:8" x14ac:dyDescent="0.25">
      <c r="A115" s="8" t="s">
        <v>2</v>
      </c>
      <c r="B115" t="s">
        <v>83</v>
      </c>
      <c r="C115" s="8"/>
      <c r="D115" s="8"/>
      <c r="E115" s="8"/>
      <c r="F115" s="8"/>
      <c r="G115" s="8"/>
      <c r="H115" s="8"/>
    </row>
    <row r="116" spans="1:8" x14ac:dyDescent="0.25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5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5">
      <c r="A118" s="8" t="s">
        <v>6</v>
      </c>
      <c r="B118" t="s">
        <v>134</v>
      </c>
      <c r="C118" s="8"/>
      <c r="D118" s="8"/>
      <c r="E118" s="8"/>
      <c r="F118" s="8"/>
      <c r="G118" s="8"/>
      <c r="H118" s="8"/>
    </row>
    <row r="119" spans="1:8" x14ac:dyDescent="0.25">
      <c r="A119" s="8" t="s">
        <v>8</v>
      </c>
      <c r="B119" t="s">
        <v>23</v>
      </c>
      <c r="C119" s="8"/>
      <c r="D119" s="8"/>
      <c r="E119" s="8"/>
      <c r="F119" s="8"/>
      <c r="G119" s="8"/>
      <c r="H119" s="8"/>
    </row>
    <row r="120" spans="1:8" x14ac:dyDescent="0.25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5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5">
      <c r="A122" s="17" t="s">
        <v>133</v>
      </c>
      <c r="B122" s="9">
        <v>1</v>
      </c>
      <c r="C122" s="8" t="s">
        <v>16</v>
      </c>
      <c r="D122" s="17" t="s">
        <v>4</v>
      </c>
      <c r="E122" s="5" t="s">
        <v>23</v>
      </c>
      <c r="F122" s="17"/>
      <c r="G122" t="s">
        <v>17</v>
      </c>
      <c r="H122" s="17" t="s">
        <v>134</v>
      </c>
    </row>
    <row r="123" spans="1:8" x14ac:dyDescent="0.25">
      <c r="A123" s="5" t="s">
        <v>253</v>
      </c>
      <c r="B123" s="9">
        <v>2.8998115122517001E-2</v>
      </c>
      <c r="C123" t="s">
        <v>18</v>
      </c>
      <c r="D123" t="s">
        <v>4</v>
      </c>
      <c r="E123" t="s">
        <v>21</v>
      </c>
      <c r="F123" s="8"/>
      <c r="G123" s="24" t="s">
        <v>20</v>
      </c>
      <c r="H123" t="s">
        <v>22</v>
      </c>
    </row>
    <row r="124" spans="1:8" x14ac:dyDescent="0.25">
      <c r="A124" s="17" t="s">
        <v>149</v>
      </c>
      <c r="B124" s="9">
        <v>1.1684210526315801E-3</v>
      </c>
      <c r="C124" t="s">
        <v>18</v>
      </c>
      <c r="D124" t="s">
        <v>44</v>
      </c>
      <c r="E124" t="s">
        <v>24</v>
      </c>
      <c r="F124" s="8"/>
      <c r="G124" s="24" t="s">
        <v>20</v>
      </c>
      <c r="H124" t="s">
        <v>150</v>
      </c>
    </row>
    <row r="125" spans="1:8" x14ac:dyDescent="0.25">
      <c r="A125" s="17" t="s">
        <v>151</v>
      </c>
      <c r="B125" s="15">
        <v>2.9473684210526402E-9</v>
      </c>
      <c r="C125" t="s">
        <v>18</v>
      </c>
      <c r="D125" t="s">
        <v>19</v>
      </c>
      <c r="E125" t="s">
        <v>8</v>
      </c>
      <c r="F125" s="8"/>
      <c r="G125" s="24" t="s">
        <v>20</v>
      </c>
      <c r="H125" t="s">
        <v>152</v>
      </c>
    </row>
    <row r="126" spans="1:8" x14ac:dyDescent="0.25">
      <c r="A126" s="17" t="s">
        <v>192</v>
      </c>
      <c r="B126" s="9">
        <v>5.3052631578947428E-2</v>
      </c>
      <c r="C126" s="8" t="s">
        <v>16</v>
      </c>
      <c r="D126" s="17" t="s">
        <v>4</v>
      </c>
      <c r="E126" t="s">
        <v>9</v>
      </c>
      <c r="F126" s="8"/>
      <c r="G126" s="24" t="s">
        <v>20</v>
      </c>
      <c r="H126" t="s">
        <v>192</v>
      </c>
    </row>
    <row r="127" spans="1:8" x14ac:dyDescent="0.25">
      <c r="A127" t="s">
        <v>29</v>
      </c>
      <c r="B127" s="9">
        <v>5.8947368421052686E-3</v>
      </c>
      <c r="C127" s="24" t="s">
        <v>30</v>
      </c>
      <c r="E127" t="s">
        <v>9</v>
      </c>
      <c r="F127" s="8" t="s">
        <v>135</v>
      </c>
      <c r="G127" s="24" t="s">
        <v>31</v>
      </c>
    </row>
    <row r="128" spans="1:8" x14ac:dyDescent="0.25">
      <c r="A128" t="s">
        <v>92</v>
      </c>
      <c r="B128" s="15">
        <v>2.2105263157894801E-6</v>
      </c>
      <c r="C128" s="24" t="s">
        <v>30</v>
      </c>
      <c r="E128" t="s">
        <v>9</v>
      </c>
      <c r="F128" s="8" t="s">
        <v>135</v>
      </c>
      <c r="G128" s="24" t="s">
        <v>31</v>
      </c>
    </row>
    <row r="129" spans="1:7" x14ac:dyDescent="0.25">
      <c r="A129" t="s">
        <v>91</v>
      </c>
      <c r="B129" s="15">
        <v>2.10526315789474E-6</v>
      </c>
      <c r="C129" s="24" t="s">
        <v>30</v>
      </c>
      <c r="E129" t="s">
        <v>9</v>
      </c>
      <c r="F129" s="8" t="s">
        <v>135</v>
      </c>
      <c r="G129" s="24" t="s">
        <v>31</v>
      </c>
    </row>
    <row r="130" spans="1:7" x14ac:dyDescent="0.25">
      <c r="A130" s="18" t="s">
        <v>153</v>
      </c>
      <c r="B130" s="15">
        <v>1.05263157894737E-7</v>
      </c>
      <c r="C130" s="24" t="s">
        <v>30</v>
      </c>
      <c r="E130" t="s">
        <v>9</v>
      </c>
      <c r="F130" t="s">
        <v>135</v>
      </c>
      <c r="G130" s="24" t="s">
        <v>31</v>
      </c>
    </row>
    <row r="131" spans="1:7" x14ac:dyDescent="0.25">
      <c r="A131" t="s">
        <v>37</v>
      </c>
      <c r="B131" s="15">
        <v>1.8842105263157901E-5</v>
      </c>
      <c r="C131" s="24" t="s">
        <v>30</v>
      </c>
      <c r="E131" t="s">
        <v>9</v>
      </c>
      <c r="F131" t="s">
        <v>135</v>
      </c>
      <c r="G131" s="24" t="s">
        <v>31</v>
      </c>
    </row>
    <row r="132" spans="1:7" x14ac:dyDescent="0.25">
      <c r="A132" s="18" t="s">
        <v>143</v>
      </c>
      <c r="B132" s="15">
        <v>5.7894736842105305E-7</v>
      </c>
      <c r="C132" s="24" t="s">
        <v>30</v>
      </c>
      <c r="E132" t="s">
        <v>9</v>
      </c>
      <c r="F132" t="s">
        <v>135</v>
      </c>
      <c r="G132" s="24" t="s">
        <v>31</v>
      </c>
    </row>
    <row r="133" spans="1:7" x14ac:dyDescent="0.25">
      <c r="A133" s="18" t="s">
        <v>93</v>
      </c>
      <c r="B133" s="15">
        <v>2.1052631578947401E-7</v>
      </c>
      <c r="C133" s="24" t="s">
        <v>30</v>
      </c>
      <c r="E133" t="s">
        <v>9</v>
      </c>
      <c r="F133" t="s">
        <v>135</v>
      </c>
      <c r="G133" s="24" t="s">
        <v>31</v>
      </c>
    </row>
    <row r="134" spans="1:7" x14ac:dyDescent="0.25">
      <c r="A134" s="18" t="s">
        <v>154</v>
      </c>
      <c r="B134" s="15">
        <v>1.05263157894737E-9</v>
      </c>
      <c r="C134" s="24" t="s">
        <v>30</v>
      </c>
      <c r="E134" t="s">
        <v>9</v>
      </c>
      <c r="F134" t="s">
        <v>135</v>
      </c>
      <c r="G134" s="24" t="s">
        <v>31</v>
      </c>
    </row>
    <row r="135" spans="1:7" x14ac:dyDescent="0.25">
      <c r="A135" s="18" t="s">
        <v>155</v>
      </c>
      <c r="B135" s="15">
        <v>1.5789473684210501E-7</v>
      </c>
      <c r="C135" s="24" t="s">
        <v>30</v>
      </c>
      <c r="E135" t="s">
        <v>9</v>
      </c>
      <c r="F135" t="s">
        <v>135</v>
      </c>
      <c r="G135" s="24" t="s">
        <v>31</v>
      </c>
    </row>
    <row r="136" spans="1:7" x14ac:dyDescent="0.25">
      <c r="A136" s="18" t="s">
        <v>156</v>
      </c>
      <c r="B136" s="15">
        <v>4.2105263157894802E-7</v>
      </c>
      <c r="C136" s="24" t="s">
        <v>30</v>
      </c>
      <c r="E136" t="s">
        <v>9</v>
      </c>
      <c r="F136" t="s">
        <v>135</v>
      </c>
      <c r="G136" s="24" t="s">
        <v>31</v>
      </c>
    </row>
    <row r="137" spans="1:7" x14ac:dyDescent="0.25">
      <c r="A137" s="18" t="s">
        <v>95</v>
      </c>
      <c r="B137" s="15">
        <v>1.0526315789473699E-11</v>
      </c>
      <c r="C137" s="24" t="s">
        <v>30</v>
      </c>
      <c r="E137" t="s">
        <v>9</v>
      </c>
      <c r="F137" t="s">
        <v>135</v>
      </c>
      <c r="G137" s="24" t="s">
        <v>31</v>
      </c>
    </row>
    <row r="138" spans="1:7" x14ac:dyDescent="0.25">
      <c r="A138" s="18" t="s">
        <v>157</v>
      </c>
      <c r="B138" s="15">
        <v>7.3684210526315899E-7</v>
      </c>
      <c r="C138" s="24" t="s">
        <v>30</v>
      </c>
      <c r="E138" t="s">
        <v>9</v>
      </c>
      <c r="F138" t="s">
        <v>135</v>
      </c>
      <c r="G138" s="24" t="s">
        <v>31</v>
      </c>
    </row>
    <row r="139" spans="1:7" x14ac:dyDescent="0.25">
      <c r="A139" s="18" t="s">
        <v>158</v>
      </c>
      <c r="B139" s="15">
        <v>0</v>
      </c>
      <c r="C139" s="24" t="s">
        <v>30</v>
      </c>
      <c r="E139" t="s">
        <v>9</v>
      </c>
      <c r="F139" t="s">
        <v>135</v>
      </c>
      <c r="G139" s="24" t="s">
        <v>31</v>
      </c>
    </row>
    <row r="140" spans="1:7" x14ac:dyDescent="0.25">
      <c r="A140" s="18" t="s">
        <v>144</v>
      </c>
      <c r="B140" s="15">
        <v>1.05263157894737E-7</v>
      </c>
      <c r="C140" s="24" t="s">
        <v>30</v>
      </c>
      <c r="E140" t="s">
        <v>9</v>
      </c>
      <c r="F140" t="s">
        <v>135</v>
      </c>
      <c r="G140" s="24" t="s">
        <v>31</v>
      </c>
    </row>
    <row r="141" spans="1:7" x14ac:dyDescent="0.25">
      <c r="A141" s="17" t="s">
        <v>94</v>
      </c>
      <c r="B141" s="15">
        <v>3.1578947368421103E-11</v>
      </c>
      <c r="C141" s="24" t="s">
        <v>30</v>
      </c>
      <c r="E141" t="s">
        <v>9</v>
      </c>
      <c r="F141" t="s">
        <v>135</v>
      </c>
      <c r="G141" s="24" t="s">
        <v>31</v>
      </c>
    </row>
    <row r="142" spans="1:7" x14ac:dyDescent="0.25">
      <c r="A142" s="18" t="s">
        <v>159</v>
      </c>
      <c r="B142" s="15">
        <v>1.0526315789473701E-8</v>
      </c>
      <c r="C142" s="24" t="s">
        <v>30</v>
      </c>
      <c r="E142" t="s">
        <v>9</v>
      </c>
      <c r="F142" t="s">
        <v>135</v>
      </c>
      <c r="G142" s="24" t="s">
        <v>31</v>
      </c>
    </row>
    <row r="143" spans="1:7" x14ac:dyDescent="0.25">
      <c r="A143" s="18" t="s">
        <v>160</v>
      </c>
      <c r="B143" s="15">
        <v>1.2631578947368401E-6</v>
      </c>
      <c r="C143" s="24" t="s">
        <v>30</v>
      </c>
      <c r="E143" t="s">
        <v>9</v>
      </c>
      <c r="F143" t="s">
        <v>135</v>
      </c>
      <c r="G143" s="24" t="s">
        <v>31</v>
      </c>
    </row>
    <row r="144" spans="1:7" x14ac:dyDescent="0.25">
      <c r="A144" s="18" t="s">
        <v>161</v>
      </c>
      <c r="B144" s="15">
        <v>2.1052631578947401E-7</v>
      </c>
      <c r="C144" s="24" t="s">
        <v>30</v>
      </c>
      <c r="E144" t="s">
        <v>9</v>
      </c>
      <c r="F144" t="s">
        <v>135</v>
      </c>
      <c r="G144" s="24" t="s">
        <v>31</v>
      </c>
    </row>
    <row r="145" spans="1:8" x14ac:dyDescent="0.25">
      <c r="A145" s="18" t="s">
        <v>162</v>
      </c>
      <c r="B145" s="15">
        <v>2.1052631578947401E-8</v>
      </c>
      <c r="C145" s="24" t="s">
        <v>30</v>
      </c>
      <c r="E145" t="s">
        <v>9</v>
      </c>
      <c r="F145" t="s">
        <v>135</v>
      </c>
      <c r="G145" s="24" t="s">
        <v>31</v>
      </c>
    </row>
    <row r="146" spans="1:8" x14ac:dyDescent="0.25">
      <c r="A146" s="18" t="s">
        <v>163</v>
      </c>
      <c r="B146" s="15">
        <v>2.1052631578947401E-7</v>
      </c>
      <c r="C146" s="24" t="s">
        <v>30</v>
      </c>
      <c r="E146" t="s">
        <v>9</v>
      </c>
      <c r="F146" t="s">
        <v>135</v>
      </c>
      <c r="G146" s="24" t="s">
        <v>31</v>
      </c>
    </row>
    <row r="147" spans="1:8" x14ac:dyDescent="0.25">
      <c r="A147" s="2"/>
      <c r="B147" s="2"/>
      <c r="C147" s="3"/>
      <c r="D147" s="2"/>
      <c r="E147" s="2"/>
      <c r="F147" s="2"/>
      <c r="G147" s="2"/>
      <c r="H147" s="2"/>
    </row>
    <row r="148" spans="1:8" x14ac:dyDescent="0.25">
      <c r="A148" s="1" t="s">
        <v>0</v>
      </c>
      <c r="B148" s="1" t="s">
        <v>40</v>
      </c>
      <c r="C148" s="8"/>
      <c r="D148" s="8"/>
      <c r="E148" s="8"/>
      <c r="F148" s="8"/>
      <c r="G148" s="8"/>
      <c r="H148" s="8"/>
    </row>
    <row r="149" spans="1:8" x14ac:dyDescent="0.25">
      <c r="A149" s="8" t="s">
        <v>2</v>
      </c>
      <c r="B149" t="s">
        <v>115</v>
      </c>
      <c r="C149" s="8"/>
      <c r="D149" s="8"/>
      <c r="E149" s="8"/>
      <c r="F149" s="8"/>
      <c r="G149" s="8"/>
      <c r="H149" s="8"/>
    </row>
    <row r="150" spans="1:8" x14ac:dyDescent="0.25">
      <c r="A150" s="8" t="s">
        <v>3</v>
      </c>
      <c r="B150" t="s">
        <v>4</v>
      </c>
      <c r="C150" s="8"/>
      <c r="D150" s="8"/>
      <c r="E150" s="8"/>
      <c r="F150" s="8"/>
      <c r="G150" s="8"/>
      <c r="H150" s="8"/>
    </row>
    <row r="151" spans="1:8" x14ac:dyDescent="0.25">
      <c r="A151" s="8" t="s">
        <v>5</v>
      </c>
      <c r="B151" s="8">
        <v>1</v>
      </c>
      <c r="C151" s="8"/>
      <c r="D151" s="8"/>
      <c r="E151" s="8"/>
      <c r="F151" s="8"/>
      <c r="G151" s="8"/>
      <c r="H151" s="8"/>
    </row>
    <row r="152" spans="1:8" x14ac:dyDescent="0.25">
      <c r="A152" s="8" t="s">
        <v>6</v>
      </c>
      <c r="B152" t="s">
        <v>41</v>
      </c>
      <c r="C152" s="8"/>
      <c r="D152" s="8"/>
      <c r="E152" s="8"/>
      <c r="F152" s="8"/>
      <c r="G152" s="8"/>
      <c r="H152" s="8"/>
    </row>
    <row r="153" spans="1:8" x14ac:dyDescent="0.25">
      <c r="A153" s="8" t="s">
        <v>8</v>
      </c>
      <c r="B153" s="8" t="s">
        <v>9</v>
      </c>
      <c r="C153" s="8"/>
      <c r="D153" s="8"/>
      <c r="E153" s="8"/>
      <c r="F153" s="8"/>
      <c r="G153" s="8"/>
      <c r="H153" s="8"/>
    </row>
    <row r="154" spans="1:8" x14ac:dyDescent="0.25">
      <c r="A154" s="1" t="s">
        <v>10</v>
      </c>
      <c r="B154" s="8"/>
      <c r="C154" s="8"/>
      <c r="D154" s="8"/>
      <c r="E154" s="8"/>
      <c r="F154" s="8"/>
      <c r="G154" s="8"/>
      <c r="H154" s="8"/>
    </row>
    <row r="155" spans="1:8" x14ac:dyDescent="0.25">
      <c r="A155" s="8" t="s">
        <v>11</v>
      </c>
      <c r="B155" s="8" t="s">
        <v>12</v>
      </c>
      <c r="C155" s="8" t="s">
        <v>13</v>
      </c>
      <c r="D155" s="8" t="s">
        <v>3</v>
      </c>
      <c r="E155" s="8" t="s">
        <v>8</v>
      </c>
      <c r="F155" s="8" t="s">
        <v>14</v>
      </c>
      <c r="G155" s="8" t="s">
        <v>15</v>
      </c>
      <c r="H155" s="8" t="s">
        <v>6</v>
      </c>
    </row>
    <row r="156" spans="1:8" x14ac:dyDescent="0.25">
      <c r="A156" s="8" t="s">
        <v>40</v>
      </c>
      <c r="B156" s="9">
        <v>1</v>
      </c>
      <c r="C156" s="8" t="s">
        <v>16</v>
      </c>
      <c r="D156" t="s">
        <v>4</v>
      </c>
      <c r="E156" s="8" t="s">
        <v>9</v>
      </c>
      <c r="F156" s="8"/>
      <c r="G156" s="8" t="s">
        <v>17</v>
      </c>
      <c r="H156" t="s">
        <v>41</v>
      </c>
    </row>
    <row r="157" spans="1:8" x14ac:dyDescent="0.25">
      <c r="A157" s="5" t="s">
        <v>116</v>
      </c>
      <c r="B157" s="6">
        <v>4.4321789115451698E-10</v>
      </c>
      <c r="C157" t="s">
        <v>18</v>
      </c>
      <c r="D157" t="s">
        <v>19</v>
      </c>
      <c r="E157" s="5" t="s">
        <v>8</v>
      </c>
      <c r="F157" s="8"/>
      <c r="G157" t="s">
        <v>20</v>
      </c>
      <c r="H157" s="7" t="s">
        <v>117</v>
      </c>
    </row>
    <row r="158" spans="1:8" x14ac:dyDescent="0.25">
      <c r="A158" s="7" t="s">
        <v>32</v>
      </c>
      <c r="B158" s="6">
        <v>4.0000000000000001E-3</v>
      </c>
      <c r="C158" t="s">
        <v>30</v>
      </c>
      <c r="D158" s="8"/>
      <c r="E158" s="5" t="s">
        <v>21</v>
      </c>
      <c r="F158" s="5" t="s">
        <v>33</v>
      </c>
      <c r="G158" t="s">
        <v>31</v>
      </c>
      <c r="H158" s="8"/>
    </row>
    <row r="159" spans="1:8" x14ac:dyDescent="0.25">
      <c r="A159" s="5" t="s">
        <v>38</v>
      </c>
      <c r="B159" s="6">
        <f>2.45/997</f>
        <v>2.4573721163490474E-3</v>
      </c>
      <c r="C159" t="s">
        <v>30</v>
      </c>
      <c r="D159" s="8"/>
      <c r="E159" s="5" t="s">
        <v>21</v>
      </c>
      <c r="F159" s="5" t="s">
        <v>42</v>
      </c>
      <c r="G159" t="s">
        <v>31</v>
      </c>
      <c r="H1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6E389-DAB9-471E-90B6-60D41E2985DE}">
  <dimension ref="A1:AH150"/>
  <sheetViews>
    <sheetView zoomScaleNormal="100" workbookViewId="0">
      <selection activeCell="B10" sqref="B10"/>
    </sheetView>
  </sheetViews>
  <sheetFormatPr defaultRowHeight="15" x14ac:dyDescent="0.25"/>
  <cols>
    <col min="1" max="1" width="48" customWidth="1"/>
    <col min="2" max="2" width="97.42578125" customWidth="1"/>
    <col min="5" max="5" width="24.85546875" bestFit="1" customWidth="1"/>
    <col min="6" max="6" width="34.28515625" bestFit="1" customWidth="1"/>
  </cols>
  <sheetData>
    <row r="1" spans="1:34" x14ac:dyDescent="0.25">
      <c r="A1" s="19" t="s">
        <v>0</v>
      </c>
      <c r="B1" s="19" t="s">
        <v>192</v>
      </c>
      <c r="C1" s="20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 spans="1:34" x14ac:dyDescent="0.25">
      <c r="A2" s="19" t="s">
        <v>2</v>
      </c>
      <c r="B2" s="5" t="s">
        <v>193</v>
      </c>
      <c r="C2" s="20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 spans="1:34" x14ac:dyDescent="0.25">
      <c r="A3" s="19" t="s">
        <v>3</v>
      </c>
      <c r="B3" s="5" t="s">
        <v>4</v>
      </c>
      <c r="C3" s="20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x14ac:dyDescent="0.25">
      <c r="A4" s="1" t="s">
        <v>6</v>
      </c>
      <c r="B4" s="17" t="s">
        <v>192</v>
      </c>
      <c r="C4" s="20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1:34" x14ac:dyDescent="0.25">
      <c r="A5" s="19" t="s">
        <v>5</v>
      </c>
      <c r="B5" s="7">
        <v>1</v>
      </c>
      <c r="C5" s="20"/>
      <c r="D5" s="21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spans="1:34" x14ac:dyDescent="0.25">
      <c r="A6" s="19" t="s">
        <v>8</v>
      </c>
      <c r="B6" s="5" t="s">
        <v>9</v>
      </c>
      <c r="C6" s="20"/>
      <c r="D6" s="21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 spans="1:34" x14ac:dyDescent="0.25">
      <c r="A7" s="19" t="s">
        <v>148</v>
      </c>
      <c r="B7" s="5" t="s">
        <v>194</v>
      </c>
      <c r="C7" s="20"/>
      <c r="D7" s="2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spans="1:34" x14ac:dyDescent="0.25">
      <c r="A8" s="19" t="s">
        <v>10</v>
      </c>
      <c r="B8" s="5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spans="1:34" x14ac:dyDescent="0.25">
      <c r="A9" s="19" t="s">
        <v>11</v>
      </c>
      <c r="B9" s="19" t="s">
        <v>6</v>
      </c>
      <c r="C9" s="25" t="s">
        <v>12</v>
      </c>
      <c r="D9" s="19" t="s">
        <v>8</v>
      </c>
      <c r="E9" s="19" t="s">
        <v>13</v>
      </c>
      <c r="F9" s="19" t="s">
        <v>14</v>
      </c>
      <c r="G9" s="19" t="s">
        <v>3</v>
      </c>
      <c r="H9" s="19" t="s">
        <v>15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spans="1:34" x14ac:dyDescent="0.25">
      <c r="A10" s="17" t="s">
        <v>192</v>
      </c>
      <c r="B10" s="17" t="s">
        <v>192</v>
      </c>
      <c r="C10" s="26">
        <v>1</v>
      </c>
      <c r="D10" s="5" t="s">
        <v>9</v>
      </c>
      <c r="E10" s="8" t="s">
        <v>16</v>
      </c>
      <c r="F10" s="17"/>
      <c r="G10" t="s">
        <v>4</v>
      </c>
      <c r="H10" s="17" t="s">
        <v>17</v>
      </c>
      <c r="I10" s="17"/>
      <c r="J10" s="17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spans="1:34" x14ac:dyDescent="0.25">
      <c r="A11" s="17" t="s">
        <v>195</v>
      </c>
      <c r="B11" s="17" t="s">
        <v>195</v>
      </c>
      <c r="C11" s="26">
        <v>1</v>
      </c>
      <c r="D11" s="5" t="s">
        <v>9</v>
      </c>
      <c r="E11" s="8" t="s">
        <v>16</v>
      </c>
      <c r="F11" s="17"/>
      <c r="G11" s="5" t="s">
        <v>4</v>
      </c>
      <c r="H11" t="s">
        <v>20</v>
      </c>
      <c r="I11" s="17"/>
      <c r="J11" s="17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spans="1:34" x14ac:dyDescent="0.25">
      <c r="A12" s="17" t="s">
        <v>196</v>
      </c>
      <c r="B12" s="17" t="s">
        <v>197</v>
      </c>
      <c r="C12" s="27">
        <v>0.38400000000000001</v>
      </c>
      <c r="D12" t="s">
        <v>24</v>
      </c>
      <c r="E12" t="s">
        <v>18</v>
      </c>
      <c r="G12" s="5" t="s">
        <v>44</v>
      </c>
      <c r="H12" t="s">
        <v>20</v>
      </c>
      <c r="I12" s="17"/>
      <c r="J12" s="17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spans="1:34" x14ac:dyDescent="0.25">
      <c r="A13" t="s">
        <v>84</v>
      </c>
      <c r="B13" t="s">
        <v>85</v>
      </c>
      <c r="C13" s="28">
        <v>2.8400000000000002E-4</v>
      </c>
      <c r="D13" t="s">
        <v>9</v>
      </c>
      <c r="E13" t="s">
        <v>18</v>
      </c>
      <c r="G13" t="s">
        <v>4</v>
      </c>
      <c r="H13" t="s">
        <v>20</v>
      </c>
      <c r="I13" s="17"/>
      <c r="J13" s="17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spans="1:34" x14ac:dyDescent="0.25">
      <c r="A14" t="s">
        <v>86</v>
      </c>
      <c r="B14" t="s">
        <v>87</v>
      </c>
      <c r="C14" s="28">
        <v>3.0400000000000002E-4</v>
      </c>
      <c r="D14" t="s">
        <v>9</v>
      </c>
      <c r="E14" t="s">
        <v>18</v>
      </c>
      <c r="G14" t="s">
        <v>4</v>
      </c>
      <c r="H14" t="s">
        <v>20</v>
      </c>
      <c r="I14" s="17"/>
      <c r="J14" s="17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25">
      <c r="A15" t="s">
        <v>175</v>
      </c>
      <c r="B15" t="s">
        <v>176</v>
      </c>
      <c r="C15" s="28">
        <v>8.2600000000000002E-5</v>
      </c>
      <c r="D15" t="s">
        <v>9</v>
      </c>
      <c r="E15" t="s">
        <v>18</v>
      </c>
      <c r="G15" t="s">
        <v>4</v>
      </c>
      <c r="H15" t="s">
        <v>20</v>
      </c>
      <c r="I15" s="17"/>
      <c r="J15" s="17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t="s">
        <v>171</v>
      </c>
      <c r="B16" t="s">
        <v>172</v>
      </c>
      <c r="C16" s="28">
        <v>8.2699999999999996E-11</v>
      </c>
      <c r="D16" t="s">
        <v>8</v>
      </c>
      <c r="E16" t="s">
        <v>18</v>
      </c>
      <c r="G16" s="5" t="s">
        <v>19</v>
      </c>
      <c r="H16" t="s">
        <v>20</v>
      </c>
      <c r="I16" s="17"/>
      <c r="J16" s="17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t="s">
        <v>173</v>
      </c>
      <c r="B17" t="s">
        <v>174</v>
      </c>
      <c r="C17" s="28">
        <v>7.4400000000000002E-10</v>
      </c>
      <c r="D17" t="s">
        <v>8</v>
      </c>
      <c r="E17" t="s">
        <v>18</v>
      </c>
      <c r="G17" t="s">
        <v>4</v>
      </c>
      <c r="H17" t="s">
        <v>20</v>
      </c>
      <c r="I17" s="17"/>
      <c r="J17" s="17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spans="1:34" x14ac:dyDescent="0.25">
      <c r="A18" t="s">
        <v>177</v>
      </c>
      <c r="B18" t="s">
        <v>178</v>
      </c>
      <c r="C18" s="28">
        <v>3.3099999999999999E-10</v>
      </c>
      <c r="D18" t="s">
        <v>8</v>
      </c>
      <c r="E18" t="s">
        <v>18</v>
      </c>
      <c r="G18" t="s">
        <v>4</v>
      </c>
      <c r="H18" t="s">
        <v>20</v>
      </c>
      <c r="I18" s="17"/>
      <c r="J18" s="17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 spans="1:34" x14ac:dyDescent="0.25">
      <c r="A19" t="s">
        <v>179</v>
      </c>
      <c r="B19" t="s">
        <v>180</v>
      </c>
      <c r="C19" s="28">
        <v>5.1400000000000003E-12</v>
      </c>
      <c r="D19" t="s">
        <v>8</v>
      </c>
      <c r="E19" t="s">
        <v>18</v>
      </c>
      <c r="G19" t="s">
        <v>4</v>
      </c>
      <c r="H19" t="s">
        <v>20</v>
      </c>
      <c r="I19" s="17"/>
      <c r="J19" s="17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t="s">
        <v>181</v>
      </c>
      <c r="B20" t="s">
        <v>182</v>
      </c>
      <c r="C20" s="28">
        <v>5.7899999999999997E-10</v>
      </c>
      <c r="D20" t="s">
        <v>8</v>
      </c>
      <c r="E20" t="s">
        <v>18</v>
      </c>
      <c r="G20" t="s">
        <v>4</v>
      </c>
      <c r="H20" t="s">
        <v>20</v>
      </c>
      <c r="I20" s="17"/>
      <c r="J20" s="17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t="s">
        <v>89</v>
      </c>
      <c r="B21" t="s">
        <v>90</v>
      </c>
      <c r="C21" s="28">
        <v>-2.2699999999999999E-4</v>
      </c>
      <c r="D21" t="s">
        <v>9</v>
      </c>
      <c r="E21" t="s">
        <v>18</v>
      </c>
      <c r="G21" t="s">
        <v>19</v>
      </c>
      <c r="H21" t="s">
        <v>20</v>
      </c>
      <c r="I21" s="17"/>
      <c r="J21" s="17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17" t="s">
        <v>32</v>
      </c>
      <c r="B22" s="17"/>
      <c r="C22" s="20">
        <v>8.3199999999999996E-2</v>
      </c>
      <c r="D22" s="5" t="s">
        <v>21</v>
      </c>
      <c r="E22" s="17" t="s">
        <v>30</v>
      </c>
      <c r="F22" s="5" t="s">
        <v>33</v>
      </c>
      <c r="H22" t="s">
        <v>31</v>
      </c>
      <c r="I22" s="17"/>
      <c r="J22" s="17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t="s">
        <v>35</v>
      </c>
      <c r="C23" s="28">
        <v>1.2300000000000001E-4</v>
      </c>
      <c r="D23" t="s">
        <v>9</v>
      </c>
      <c r="E23" s="17" t="s">
        <v>30</v>
      </c>
      <c r="F23" s="7" t="s">
        <v>135</v>
      </c>
      <c r="H23" t="s">
        <v>31</v>
      </c>
      <c r="I23" s="17"/>
      <c r="J23" s="17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17" t="s">
        <v>88</v>
      </c>
      <c r="B24" s="17"/>
      <c r="C24" s="20">
        <v>6.0000000000000002E-6</v>
      </c>
      <c r="D24" s="5" t="s">
        <v>9</v>
      </c>
      <c r="E24" s="17" t="s">
        <v>30</v>
      </c>
      <c r="F24" s="7" t="s">
        <v>135</v>
      </c>
      <c r="H24" t="s">
        <v>31</v>
      </c>
      <c r="I24" s="17"/>
      <c r="J24" s="17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 spans="1:34" x14ac:dyDescent="0.25">
      <c r="A25" s="2"/>
      <c r="B25" s="2"/>
      <c r="C25" s="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</row>
    <row r="26" spans="1:34" x14ac:dyDescent="0.25">
      <c r="A26" s="19" t="s">
        <v>0</v>
      </c>
      <c r="B26" s="19" t="s">
        <v>195</v>
      </c>
      <c r="C26" s="20"/>
      <c r="D26" s="5"/>
      <c r="E26" s="5"/>
      <c r="F26" s="5"/>
      <c r="G26" s="5"/>
      <c r="H26" s="5"/>
    </row>
    <row r="27" spans="1:34" x14ac:dyDescent="0.25">
      <c r="A27" s="19" t="s">
        <v>2</v>
      </c>
      <c r="B27" s="5" t="s">
        <v>198</v>
      </c>
      <c r="C27" s="20"/>
      <c r="D27" s="5"/>
      <c r="E27" s="5"/>
      <c r="F27" s="5"/>
      <c r="G27" s="5"/>
      <c r="H27" s="5"/>
    </row>
    <row r="28" spans="1:34" x14ac:dyDescent="0.25">
      <c r="A28" s="19" t="s">
        <v>3</v>
      </c>
      <c r="B28" s="5" t="s">
        <v>4</v>
      </c>
      <c r="C28" s="20"/>
      <c r="D28" s="5"/>
      <c r="E28" s="5"/>
      <c r="F28" s="5"/>
      <c r="G28" s="5"/>
      <c r="H28" s="5"/>
    </row>
    <row r="29" spans="1:34" x14ac:dyDescent="0.25">
      <c r="A29" s="1" t="s">
        <v>6</v>
      </c>
      <c r="B29" s="17" t="s">
        <v>195</v>
      </c>
      <c r="C29" s="20"/>
      <c r="D29" s="5"/>
      <c r="E29" s="5"/>
      <c r="F29" s="5"/>
      <c r="G29" s="5"/>
      <c r="H29" s="5"/>
    </row>
    <row r="30" spans="1:34" x14ac:dyDescent="0.25">
      <c r="A30" s="19" t="s">
        <v>5</v>
      </c>
      <c r="B30" s="7">
        <v>1</v>
      </c>
      <c r="C30" s="20"/>
      <c r="D30" s="21"/>
      <c r="E30" s="5"/>
      <c r="F30" s="5"/>
      <c r="G30" s="5"/>
      <c r="H30" s="5"/>
    </row>
    <row r="31" spans="1:34" x14ac:dyDescent="0.25">
      <c r="A31" s="19" t="s">
        <v>8</v>
      </c>
      <c r="B31" s="5" t="s">
        <v>9</v>
      </c>
      <c r="C31" s="20"/>
      <c r="D31" s="21"/>
      <c r="E31" s="5"/>
      <c r="F31" s="5"/>
      <c r="G31" s="5"/>
      <c r="H31" s="5"/>
    </row>
    <row r="32" spans="1:34" x14ac:dyDescent="0.25">
      <c r="A32" s="19" t="s">
        <v>148</v>
      </c>
      <c r="B32" s="5" t="s">
        <v>199</v>
      </c>
      <c r="C32" s="20"/>
      <c r="D32" s="21"/>
      <c r="E32" s="5"/>
      <c r="F32" s="5"/>
      <c r="G32" s="5"/>
      <c r="H32" s="5"/>
    </row>
    <row r="33" spans="1:8" x14ac:dyDescent="0.25">
      <c r="A33" s="19" t="s">
        <v>10</v>
      </c>
      <c r="B33" s="5"/>
      <c r="C33" s="20"/>
      <c r="D33" s="5"/>
      <c r="E33" s="5"/>
      <c r="F33" s="5"/>
      <c r="G33" s="5"/>
      <c r="H33" s="5"/>
    </row>
    <row r="34" spans="1:8" x14ac:dyDescent="0.25">
      <c r="A34" s="19" t="s">
        <v>11</v>
      </c>
      <c r="B34" s="19" t="s">
        <v>6</v>
      </c>
      <c r="C34" s="25" t="s">
        <v>12</v>
      </c>
      <c r="D34" s="19" t="s">
        <v>8</v>
      </c>
      <c r="E34" s="19" t="s">
        <v>13</v>
      </c>
      <c r="F34" s="19" t="s">
        <v>14</v>
      </c>
      <c r="G34" s="19" t="s">
        <v>3</v>
      </c>
      <c r="H34" s="19" t="s">
        <v>15</v>
      </c>
    </row>
    <row r="35" spans="1:8" x14ac:dyDescent="0.25">
      <c r="A35" s="17" t="s">
        <v>195</v>
      </c>
      <c r="B35" s="17" t="s">
        <v>195</v>
      </c>
      <c r="C35" s="26">
        <v>1</v>
      </c>
      <c r="D35" s="5" t="s">
        <v>9</v>
      </c>
      <c r="E35" s="8" t="s">
        <v>16</v>
      </c>
      <c r="F35" s="17"/>
      <c r="G35" s="5" t="s">
        <v>4</v>
      </c>
      <c r="H35" s="17" t="s">
        <v>17</v>
      </c>
    </row>
    <row r="36" spans="1:8" x14ac:dyDescent="0.25">
      <c r="A36" s="17" t="s">
        <v>196</v>
      </c>
      <c r="B36" s="17" t="s">
        <v>197</v>
      </c>
      <c r="C36" s="27">
        <v>9.4800000000000006E-3</v>
      </c>
      <c r="D36" t="s">
        <v>24</v>
      </c>
      <c r="E36" t="s">
        <v>18</v>
      </c>
      <c r="G36" s="5" t="s">
        <v>44</v>
      </c>
      <c r="H36" t="s">
        <v>20</v>
      </c>
    </row>
    <row r="37" spans="1:8" x14ac:dyDescent="0.25">
      <c r="A37" t="s">
        <v>177</v>
      </c>
      <c r="B37" t="s">
        <v>200</v>
      </c>
      <c r="C37" s="16">
        <v>2.5400000000000001E-11</v>
      </c>
      <c r="D37" t="s">
        <v>8</v>
      </c>
      <c r="E37" t="s">
        <v>18</v>
      </c>
      <c r="G37" t="s">
        <v>4</v>
      </c>
      <c r="H37" t="s">
        <v>20</v>
      </c>
    </row>
    <row r="38" spans="1:8" x14ac:dyDescent="0.25">
      <c r="A38" t="s">
        <v>201</v>
      </c>
      <c r="B38" t="s">
        <v>201</v>
      </c>
      <c r="C38" s="28">
        <v>1.25334E-10</v>
      </c>
      <c r="D38" t="s">
        <v>202</v>
      </c>
      <c r="E38" s="8" t="s">
        <v>16</v>
      </c>
      <c r="G38" s="5" t="s">
        <v>4</v>
      </c>
      <c r="H38" t="s">
        <v>20</v>
      </c>
    </row>
    <row r="39" spans="1:8" x14ac:dyDescent="0.25">
      <c r="A39" t="s">
        <v>203</v>
      </c>
      <c r="B39" t="s">
        <v>203</v>
      </c>
      <c r="C39" s="16">
        <v>1.6899999999999999E-8</v>
      </c>
      <c r="D39" t="s">
        <v>107</v>
      </c>
      <c r="E39" s="8" t="s">
        <v>16</v>
      </c>
      <c r="G39" s="5" t="s">
        <v>4</v>
      </c>
      <c r="H39" t="s">
        <v>20</v>
      </c>
    </row>
    <row r="40" spans="1:8" x14ac:dyDescent="0.25">
      <c r="A40" s="2"/>
      <c r="B40" s="2"/>
      <c r="C40" s="3"/>
      <c r="D40" s="2"/>
      <c r="E40" s="2"/>
      <c r="F40" s="2"/>
      <c r="G40" s="2"/>
      <c r="H40" s="2"/>
    </row>
    <row r="41" spans="1:8" x14ac:dyDescent="0.25">
      <c r="A41" s="19" t="s">
        <v>0</v>
      </c>
      <c r="B41" s="19" t="s">
        <v>201</v>
      </c>
      <c r="C41" s="20"/>
      <c r="D41" s="5"/>
      <c r="E41" s="5"/>
      <c r="F41" s="5"/>
      <c r="G41" s="5"/>
      <c r="H41" s="5"/>
    </row>
    <row r="42" spans="1:8" x14ac:dyDescent="0.25">
      <c r="A42" s="19" t="s">
        <v>2</v>
      </c>
      <c r="B42" s="5" t="s">
        <v>204</v>
      </c>
      <c r="C42" s="20"/>
      <c r="D42" s="5"/>
      <c r="E42" s="5"/>
      <c r="F42" s="5"/>
      <c r="G42" s="5"/>
      <c r="H42" s="5"/>
    </row>
    <row r="43" spans="1:8" x14ac:dyDescent="0.25">
      <c r="A43" s="19" t="s">
        <v>3</v>
      </c>
      <c r="B43" s="5" t="s">
        <v>4</v>
      </c>
      <c r="C43" s="20"/>
      <c r="D43" s="5"/>
      <c r="E43" s="5"/>
      <c r="F43" s="5"/>
      <c r="G43" s="5"/>
      <c r="H43" s="5"/>
    </row>
    <row r="44" spans="1:8" x14ac:dyDescent="0.25">
      <c r="A44" s="1" t="s">
        <v>6</v>
      </c>
      <c r="B44" s="17" t="s">
        <v>201</v>
      </c>
      <c r="C44" s="20"/>
      <c r="D44" s="5"/>
      <c r="E44" s="5"/>
      <c r="F44" s="5"/>
      <c r="G44" s="5"/>
      <c r="H44" s="5"/>
    </row>
    <row r="45" spans="1:8" x14ac:dyDescent="0.25">
      <c r="A45" s="19" t="s">
        <v>5</v>
      </c>
      <c r="B45" s="7">
        <v>1</v>
      </c>
      <c r="C45" s="20"/>
      <c r="D45" s="21"/>
      <c r="E45" s="5"/>
      <c r="F45" s="5"/>
      <c r="G45" s="5"/>
      <c r="H45" s="5"/>
    </row>
    <row r="46" spans="1:8" x14ac:dyDescent="0.25">
      <c r="A46" s="19" t="s">
        <v>8</v>
      </c>
      <c r="B46" s="5" t="s">
        <v>202</v>
      </c>
      <c r="C46" s="20"/>
      <c r="D46" s="21"/>
      <c r="E46" s="5"/>
      <c r="F46" s="5"/>
      <c r="G46" s="5"/>
      <c r="H46" s="5"/>
    </row>
    <row r="47" spans="1:8" x14ac:dyDescent="0.25">
      <c r="A47" s="19" t="s">
        <v>148</v>
      </c>
      <c r="B47" s="5" t="s">
        <v>199</v>
      </c>
      <c r="C47" s="20"/>
      <c r="D47" s="21"/>
      <c r="E47" s="5"/>
      <c r="F47" s="5"/>
      <c r="G47" s="5"/>
      <c r="H47" s="5"/>
    </row>
    <row r="48" spans="1:8" x14ac:dyDescent="0.25">
      <c r="A48" s="19" t="s">
        <v>10</v>
      </c>
      <c r="B48" s="5"/>
      <c r="C48" s="20"/>
      <c r="D48" s="5"/>
      <c r="E48" s="5"/>
      <c r="F48" s="5"/>
      <c r="G48" s="5"/>
      <c r="H48" s="5"/>
    </row>
    <row r="49" spans="1:8" x14ac:dyDescent="0.25">
      <c r="A49" s="19" t="s">
        <v>11</v>
      </c>
      <c r="B49" s="19" t="s">
        <v>6</v>
      </c>
      <c r="C49" s="25" t="s">
        <v>12</v>
      </c>
      <c r="D49" s="19" t="s">
        <v>8</v>
      </c>
      <c r="E49" s="19" t="s">
        <v>13</v>
      </c>
      <c r="F49" s="19" t="s">
        <v>14</v>
      </c>
      <c r="G49" s="19" t="s">
        <v>3</v>
      </c>
      <c r="H49" s="19" t="s">
        <v>15</v>
      </c>
    </row>
    <row r="50" spans="1:8" x14ac:dyDescent="0.25">
      <c r="A50" s="17" t="s">
        <v>201</v>
      </c>
      <c r="B50" s="17" t="s">
        <v>201</v>
      </c>
      <c r="C50" s="26">
        <v>1</v>
      </c>
      <c r="D50" s="5" t="s">
        <v>202</v>
      </c>
      <c r="E50" s="8" t="s">
        <v>16</v>
      </c>
      <c r="F50" s="17"/>
      <c r="G50" s="5" t="s">
        <v>4</v>
      </c>
      <c r="H50" s="17" t="s">
        <v>17</v>
      </c>
    </row>
    <row r="51" spans="1:8" x14ac:dyDescent="0.25">
      <c r="A51" t="s">
        <v>105</v>
      </c>
      <c r="B51" t="s">
        <v>105</v>
      </c>
      <c r="C51" s="16">
        <v>270000</v>
      </c>
      <c r="D51" t="s">
        <v>9</v>
      </c>
      <c r="E51" t="s">
        <v>18</v>
      </c>
      <c r="G51" s="5" t="s">
        <v>19</v>
      </c>
      <c r="H51" t="s">
        <v>20</v>
      </c>
    </row>
    <row r="52" spans="1:8" x14ac:dyDescent="0.25">
      <c r="A52" t="s">
        <v>205</v>
      </c>
      <c r="B52" t="s">
        <v>206</v>
      </c>
      <c r="C52" s="16">
        <v>4400000</v>
      </c>
      <c r="D52" t="s">
        <v>9</v>
      </c>
      <c r="E52" t="s">
        <v>18</v>
      </c>
      <c r="G52" t="s">
        <v>19</v>
      </c>
      <c r="H52" t="s">
        <v>20</v>
      </c>
    </row>
    <row r="53" spans="1:8" x14ac:dyDescent="0.25">
      <c r="A53" t="s">
        <v>207</v>
      </c>
      <c r="B53" t="s">
        <v>104</v>
      </c>
      <c r="C53" s="16">
        <v>3310000</v>
      </c>
      <c r="D53" t="s">
        <v>23</v>
      </c>
      <c r="E53" t="s">
        <v>18</v>
      </c>
      <c r="G53" t="s">
        <v>4</v>
      </c>
      <c r="H53" t="s">
        <v>20</v>
      </c>
    </row>
    <row r="54" spans="1:8" x14ac:dyDescent="0.25">
      <c r="A54" t="s">
        <v>208</v>
      </c>
      <c r="B54" t="s">
        <v>108</v>
      </c>
      <c r="C54" s="16">
        <v>270000</v>
      </c>
      <c r="D54" t="s">
        <v>9</v>
      </c>
      <c r="E54" t="s">
        <v>18</v>
      </c>
      <c r="G54" t="s">
        <v>4</v>
      </c>
      <c r="H54" t="s">
        <v>20</v>
      </c>
    </row>
    <row r="55" spans="1:8" x14ac:dyDescent="0.25">
      <c r="A55" t="s">
        <v>209</v>
      </c>
      <c r="B55" t="s">
        <v>210</v>
      </c>
      <c r="C55" s="16">
        <v>5120</v>
      </c>
      <c r="D55" t="s">
        <v>9</v>
      </c>
      <c r="E55" t="s">
        <v>18</v>
      </c>
      <c r="G55" t="s">
        <v>4</v>
      </c>
      <c r="H55" t="s">
        <v>20</v>
      </c>
    </row>
    <row r="56" spans="1:8" x14ac:dyDescent="0.25">
      <c r="A56" t="s">
        <v>211</v>
      </c>
      <c r="B56" t="s">
        <v>212</v>
      </c>
      <c r="C56" s="16">
        <v>55100</v>
      </c>
      <c r="D56" t="s">
        <v>106</v>
      </c>
      <c r="E56" t="s">
        <v>18</v>
      </c>
      <c r="G56" t="s">
        <v>19</v>
      </c>
      <c r="H56" t="s">
        <v>20</v>
      </c>
    </row>
    <row r="57" spans="1:8" x14ac:dyDescent="0.25">
      <c r="A57" t="s">
        <v>213</v>
      </c>
      <c r="B57" t="s">
        <v>214</v>
      </c>
      <c r="C57" s="16">
        <v>315000</v>
      </c>
      <c r="D57" t="s">
        <v>106</v>
      </c>
      <c r="E57" t="s">
        <v>18</v>
      </c>
      <c r="G57" s="5" t="s">
        <v>19</v>
      </c>
      <c r="H57" t="s">
        <v>20</v>
      </c>
    </row>
    <row r="58" spans="1:8" x14ac:dyDescent="0.25">
      <c r="A58" t="s">
        <v>215</v>
      </c>
      <c r="B58" t="s">
        <v>215</v>
      </c>
      <c r="C58" s="16">
        <v>26</v>
      </c>
      <c r="D58" t="s">
        <v>216</v>
      </c>
      <c r="E58" t="s">
        <v>18</v>
      </c>
      <c r="G58" t="s">
        <v>4</v>
      </c>
      <c r="H58" t="s">
        <v>20</v>
      </c>
    </row>
    <row r="59" spans="1:8" x14ac:dyDescent="0.25">
      <c r="A59" t="s">
        <v>217</v>
      </c>
      <c r="B59" t="s">
        <v>217</v>
      </c>
      <c r="C59" s="16">
        <v>10.4</v>
      </c>
      <c r="D59" t="s">
        <v>8</v>
      </c>
      <c r="E59" t="s">
        <v>18</v>
      </c>
      <c r="G59" t="s">
        <v>4</v>
      </c>
      <c r="H59" t="s">
        <v>20</v>
      </c>
    </row>
    <row r="60" spans="1:8" x14ac:dyDescent="0.25">
      <c r="A60" t="s">
        <v>109</v>
      </c>
      <c r="B60" t="s">
        <v>110</v>
      </c>
      <c r="C60" s="16">
        <v>-4400000</v>
      </c>
      <c r="D60" t="s">
        <v>9</v>
      </c>
      <c r="E60" t="s">
        <v>18</v>
      </c>
      <c r="G60" t="s">
        <v>19</v>
      </c>
      <c r="H60" t="s">
        <v>20</v>
      </c>
    </row>
    <row r="61" spans="1:8" x14ac:dyDescent="0.25">
      <c r="A61" t="s">
        <v>218</v>
      </c>
      <c r="B61" t="s">
        <v>219</v>
      </c>
      <c r="C61" s="16">
        <v>-135000</v>
      </c>
      <c r="D61" t="s">
        <v>9</v>
      </c>
      <c r="E61" t="s">
        <v>18</v>
      </c>
      <c r="G61" t="s">
        <v>19</v>
      </c>
      <c r="H61" t="s">
        <v>20</v>
      </c>
    </row>
    <row r="62" spans="1:8" x14ac:dyDescent="0.25">
      <c r="A62" t="s">
        <v>220</v>
      </c>
      <c r="B62" t="s">
        <v>221</v>
      </c>
      <c r="C62" s="16">
        <v>-5120</v>
      </c>
      <c r="D62" t="s">
        <v>9</v>
      </c>
      <c r="E62" t="s">
        <v>18</v>
      </c>
      <c r="G62" t="s">
        <v>19</v>
      </c>
      <c r="H62" t="s">
        <v>20</v>
      </c>
    </row>
    <row r="63" spans="1:8" x14ac:dyDescent="0.25">
      <c r="A63" t="s">
        <v>98</v>
      </c>
      <c r="C63" s="16">
        <v>3330</v>
      </c>
      <c r="D63" t="s">
        <v>99</v>
      </c>
      <c r="E63" s="17" t="s">
        <v>30</v>
      </c>
      <c r="F63" t="s">
        <v>100</v>
      </c>
      <c r="H63" t="s">
        <v>31</v>
      </c>
    </row>
    <row r="64" spans="1:8" x14ac:dyDescent="0.25">
      <c r="A64" t="s">
        <v>101</v>
      </c>
      <c r="C64" s="16">
        <v>2000</v>
      </c>
      <c r="D64" t="s">
        <v>102</v>
      </c>
      <c r="E64" t="s">
        <v>30</v>
      </c>
      <c r="F64" t="s">
        <v>100</v>
      </c>
      <c r="H64" t="s">
        <v>31</v>
      </c>
    </row>
    <row r="65" spans="1:8" x14ac:dyDescent="0.25">
      <c r="A65" t="s">
        <v>103</v>
      </c>
      <c r="C65" s="16">
        <v>2000</v>
      </c>
      <c r="D65" t="s">
        <v>102</v>
      </c>
      <c r="E65" t="s">
        <v>30</v>
      </c>
      <c r="F65" t="s">
        <v>100</v>
      </c>
      <c r="H65" t="s">
        <v>31</v>
      </c>
    </row>
    <row r="66" spans="1:8" x14ac:dyDescent="0.25">
      <c r="A66" t="s">
        <v>222</v>
      </c>
      <c r="C66" s="16">
        <v>187</v>
      </c>
      <c r="D66" t="s">
        <v>21</v>
      </c>
      <c r="E66" t="s">
        <v>30</v>
      </c>
      <c r="F66" t="s">
        <v>33</v>
      </c>
      <c r="H66" t="s">
        <v>31</v>
      </c>
    </row>
    <row r="67" spans="1:8" x14ac:dyDescent="0.25">
      <c r="A67" s="2"/>
      <c r="B67" s="2"/>
      <c r="C67" s="3"/>
      <c r="D67" s="2"/>
      <c r="E67" s="2"/>
      <c r="F67" s="2"/>
      <c r="G67" s="2"/>
      <c r="H67" s="2"/>
    </row>
    <row r="68" spans="1:8" x14ac:dyDescent="0.25">
      <c r="A68" s="19" t="s">
        <v>0</v>
      </c>
      <c r="B68" s="19" t="s">
        <v>203</v>
      </c>
      <c r="C68" s="20"/>
      <c r="D68" s="5"/>
      <c r="E68" s="5"/>
      <c r="F68" s="5"/>
      <c r="G68" s="5"/>
      <c r="H68" s="5"/>
    </row>
    <row r="69" spans="1:8" x14ac:dyDescent="0.25">
      <c r="A69" s="19" t="s">
        <v>2</v>
      </c>
      <c r="B69" s="5" t="s">
        <v>223</v>
      </c>
      <c r="C69" s="20"/>
      <c r="D69" s="5"/>
      <c r="E69" s="5"/>
      <c r="F69" s="5"/>
      <c r="G69" s="5"/>
      <c r="H69" s="5"/>
    </row>
    <row r="70" spans="1:8" x14ac:dyDescent="0.25">
      <c r="A70" s="19" t="s">
        <v>3</v>
      </c>
      <c r="B70" s="5" t="s">
        <v>4</v>
      </c>
      <c r="C70" s="20"/>
      <c r="D70" s="5"/>
      <c r="E70" s="5"/>
      <c r="F70" s="5"/>
      <c r="G70" s="5"/>
      <c r="H70" s="5"/>
    </row>
    <row r="71" spans="1:8" x14ac:dyDescent="0.25">
      <c r="A71" s="1" t="s">
        <v>6</v>
      </c>
      <c r="B71" s="17" t="s">
        <v>203</v>
      </c>
      <c r="C71" s="20"/>
      <c r="D71" s="5"/>
      <c r="E71" s="5"/>
      <c r="F71" s="5"/>
      <c r="G71" s="5"/>
      <c r="H71" s="5"/>
    </row>
    <row r="72" spans="1:8" x14ac:dyDescent="0.25">
      <c r="A72" s="19" t="s">
        <v>5</v>
      </c>
      <c r="B72" s="7">
        <v>1</v>
      </c>
      <c r="C72" s="20"/>
      <c r="D72" s="21"/>
      <c r="E72" s="5"/>
      <c r="F72" s="5"/>
      <c r="G72" s="5"/>
      <c r="H72" s="5"/>
    </row>
    <row r="73" spans="1:8" x14ac:dyDescent="0.25">
      <c r="A73" s="19" t="s">
        <v>8</v>
      </c>
      <c r="B73" s="5" t="s">
        <v>107</v>
      </c>
      <c r="C73" s="20"/>
      <c r="D73" s="21"/>
      <c r="E73" s="5"/>
      <c r="F73" s="5"/>
      <c r="G73" s="5"/>
      <c r="H73" s="5"/>
    </row>
    <row r="74" spans="1:8" x14ac:dyDescent="0.25">
      <c r="A74" s="19" t="s">
        <v>148</v>
      </c>
      <c r="B74" s="5" t="s">
        <v>199</v>
      </c>
      <c r="C74" s="20"/>
      <c r="D74" s="21"/>
      <c r="E74" s="5"/>
      <c r="F74" s="5"/>
      <c r="G74" s="5"/>
      <c r="H74" s="5"/>
    </row>
    <row r="75" spans="1:8" x14ac:dyDescent="0.25">
      <c r="A75" s="19" t="s">
        <v>10</v>
      </c>
      <c r="B75" s="5"/>
      <c r="C75" s="20"/>
      <c r="D75" s="5"/>
      <c r="E75" s="5"/>
      <c r="F75" s="5"/>
      <c r="G75" s="5"/>
      <c r="H75" s="5"/>
    </row>
    <row r="76" spans="1:8" x14ac:dyDescent="0.25">
      <c r="A76" s="19" t="s">
        <v>11</v>
      </c>
      <c r="B76" s="19" t="s">
        <v>6</v>
      </c>
      <c r="C76" s="25" t="s">
        <v>12</v>
      </c>
      <c r="D76" s="19" t="s">
        <v>8</v>
      </c>
      <c r="E76" s="19" t="s">
        <v>13</v>
      </c>
      <c r="F76" s="19" t="s">
        <v>14</v>
      </c>
      <c r="G76" s="19" t="s">
        <v>3</v>
      </c>
      <c r="H76" s="19" t="s">
        <v>15</v>
      </c>
    </row>
    <row r="77" spans="1:8" x14ac:dyDescent="0.25">
      <c r="A77" t="s">
        <v>203</v>
      </c>
      <c r="B77" t="s">
        <v>203</v>
      </c>
      <c r="C77" s="26">
        <v>1</v>
      </c>
      <c r="D77" s="5" t="s">
        <v>107</v>
      </c>
      <c r="E77" s="8" t="s">
        <v>16</v>
      </c>
      <c r="F77" s="17"/>
      <c r="G77" s="5" t="s">
        <v>4</v>
      </c>
      <c r="H77" s="17" t="s">
        <v>17</v>
      </c>
    </row>
    <row r="78" spans="1:8" x14ac:dyDescent="0.25">
      <c r="A78" s="5" t="s">
        <v>224</v>
      </c>
      <c r="B78" s="5" t="s">
        <v>225</v>
      </c>
      <c r="C78" s="5">
        <v>20</v>
      </c>
      <c r="D78" s="5" t="s">
        <v>9</v>
      </c>
      <c r="E78" t="s">
        <v>18</v>
      </c>
      <c r="F78" s="5"/>
      <c r="G78" s="5" t="s">
        <v>19</v>
      </c>
      <c r="H78" s="5" t="s">
        <v>20</v>
      </c>
    </row>
    <row r="79" spans="1:8" x14ac:dyDescent="0.25">
      <c r="A79" s="5" t="s">
        <v>226</v>
      </c>
      <c r="B79" s="5" t="s">
        <v>227</v>
      </c>
      <c r="C79" s="5">
        <v>270</v>
      </c>
      <c r="D79" s="5" t="s">
        <v>9</v>
      </c>
      <c r="E79" t="s">
        <v>18</v>
      </c>
      <c r="F79" s="5"/>
      <c r="G79" s="5" t="s">
        <v>19</v>
      </c>
      <c r="H79" s="5" t="s">
        <v>20</v>
      </c>
    </row>
    <row r="80" spans="1:8" x14ac:dyDescent="0.25">
      <c r="A80" s="5" t="s">
        <v>228</v>
      </c>
      <c r="B80" s="5" t="s">
        <v>229</v>
      </c>
      <c r="C80" s="5">
        <v>200</v>
      </c>
      <c r="D80" s="5" t="s">
        <v>9</v>
      </c>
      <c r="E80" t="s">
        <v>18</v>
      </c>
      <c r="F80" s="5"/>
      <c r="G80" s="5" t="s">
        <v>19</v>
      </c>
      <c r="H80" s="5" t="s">
        <v>20</v>
      </c>
    </row>
    <row r="81" spans="1:8" x14ac:dyDescent="0.25">
      <c r="A81" s="5" t="s">
        <v>230</v>
      </c>
      <c r="B81" s="5" t="s">
        <v>230</v>
      </c>
      <c r="C81" s="5">
        <v>6300</v>
      </c>
      <c r="D81" s="5" t="s">
        <v>23</v>
      </c>
      <c r="E81" t="s">
        <v>18</v>
      </c>
      <c r="F81" s="5"/>
      <c r="G81" s="5" t="s">
        <v>4</v>
      </c>
      <c r="H81" s="5" t="s">
        <v>20</v>
      </c>
    </row>
    <row r="82" spans="1:8" x14ac:dyDescent="0.25">
      <c r="A82" s="5" t="s">
        <v>231</v>
      </c>
      <c r="B82" s="5" t="s">
        <v>232</v>
      </c>
      <c r="C82" s="5">
        <v>0.2</v>
      </c>
      <c r="D82" s="5" t="s">
        <v>9</v>
      </c>
      <c r="E82" t="s">
        <v>18</v>
      </c>
      <c r="F82" s="5"/>
      <c r="G82" s="5" t="s">
        <v>19</v>
      </c>
      <c r="H82" s="5" t="s">
        <v>20</v>
      </c>
    </row>
    <row r="83" spans="1:8" x14ac:dyDescent="0.25">
      <c r="A83" s="5" t="s">
        <v>233</v>
      </c>
      <c r="B83" s="5" t="s">
        <v>234</v>
      </c>
      <c r="C83" s="5">
        <v>9.0500000000000007</v>
      </c>
      <c r="D83" s="5" t="s">
        <v>9</v>
      </c>
      <c r="E83" t="s">
        <v>18</v>
      </c>
      <c r="F83" s="5"/>
      <c r="G83" s="5" t="s">
        <v>4</v>
      </c>
      <c r="H83" s="5" t="s">
        <v>20</v>
      </c>
    </row>
    <row r="84" spans="1:8" x14ac:dyDescent="0.25">
      <c r="A84" s="5" t="s">
        <v>235</v>
      </c>
      <c r="B84" s="5" t="s">
        <v>236</v>
      </c>
      <c r="C84" s="5">
        <v>42.2</v>
      </c>
      <c r="D84" s="5" t="s">
        <v>9</v>
      </c>
      <c r="E84" t="s">
        <v>18</v>
      </c>
      <c r="F84" s="5"/>
      <c r="G84" s="5" t="s">
        <v>4</v>
      </c>
      <c r="H84" s="5" t="s">
        <v>20</v>
      </c>
    </row>
    <row r="85" spans="1:8" x14ac:dyDescent="0.25">
      <c r="A85" s="5" t="s">
        <v>237</v>
      </c>
      <c r="B85" s="5" t="s">
        <v>238</v>
      </c>
      <c r="C85" s="5">
        <v>60</v>
      </c>
      <c r="D85" s="5" t="s">
        <v>9</v>
      </c>
      <c r="E85" t="s">
        <v>18</v>
      </c>
      <c r="F85" s="5"/>
      <c r="G85" s="5" t="s">
        <v>19</v>
      </c>
      <c r="H85" s="5" t="s">
        <v>20</v>
      </c>
    </row>
    <row r="86" spans="1:8" x14ac:dyDescent="0.25">
      <c r="A86" s="5" t="s">
        <v>208</v>
      </c>
      <c r="B86" s="5" t="s">
        <v>108</v>
      </c>
      <c r="C86" s="5">
        <v>210</v>
      </c>
      <c r="D86" s="5" t="s">
        <v>9</v>
      </c>
      <c r="E86" t="s">
        <v>18</v>
      </c>
      <c r="F86" s="5"/>
      <c r="G86" s="5" t="s">
        <v>4</v>
      </c>
      <c r="H86" s="5" t="s">
        <v>20</v>
      </c>
    </row>
    <row r="87" spans="1:8" x14ac:dyDescent="0.25">
      <c r="A87" s="5" t="s">
        <v>211</v>
      </c>
      <c r="B87" s="5" t="s">
        <v>212</v>
      </c>
      <c r="C87" s="5">
        <v>487</v>
      </c>
      <c r="D87" s="5" t="s">
        <v>106</v>
      </c>
      <c r="E87" t="s">
        <v>18</v>
      </c>
      <c r="F87" s="5"/>
      <c r="G87" s="5" t="s">
        <v>19</v>
      </c>
      <c r="H87" s="5" t="s">
        <v>20</v>
      </c>
    </row>
    <row r="88" spans="1:8" x14ac:dyDescent="0.25">
      <c r="A88" s="5" t="s">
        <v>213</v>
      </c>
      <c r="B88" s="5" t="s">
        <v>214</v>
      </c>
      <c r="C88" s="5">
        <v>81.099999999999994</v>
      </c>
      <c r="D88" s="5" t="s">
        <v>106</v>
      </c>
      <c r="E88" t="s">
        <v>18</v>
      </c>
      <c r="F88" s="5"/>
      <c r="G88" s="5" t="s">
        <v>19</v>
      </c>
      <c r="H88" s="5" t="s">
        <v>20</v>
      </c>
    </row>
    <row r="89" spans="1:8" x14ac:dyDescent="0.25">
      <c r="A89" s="5" t="s">
        <v>239</v>
      </c>
      <c r="B89" s="5" t="s">
        <v>240</v>
      </c>
      <c r="C89" s="5">
        <v>-237</v>
      </c>
      <c r="D89" s="5" t="s">
        <v>9</v>
      </c>
      <c r="E89" t="s">
        <v>18</v>
      </c>
      <c r="F89" s="5"/>
      <c r="G89" s="5" t="s">
        <v>19</v>
      </c>
      <c r="H89" s="5" t="s">
        <v>20</v>
      </c>
    </row>
    <row r="90" spans="1:8" x14ac:dyDescent="0.25">
      <c r="A90" s="5" t="s">
        <v>241</v>
      </c>
      <c r="B90" s="5" t="s">
        <v>240</v>
      </c>
      <c r="C90" s="5">
        <v>-158</v>
      </c>
      <c r="D90" s="5" t="s">
        <v>9</v>
      </c>
      <c r="E90" t="s">
        <v>18</v>
      </c>
      <c r="F90" s="5"/>
      <c r="G90" s="5" t="s">
        <v>19</v>
      </c>
      <c r="H90" s="5" t="s">
        <v>20</v>
      </c>
    </row>
    <row r="91" spans="1:8" x14ac:dyDescent="0.25">
      <c r="A91" s="5" t="s">
        <v>242</v>
      </c>
      <c r="B91" s="5" t="s">
        <v>243</v>
      </c>
      <c r="C91" s="5">
        <v>-5</v>
      </c>
      <c r="D91" s="5" t="s">
        <v>9</v>
      </c>
      <c r="E91" t="s">
        <v>18</v>
      </c>
      <c r="F91" s="5"/>
      <c r="G91" s="5" t="s">
        <v>19</v>
      </c>
      <c r="H91" s="5" t="s">
        <v>20</v>
      </c>
    </row>
    <row r="92" spans="1:8" x14ac:dyDescent="0.25">
      <c r="A92" s="5" t="s">
        <v>140</v>
      </c>
      <c r="B92" s="5"/>
      <c r="C92" s="5">
        <v>4.7800000000000002E-7</v>
      </c>
      <c r="D92" s="5" t="s">
        <v>9</v>
      </c>
      <c r="E92" s="5" t="s">
        <v>30</v>
      </c>
      <c r="F92" s="5" t="s">
        <v>189</v>
      </c>
      <c r="G92" s="5"/>
      <c r="H92" s="5" t="s">
        <v>31</v>
      </c>
    </row>
    <row r="93" spans="1:8" x14ac:dyDescent="0.25">
      <c r="A93" s="5" t="s">
        <v>254</v>
      </c>
      <c r="B93" s="5"/>
      <c r="C93" s="5">
        <v>0.06</v>
      </c>
      <c r="D93" s="5" t="s">
        <v>9</v>
      </c>
      <c r="E93" s="5" t="s">
        <v>30</v>
      </c>
      <c r="F93" s="5" t="s">
        <v>189</v>
      </c>
      <c r="G93" s="5"/>
      <c r="H93" s="5" t="s">
        <v>31</v>
      </c>
    </row>
    <row r="94" spans="1:8" x14ac:dyDescent="0.25">
      <c r="A94" s="5" t="s">
        <v>255</v>
      </c>
      <c r="B94" s="5"/>
      <c r="C94" s="5">
        <v>4.2000000000000002E-4</v>
      </c>
      <c r="D94" s="5" t="s">
        <v>9</v>
      </c>
      <c r="E94" s="5" t="s">
        <v>30</v>
      </c>
      <c r="F94" s="5" t="s">
        <v>189</v>
      </c>
      <c r="G94" s="5"/>
      <c r="H94" s="5" t="s">
        <v>31</v>
      </c>
    </row>
    <row r="95" spans="1:8" x14ac:dyDescent="0.25">
      <c r="A95" s="5" t="s">
        <v>137</v>
      </c>
      <c r="B95" s="5"/>
      <c r="C95" s="5">
        <v>0.3</v>
      </c>
      <c r="D95" s="5" t="s">
        <v>9</v>
      </c>
      <c r="E95" s="5" t="s">
        <v>30</v>
      </c>
      <c r="F95" s="5" t="s">
        <v>189</v>
      </c>
      <c r="G95" s="5"/>
      <c r="H95" s="5" t="s">
        <v>31</v>
      </c>
    </row>
    <row r="96" spans="1:8" x14ac:dyDescent="0.25">
      <c r="A96" s="5" t="s">
        <v>256</v>
      </c>
      <c r="B96" s="5"/>
      <c r="C96" s="5">
        <v>6.0000000000000001E-3</v>
      </c>
      <c r="D96" s="5" t="s">
        <v>9</v>
      </c>
      <c r="E96" s="5" t="s">
        <v>30</v>
      </c>
      <c r="F96" s="5" t="s">
        <v>189</v>
      </c>
      <c r="G96" s="5"/>
      <c r="H96" s="5" t="s">
        <v>31</v>
      </c>
    </row>
    <row r="97" spans="1:8" x14ac:dyDescent="0.25">
      <c r="A97" s="5" t="s">
        <v>244</v>
      </c>
      <c r="B97" s="5"/>
      <c r="C97" s="5">
        <v>8.9999999999999993E-3</v>
      </c>
      <c r="D97" s="5" t="s">
        <v>9</v>
      </c>
      <c r="E97" s="5" t="s">
        <v>30</v>
      </c>
      <c r="F97" s="5" t="s">
        <v>189</v>
      </c>
      <c r="G97" s="5"/>
      <c r="H97" s="5" t="s">
        <v>31</v>
      </c>
    </row>
    <row r="98" spans="1:8" x14ac:dyDescent="0.25">
      <c r="A98" s="5" t="s">
        <v>146</v>
      </c>
      <c r="B98" s="5"/>
      <c r="C98" s="5">
        <v>3</v>
      </c>
      <c r="D98" s="5" t="s">
        <v>9</v>
      </c>
      <c r="E98" s="5" t="s">
        <v>30</v>
      </c>
      <c r="F98" s="5" t="s">
        <v>189</v>
      </c>
      <c r="G98" s="5"/>
      <c r="H98" s="5" t="s">
        <v>31</v>
      </c>
    </row>
    <row r="99" spans="1:8" x14ac:dyDescent="0.25">
      <c r="A99" s="5" t="s">
        <v>260</v>
      </c>
      <c r="B99" s="5"/>
      <c r="C99" s="5">
        <v>0.6</v>
      </c>
      <c r="D99" s="5" t="s">
        <v>9</v>
      </c>
      <c r="E99" s="5" t="s">
        <v>30</v>
      </c>
      <c r="F99" s="5" t="s">
        <v>189</v>
      </c>
      <c r="G99" s="5"/>
      <c r="H99" s="5" t="s">
        <v>31</v>
      </c>
    </row>
    <row r="100" spans="1:8" x14ac:dyDescent="0.25">
      <c r="A100" s="5" t="s">
        <v>136</v>
      </c>
      <c r="B100" s="5"/>
      <c r="C100" s="5">
        <v>6</v>
      </c>
      <c r="D100" s="5" t="s">
        <v>9</v>
      </c>
      <c r="E100" s="5" t="s">
        <v>30</v>
      </c>
      <c r="F100" s="5" t="s">
        <v>189</v>
      </c>
      <c r="G100" s="5"/>
      <c r="H100" s="5" t="s">
        <v>31</v>
      </c>
    </row>
    <row r="101" spans="1:8" x14ac:dyDescent="0.25">
      <c r="A101" s="5" t="s">
        <v>261</v>
      </c>
      <c r="B101" s="5"/>
      <c r="C101" s="5">
        <v>5.9999999999999995E-4</v>
      </c>
      <c r="D101" s="5" t="s">
        <v>9</v>
      </c>
      <c r="E101" s="5" t="s">
        <v>30</v>
      </c>
      <c r="F101" s="5" t="s">
        <v>189</v>
      </c>
      <c r="G101" s="5"/>
      <c r="H101" s="5" t="s">
        <v>31</v>
      </c>
    </row>
    <row r="102" spans="1:8" x14ac:dyDescent="0.25">
      <c r="A102" s="5" t="s">
        <v>142</v>
      </c>
      <c r="B102" s="5"/>
      <c r="C102" s="5">
        <v>0.3</v>
      </c>
      <c r="D102" s="5" t="s">
        <v>9</v>
      </c>
      <c r="E102" s="5" t="s">
        <v>30</v>
      </c>
      <c r="F102" s="5" t="s">
        <v>189</v>
      </c>
      <c r="G102" s="5"/>
      <c r="H102" s="5" t="s">
        <v>31</v>
      </c>
    </row>
    <row r="103" spans="1:8" x14ac:dyDescent="0.25">
      <c r="A103" s="5" t="s">
        <v>245</v>
      </c>
      <c r="B103" s="5"/>
      <c r="C103" s="5">
        <v>3.0000000000000001E-3</v>
      </c>
      <c r="D103" s="5" t="s">
        <v>9</v>
      </c>
      <c r="E103" s="5" t="s">
        <v>30</v>
      </c>
      <c r="F103" s="5" t="s">
        <v>189</v>
      </c>
      <c r="G103" s="5"/>
      <c r="H103" s="5" t="s">
        <v>31</v>
      </c>
    </row>
    <row r="104" spans="1:8" x14ac:dyDescent="0.25">
      <c r="A104" s="5" t="s">
        <v>246</v>
      </c>
      <c r="B104" s="5"/>
      <c r="C104" s="5">
        <v>3.0000000000000001E-3</v>
      </c>
      <c r="D104" s="5" t="s">
        <v>9</v>
      </c>
      <c r="E104" s="5" t="s">
        <v>30</v>
      </c>
      <c r="F104" s="5" t="s">
        <v>189</v>
      </c>
      <c r="G104" s="5"/>
      <c r="H104" s="5" t="s">
        <v>31</v>
      </c>
    </row>
    <row r="105" spans="1:8" x14ac:dyDescent="0.25">
      <c r="A105" s="5" t="s">
        <v>257</v>
      </c>
      <c r="B105" s="5"/>
      <c r="C105" s="5">
        <v>0.18</v>
      </c>
      <c r="D105" s="5" t="s">
        <v>9</v>
      </c>
      <c r="E105" s="5" t="s">
        <v>30</v>
      </c>
      <c r="F105" s="5" t="s">
        <v>189</v>
      </c>
      <c r="G105" s="5"/>
      <c r="H105" s="5" t="s">
        <v>31</v>
      </c>
    </row>
    <row r="106" spans="1:8" x14ac:dyDescent="0.25">
      <c r="A106" s="5" t="s">
        <v>247</v>
      </c>
      <c r="B106" s="5"/>
      <c r="C106" s="5">
        <v>0.12</v>
      </c>
      <c r="D106" s="5" t="s">
        <v>9</v>
      </c>
      <c r="E106" s="5" t="s">
        <v>30</v>
      </c>
      <c r="F106" s="5" t="s">
        <v>189</v>
      </c>
      <c r="G106" s="5"/>
      <c r="H106" s="5" t="s">
        <v>31</v>
      </c>
    </row>
    <row r="107" spans="1:8" x14ac:dyDescent="0.25">
      <c r="A107" s="5" t="s">
        <v>258</v>
      </c>
      <c r="B107" s="5"/>
      <c r="C107" s="5">
        <v>3.0000000000000001E-3</v>
      </c>
      <c r="D107" s="5" t="s">
        <v>9</v>
      </c>
      <c r="E107" s="5" t="s">
        <v>30</v>
      </c>
      <c r="F107" s="5" t="s">
        <v>189</v>
      </c>
      <c r="G107" s="5"/>
      <c r="H107" s="5" t="s">
        <v>31</v>
      </c>
    </row>
    <row r="108" spans="1:8" x14ac:dyDescent="0.25">
      <c r="A108" s="5" t="s">
        <v>248</v>
      </c>
      <c r="B108" s="5"/>
      <c r="C108" s="5">
        <v>0.06</v>
      </c>
      <c r="D108" s="5" t="s">
        <v>9</v>
      </c>
      <c r="E108" s="5" t="s">
        <v>30</v>
      </c>
      <c r="F108" s="5" t="s">
        <v>189</v>
      </c>
      <c r="G108" s="5"/>
      <c r="H108" s="5" t="s">
        <v>31</v>
      </c>
    </row>
    <row r="109" spans="1:8" x14ac:dyDescent="0.25">
      <c r="A109" s="5" t="s">
        <v>259</v>
      </c>
      <c r="B109" s="5"/>
      <c r="C109" s="5">
        <v>1.4800000000000001E-2</v>
      </c>
      <c r="D109" s="5" t="s">
        <v>9</v>
      </c>
      <c r="E109" s="5" t="s">
        <v>30</v>
      </c>
      <c r="F109" s="5" t="s">
        <v>135</v>
      </c>
      <c r="G109" s="5"/>
      <c r="H109" s="5" t="s">
        <v>31</v>
      </c>
    </row>
    <row r="110" spans="1:8" x14ac:dyDescent="0.25">
      <c r="A110" s="5" t="s">
        <v>145</v>
      </c>
      <c r="B110" s="5"/>
      <c r="C110" s="5">
        <v>1.1999999999999999E-3</v>
      </c>
      <c r="D110" s="5" t="s">
        <v>9</v>
      </c>
      <c r="E110" s="5" t="s">
        <v>30</v>
      </c>
      <c r="F110" s="5" t="s">
        <v>189</v>
      </c>
      <c r="G110" s="5"/>
      <c r="H110" s="5" t="s">
        <v>31</v>
      </c>
    </row>
    <row r="111" spans="1:8" x14ac:dyDescent="0.25">
      <c r="A111" s="5" t="s">
        <v>262</v>
      </c>
      <c r="B111" s="5"/>
      <c r="C111" s="5">
        <v>0.9</v>
      </c>
      <c r="D111" s="5" t="s">
        <v>9</v>
      </c>
      <c r="E111" s="5" t="s">
        <v>30</v>
      </c>
      <c r="F111" s="5" t="s">
        <v>189</v>
      </c>
      <c r="G111" s="5"/>
      <c r="H111" s="5" t="s">
        <v>31</v>
      </c>
    </row>
    <row r="112" spans="1:8" x14ac:dyDescent="0.25">
      <c r="A112" s="5" t="s">
        <v>249</v>
      </c>
      <c r="B112" s="5"/>
      <c r="C112" s="5">
        <v>0.03</v>
      </c>
      <c r="D112" s="5" t="s">
        <v>9</v>
      </c>
      <c r="E112" s="5" t="s">
        <v>30</v>
      </c>
      <c r="F112" s="5" t="s">
        <v>189</v>
      </c>
      <c r="G112" s="5"/>
      <c r="H112" s="5" t="s">
        <v>31</v>
      </c>
    </row>
    <row r="113" spans="1:8" x14ac:dyDescent="0.25">
      <c r="A113" s="5" t="s">
        <v>263</v>
      </c>
      <c r="B113" s="5"/>
      <c r="C113" s="5">
        <v>6</v>
      </c>
      <c r="D113" s="5" t="s">
        <v>9</v>
      </c>
      <c r="E113" s="5" t="s">
        <v>30</v>
      </c>
      <c r="F113" s="5" t="s">
        <v>189</v>
      </c>
      <c r="G113" s="5"/>
      <c r="H113" s="5" t="s">
        <v>31</v>
      </c>
    </row>
    <row r="114" spans="1:8" x14ac:dyDescent="0.25">
      <c r="A114" s="5" t="s">
        <v>250</v>
      </c>
      <c r="B114" s="5"/>
      <c r="C114" s="5">
        <v>1.7999999999999999E-2</v>
      </c>
      <c r="D114" s="5" t="s">
        <v>9</v>
      </c>
      <c r="E114" s="5" t="s">
        <v>30</v>
      </c>
      <c r="F114" s="5" t="s">
        <v>189</v>
      </c>
      <c r="G114" s="5"/>
      <c r="H114" s="5" t="s">
        <v>31</v>
      </c>
    </row>
    <row r="115" spans="1:8" x14ac:dyDescent="0.25">
      <c r="A115" s="5" t="s">
        <v>251</v>
      </c>
      <c r="B115" s="5"/>
      <c r="C115" s="5">
        <v>0.12</v>
      </c>
      <c r="D115" s="5" t="s">
        <v>9</v>
      </c>
      <c r="E115" s="5" t="s">
        <v>30</v>
      </c>
      <c r="F115" s="5" t="s">
        <v>189</v>
      </c>
      <c r="G115" s="5"/>
      <c r="H115" s="5" t="s">
        <v>31</v>
      </c>
    </row>
    <row r="116" spans="1:8" x14ac:dyDescent="0.25">
      <c r="A116" s="5" t="s">
        <v>139</v>
      </c>
      <c r="B116" s="5"/>
      <c r="C116" s="5">
        <v>0.3</v>
      </c>
      <c r="D116" s="5" t="s">
        <v>9</v>
      </c>
      <c r="E116" s="5" t="s">
        <v>30</v>
      </c>
      <c r="F116" s="5" t="s">
        <v>189</v>
      </c>
      <c r="G116" s="5"/>
      <c r="H116" s="5" t="s">
        <v>31</v>
      </c>
    </row>
    <row r="117" spans="1:8" x14ac:dyDescent="0.25">
      <c r="A117" s="5" t="s">
        <v>252</v>
      </c>
      <c r="B117" s="5"/>
      <c r="C117" s="5">
        <v>3.34</v>
      </c>
      <c r="D117" s="5" t="s">
        <v>21</v>
      </c>
      <c r="E117" s="5" t="s">
        <v>30</v>
      </c>
      <c r="F117" s="5" t="s">
        <v>33</v>
      </c>
      <c r="G117" s="5"/>
      <c r="H117" s="5" t="s">
        <v>31</v>
      </c>
    </row>
    <row r="118" spans="1:8" x14ac:dyDescent="0.25">
      <c r="A118" s="5" t="s">
        <v>264</v>
      </c>
      <c r="B118" s="5"/>
      <c r="C118" s="5">
        <v>1.1999999999999999E-3</v>
      </c>
      <c r="D118" s="5" t="s">
        <v>9</v>
      </c>
      <c r="E118" s="5" t="s">
        <v>30</v>
      </c>
      <c r="F118" s="5" t="s">
        <v>189</v>
      </c>
      <c r="G118" s="5"/>
      <c r="H118" s="5" t="s">
        <v>31</v>
      </c>
    </row>
    <row r="119" spans="1:8" x14ac:dyDescent="0.25">
      <c r="C119" s="16"/>
    </row>
    <row r="120" spans="1:8" x14ac:dyDescent="0.25">
      <c r="C120" s="16"/>
    </row>
    <row r="121" spans="1:8" x14ac:dyDescent="0.25">
      <c r="C121" s="16"/>
    </row>
    <row r="122" spans="1:8" x14ac:dyDescent="0.25">
      <c r="C122" s="16"/>
    </row>
    <row r="123" spans="1:8" x14ac:dyDescent="0.25">
      <c r="C123" s="16"/>
    </row>
    <row r="124" spans="1:8" x14ac:dyDescent="0.25">
      <c r="C124" s="16"/>
    </row>
    <row r="125" spans="1:8" x14ac:dyDescent="0.25">
      <c r="C125" s="16"/>
    </row>
    <row r="126" spans="1:8" x14ac:dyDescent="0.25">
      <c r="C126" s="16"/>
    </row>
    <row r="127" spans="1:8" x14ac:dyDescent="0.25">
      <c r="C127" s="16"/>
    </row>
    <row r="128" spans="1:8" x14ac:dyDescent="0.25">
      <c r="C128" s="16"/>
    </row>
    <row r="129" spans="3:3" x14ac:dyDescent="0.25">
      <c r="C129" s="16"/>
    </row>
    <row r="130" spans="3:3" x14ac:dyDescent="0.25">
      <c r="C130" s="16"/>
    </row>
    <row r="131" spans="3:3" x14ac:dyDescent="0.25">
      <c r="C131" s="16"/>
    </row>
    <row r="132" spans="3:3" x14ac:dyDescent="0.25">
      <c r="C132" s="16"/>
    </row>
    <row r="133" spans="3:3" x14ac:dyDescent="0.25">
      <c r="C133" s="16"/>
    </row>
    <row r="134" spans="3:3" x14ac:dyDescent="0.25">
      <c r="C134" s="16"/>
    </row>
    <row r="135" spans="3:3" x14ac:dyDescent="0.25">
      <c r="C135" s="16"/>
    </row>
    <row r="136" spans="3:3" x14ac:dyDescent="0.25">
      <c r="C136" s="16"/>
    </row>
    <row r="137" spans="3:3" x14ac:dyDescent="0.25">
      <c r="C137" s="16"/>
    </row>
    <row r="138" spans="3:3" x14ac:dyDescent="0.25">
      <c r="C138" s="16"/>
    </row>
    <row r="139" spans="3:3" x14ac:dyDescent="0.25">
      <c r="C139" s="16"/>
    </row>
    <row r="140" spans="3:3" x14ac:dyDescent="0.25">
      <c r="C140" s="16"/>
    </row>
    <row r="141" spans="3:3" x14ac:dyDescent="0.25">
      <c r="C141" s="16"/>
    </row>
    <row r="142" spans="3:3" x14ac:dyDescent="0.25">
      <c r="C142" s="16"/>
    </row>
    <row r="143" spans="3:3" x14ac:dyDescent="0.25">
      <c r="C143" s="16"/>
    </row>
    <row r="144" spans="3:3" x14ac:dyDescent="0.25">
      <c r="C144" s="16"/>
    </row>
    <row r="145" spans="3:3" x14ac:dyDescent="0.25">
      <c r="C145" s="16"/>
    </row>
    <row r="146" spans="3:3" x14ac:dyDescent="0.25">
      <c r="C146" s="16"/>
    </row>
    <row r="147" spans="3:3" x14ac:dyDescent="0.25">
      <c r="C147" s="16"/>
    </row>
    <row r="148" spans="3:3" x14ac:dyDescent="0.25">
      <c r="C148" s="16"/>
    </row>
    <row r="149" spans="3:3" x14ac:dyDescent="0.25">
      <c r="C149" s="16"/>
    </row>
    <row r="150" spans="3:3" x14ac:dyDescent="0.25">
      <c r="C150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81"/>
  <sheetViews>
    <sheetView topLeftCell="A10" zoomScaleNormal="100" workbookViewId="0">
      <selection activeCell="A36" sqref="A36:H36"/>
    </sheetView>
  </sheetViews>
  <sheetFormatPr defaultColWidth="8.7109375" defaultRowHeight="15" x14ac:dyDescent="0.25"/>
  <cols>
    <col min="1" max="1" width="94.7109375" bestFit="1" customWidth="1"/>
    <col min="3" max="3" width="38.28515625" bestFit="1" customWidth="1"/>
    <col min="5" max="5" width="12.42578125" bestFit="1" customWidth="1"/>
    <col min="6" max="6" width="23.42578125" bestFit="1" customWidth="1"/>
    <col min="7" max="7" width="13" bestFit="1" customWidth="1"/>
    <col min="8" max="8" width="25.140625" bestFit="1" customWidth="1"/>
  </cols>
  <sheetData>
    <row r="1" spans="1:8" x14ac:dyDescent="0.25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5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5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5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5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5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5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5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5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5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5">
      <c r="A11" t="s">
        <v>111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112</v>
      </c>
    </row>
    <row r="12" spans="1:8" x14ac:dyDescent="0.25">
      <c r="A12" t="s">
        <v>54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5">
      <c r="A13" t="s">
        <v>128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5">
      <c r="A14" t="s">
        <v>183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5">
      <c r="A15" t="s">
        <v>184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185</v>
      </c>
    </row>
    <row r="16" spans="1:8" x14ac:dyDescent="0.25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5">
      <c r="A17" s="14" t="s">
        <v>186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187</v>
      </c>
    </row>
    <row r="18" spans="1:8" x14ac:dyDescent="0.25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188</v>
      </c>
      <c r="G18" t="s">
        <v>31</v>
      </c>
    </row>
    <row r="19" spans="1:8" x14ac:dyDescent="0.25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189</v>
      </c>
      <c r="G19" t="s">
        <v>31</v>
      </c>
    </row>
    <row r="20" spans="1:8" x14ac:dyDescent="0.25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189</v>
      </c>
      <c r="G20" t="s">
        <v>31</v>
      </c>
      <c r="H20" s="14"/>
    </row>
    <row r="21" spans="1:8" x14ac:dyDescent="0.25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188</v>
      </c>
      <c r="G21" t="s">
        <v>31</v>
      </c>
      <c r="H21" s="14"/>
    </row>
    <row r="22" spans="1:8" x14ac:dyDescent="0.25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190</v>
      </c>
      <c r="G22" t="s">
        <v>31</v>
      </c>
    </row>
    <row r="23" spans="1:8" x14ac:dyDescent="0.25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5">
      <c r="A24" s="2"/>
      <c r="B24" s="2"/>
      <c r="C24" s="3"/>
      <c r="D24" s="2"/>
      <c r="E24" s="2"/>
      <c r="F24" s="2"/>
      <c r="G24" s="2"/>
      <c r="H24" s="2"/>
    </row>
    <row r="25" spans="1:8" x14ac:dyDescent="0.25">
      <c r="A25" s="1" t="s">
        <v>0</v>
      </c>
      <c r="B25" s="1" t="s">
        <v>113</v>
      </c>
      <c r="C25" s="8"/>
      <c r="D25" s="8"/>
      <c r="E25" s="8"/>
      <c r="F25" s="8"/>
      <c r="G25" s="8"/>
      <c r="H25" s="8"/>
    </row>
    <row r="26" spans="1:8" x14ac:dyDescent="0.25">
      <c r="A26" s="8" t="s">
        <v>2</v>
      </c>
      <c r="B26" t="s">
        <v>191</v>
      </c>
      <c r="C26" s="8"/>
      <c r="D26" s="8"/>
      <c r="E26" s="8"/>
      <c r="F26" s="8"/>
      <c r="G26" s="8"/>
      <c r="H26" s="8"/>
    </row>
    <row r="27" spans="1:8" x14ac:dyDescent="0.25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5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5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5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5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5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8" x14ac:dyDescent="0.25">
      <c r="A33" t="s">
        <v>113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8" x14ac:dyDescent="0.25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8" x14ac:dyDescent="0.25">
      <c r="A35" s="17" t="s">
        <v>133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134</v>
      </c>
    </row>
    <row r="36" spans="1:8" x14ac:dyDescent="0.25">
      <c r="A36" s="17" t="s">
        <v>192</v>
      </c>
      <c r="B36" s="9">
        <f>99.66/100*B21</f>
        <v>1.4277291599999999</v>
      </c>
      <c r="C36" s="8" t="s">
        <v>16</v>
      </c>
      <c r="D36" s="17" t="s">
        <v>4</v>
      </c>
      <c r="E36" s="5" t="s">
        <v>9</v>
      </c>
      <c r="F36" s="17"/>
      <c r="G36" t="s">
        <v>20</v>
      </c>
      <c r="H36" s="17" t="s">
        <v>192</v>
      </c>
    </row>
    <row r="37" spans="1:8" x14ac:dyDescent="0.25">
      <c r="A37" t="s">
        <v>54</v>
      </c>
      <c r="B37" s="4">
        <f>0.049232+0.146*B36</f>
        <v>0.25768045736</v>
      </c>
      <c r="C37" t="s">
        <v>18</v>
      </c>
      <c r="D37" t="s">
        <v>44</v>
      </c>
      <c r="E37" t="s">
        <v>24</v>
      </c>
      <c r="G37" t="s">
        <v>20</v>
      </c>
      <c r="H37" t="s">
        <v>43</v>
      </c>
    </row>
    <row r="38" spans="1:8" x14ac:dyDescent="0.25">
      <c r="A38" t="s">
        <v>128</v>
      </c>
      <c r="B38" s="13">
        <v>3.4820000000000001E-4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25</v>
      </c>
    </row>
    <row r="39" spans="1:8" x14ac:dyDescent="0.25">
      <c r="A39" t="s">
        <v>183</v>
      </c>
      <c r="B39" s="4">
        <v>0.71728999999999998</v>
      </c>
      <c r="C39" t="s">
        <v>18</v>
      </c>
      <c r="D39" t="s">
        <v>19</v>
      </c>
      <c r="E39" t="s">
        <v>9</v>
      </c>
      <c r="G39" t="s">
        <v>20</v>
      </c>
      <c r="H39" t="s">
        <v>26</v>
      </c>
    </row>
    <row r="40" spans="1:8" x14ac:dyDescent="0.25">
      <c r="A40" t="s">
        <v>184</v>
      </c>
      <c r="B40" s="15">
        <v>2.9845513851461699E-5</v>
      </c>
      <c r="C40" t="s">
        <v>18</v>
      </c>
      <c r="D40" t="s">
        <v>4</v>
      </c>
      <c r="E40" t="s">
        <v>9</v>
      </c>
      <c r="F40" s="8"/>
      <c r="G40" t="s">
        <v>20</v>
      </c>
      <c r="H40" t="s">
        <v>185</v>
      </c>
    </row>
    <row r="41" spans="1:8" x14ac:dyDescent="0.25">
      <c r="A41" t="s">
        <v>27</v>
      </c>
      <c r="B41" s="13">
        <v>3.9794018468615601E-10</v>
      </c>
      <c r="C41" t="s">
        <v>18</v>
      </c>
      <c r="D41" t="s">
        <v>4</v>
      </c>
      <c r="E41" t="s">
        <v>8</v>
      </c>
      <c r="G41" t="s">
        <v>20</v>
      </c>
      <c r="H41" t="s">
        <v>28</v>
      </c>
    </row>
    <row r="42" spans="1:8" x14ac:dyDescent="0.25">
      <c r="A42" s="14" t="s">
        <v>186</v>
      </c>
      <c r="B42" s="13">
        <v>-1.9897009234307801E-4</v>
      </c>
      <c r="C42" t="s">
        <v>18</v>
      </c>
      <c r="D42" t="s">
        <v>19</v>
      </c>
      <c r="E42" t="s">
        <v>9</v>
      </c>
      <c r="G42" t="s">
        <v>20</v>
      </c>
      <c r="H42" t="s">
        <v>187</v>
      </c>
    </row>
    <row r="43" spans="1:8" x14ac:dyDescent="0.25">
      <c r="A43" t="s">
        <v>37</v>
      </c>
      <c r="B43" s="13">
        <v>6.9639532320077196E-4</v>
      </c>
      <c r="C43" s="17" t="s">
        <v>30</v>
      </c>
      <c r="E43" s="5" t="s">
        <v>9</v>
      </c>
      <c r="F43" s="7" t="s">
        <v>188</v>
      </c>
      <c r="G43" t="s">
        <v>31</v>
      </c>
    </row>
    <row r="44" spans="1:8" x14ac:dyDescent="0.25">
      <c r="A44" t="s">
        <v>38</v>
      </c>
      <c r="B44" s="13">
        <v>8.6020242597452001E-2</v>
      </c>
      <c r="C44" s="17" t="s">
        <v>30</v>
      </c>
      <c r="E44" s="5" t="s">
        <v>21</v>
      </c>
      <c r="F44" s="5" t="s">
        <v>189</v>
      </c>
      <c r="G44" t="s">
        <v>31</v>
      </c>
    </row>
    <row r="45" spans="1:8" x14ac:dyDescent="0.25">
      <c r="A45" t="s">
        <v>36</v>
      </c>
      <c r="B45" s="13">
        <v>1.19382055405847E-4</v>
      </c>
      <c r="C45" s="17" t="s">
        <v>30</v>
      </c>
      <c r="E45" s="5" t="s">
        <v>9</v>
      </c>
      <c r="F45" s="5" t="s">
        <v>189</v>
      </c>
      <c r="G45" t="s">
        <v>31</v>
      </c>
      <c r="H45" s="14"/>
    </row>
    <row r="46" spans="1:8" x14ac:dyDescent="0.25">
      <c r="A46" t="s">
        <v>29</v>
      </c>
      <c r="B46" s="22">
        <f>B21-B36</f>
        <v>4.8708400000001539E-3</v>
      </c>
      <c r="C46" s="17" t="s">
        <v>30</v>
      </c>
      <c r="E46" s="5" t="s">
        <v>9</v>
      </c>
      <c r="F46" s="5" t="s">
        <v>188</v>
      </c>
      <c r="G46" t="s">
        <v>31</v>
      </c>
      <c r="H46" s="14"/>
    </row>
    <row r="47" spans="1:8" x14ac:dyDescent="0.25">
      <c r="A47" t="s">
        <v>38</v>
      </c>
      <c r="B47" s="15">
        <v>5.4119865117317201E-2</v>
      </c>
      <c r="C47" s="17" t="s">
        <v>30</v>
      </c>
      <c r="E47" s="5" t="s">
        <v>21</v>
      </c>
      <c r="F47" s="17" t="s">
        <v>190</v>
      </c>
      <c r="G47" t="s">
        <v>31</v>
      </c>
    </row>
    <row r="48" spans="1:8" x14ac:dyDescent="0.25">
      <c r="A48" t="s">
        <v>32</v>
      </c>
      <c r="B48" s="4">
        <v>0.13927999999999999</v>
      </c>
      <c r="C48" s="17" t="s">
        <v>30</v>
      </c>
      <c r="E48" s="5" t="s">
        <v>21</v>
      </c>
      <c r="F48" s="17" t="s">
        <v>33</v>
      </c>
      <c r="G48" t="s">
        <v>31</v>
      </c>
    </row>
    <row r="49" spans="1:8" x14ac:dyDescent="0.25">
      <c r="A49" s="2"/>
      <c r="B49" s="2"/>
      <c r="C49" s="3"/>
      <c r="D49" s="2"/>
      <c r="E49" s="2"/>
      <c r="F49" s="2"/>
      <c r="G49" s="2"/>
      <c r="H49" s="2"/>
    </row>
    <row r="50" spans="1:8" x14ac:dyDescent="0.25">
      <c r="A50" s="1" t="s">
        <v>0</v>
      </c>
      <c r="B50" s="1" t="s">
        <v>119</v>
      </c>
      <c r="C50" s="8"/>
      <c r="D50" s="8"/>
      <c r="E50" s="8"/>
      <c r="F50" s="8"/>
      <c r="G50" s="8"/>
      <c r="H50" s="8"/>
    </row>
    <row r="51" spans="1:8" x14ac:dyDescent="0.25">
      <c r="A51" s="8" t="s">
        <v>2</v>
      </c>
      <c r="B51" t="s">
        <v>114</v>
      </c>
      <c r="C51" s="8"/>
      <c r="D51" s="8"/>
      <c r="E51" s="8"/>
      <c r="F51" s="8"/>
      <c r="G51" s="8"/>
      <c r="H51" s="8"/>
    </row>
    <row r="52" spans="1:8" x14ac:dyDescent="0.25">
      <c r="A52" s="8" t="s">
        <v>3</v>
      </c>
      <c r="B52" t="s">
        <v>4</v>
      </c>
      <c r="C52" s="8"/>
      <c r="D52" s="8"/>
      <c r="E52" s="8"/>
      <c r="F52" s="8"/>
      <c r="G52" s="8"/>
      <c r="H52" s="8"/>
    </row>
    <row r="53" spans="1:8" x14ac:dyDescent="0.25">
      <c r="A53" s="8" t="s">
        <v>5</v>
      </c>
      <c r="B53" s="8">
        <v>1</v>
      </c>
      <c r="C53" s="8"/>
      <c r="D53" s="8"/>
      <c r="E53" s="8"/>
      <c r="F53" s="8"/>
      <c r="G53" s="8"/>
      <c r="H53" s="8"/>
    </row>
    <row r="54" spans="1:8" x14ac:dyDescent="0.25">
      <c r="A54" s="8" t="s">
        <v>6</v>
      </c>
      <c r="B54" t="s">
        <v>7</v>
      </c>
      <c r="C54" s="8"/>
      <c r="D54" s="8"/>
      <c r="E54" s="8"/>
      <c r="F54" s="8"/>
      <c r="G54" s="8"/>
      <c r="H54" s="8"/>
    </row>
    <row r="55" spans="1:8" x14ac:dyDescent="0.25">
      <c r="A55" s="8" t="s">
        <v>8</v>
      </c>
      <c r="B55" t="s">
        <v>9</v>
      </c>
      <c r="C55" s="8"/>
      <c r="D55" s="8"/>
      <c r="E55" s="8"/>
      <c r="F55" s="8"/>
      <c r="G55" s="8"/>
      <c r="H55" s="8"/>
    </row>
    <row r="56" spans="1:8" x14ac:dyDescent="0.25">
      <c r="A56" s="1" t="s">
        <v>10</v>
      </c>
      <c r="B56" s="8"/>
      <c r="C56" s="8"/>
      <c r="D56" s="8"/>
      <c r="E56" s="8"/>
      <c r="F56" s="8"/>
      <c r="G56" s="8"/>
      <c r="H56" s="8"/>
    </row>
    <row r="57" spans="1:8" x14ac:dyDescent="0.25">
      <c r="A57" s="8" t="s">
        <v>11</v>
      </c>
      <c r="B57" s="8" t="s">
        <v>12</v>
      </c>
      <c r="C57" s="8" t="s">
        <v>13</v>
      </c>
      <c r="D57" s="8" t="s">
        <v>3</v>
      </c>
      <c r="E57" s="8" t="s">
        <v>8</v>
      </c>
      <c r="F57" s="8" t="s">
        <v>14</v>
      </c>
      <c r="G57" s="8" t="s">
        <v>15</v>
      </c>
      <c r="H57" s="8" t="s">
        <v>6</v>
      </c>
    </row>
    <row r="58" spans="1:8" x14ac:dyDescent="0.25">
      <c r="A58" t="s">
        <v>119</v>
      </c>
      <c r="B58" s="9">
        <v>1</v>
      </c>
      <c r="C58" s="8" t="s">
        <v>16</v>
      </c>
      <c r="D58" t="s">
        <v>4</v>
      </c>
      <c r="E58" t="s">
        <v>9</v>
      </c>
      <c r="F58" s="8"/>
      <c r="G58" s="8" t="s">
        <v>17</v>
      </c>
      <c r="H58" t="s">
        <v>7</v>
      </c>
    </row>
    <row r="59" spans="1:8" x14ac:dyDescent="0.25">
      <c r="A59" s="8" t="s">
        <v>40</v>
      </c>
      <c r="B59" s="9">
        <v>0.81499999999999995</v>
      </c>
      <c r="C59" s="8" t="s">
        <v>16</v>
      </c>
      <c r="D59" t="s">
        <v>4</v>
      </c>
      <c r="E59" s="8" t="s">
        <v>9</v>
      </c>
      <c r="F59" s="8"/>
      <c r="G59" t="s">
        <v>20</v>
      </c>
      <c r="H59" t="s">
        <v>41</v>
      </c>
    </row>
    <row r="60" spans="1:8" x14ac:dyDescent="0.25">
      <c r="A60" t="s">
        <v>77</v>
      </c>
      <c r="B60" s="13">
        <v>5.5099999999999998E-5</v>
      </c>
      <c r="C60" s="8" t="s">
        <v>16</v>
      </c>
      <c r="D60" t="s">
        <v>4</v>
      </c>
      <c r="E60" t="s">
        <v>9</v>
      </c>
      <c r="F60" s="8"/>
      <c r="G60" t="s">
        <v>20</v>
      </c>
      <c r="H60" t="s">
        <v>77</v>
      </c>
    </row>
    <row r="61" spans="1:8" x14ac:dyDescent="0.25">
      <c r="A61" t="s">
        <v>27</v>
      </c>
      <c r="B61" s="13">
        <v>3.29E-10</v>
      </c>
      <c r="C61" t="s">
        <v>18</v>
      </c>
      <c r="D61" t="s">
        <v>4</v>
      </c>
      <c r="E61" t="s">
        <v>8</v>
      </c>
      <c r="F61" s="8"/>
      <c r="G61" t="s">
        <v>20</v>
      </c>
      <c r="H61" t="s">
        <v>28</v>
      </c>
    </row>
    <row r="62" spans="1:8" x14ac:dyDescent="0.25">
      <c r="A62" t="s">
        <v>32</v>
      </c>
      <c r="B62" s="4">
        <v>0.14899999999999999</v>
      </c>
      <c r="C62" t="s">
        <v>30</v>
      </c>
      <c r="E62" t="s">
        <v>21</v>
      </c>
      <c r="F62" t="s">
        <v>33</v>
      </c>
      <c r="G62" t="s">
        <v>31</v>
      </c>
    </row>
    <row r="63" spans="1:8" x14ac:dyDescent="0.25">
      <c r="A63" t="s">
        <v>54</v>
      </c>
      <c r="B63" s="4">
        <v>0.55600000000000005</v>
      </c>
      <c r="C63" t="s">
        <v>18</v>
      </c>
      <c r="D63" t="s">
        <v>44</v>
      </c>
      <c r="E63" t="s">
        <v>24</v>
      </c>
      <c r="G63" t="s">
        <v>20</v>
      </c>
      <c r="H63" t="s">
        <v>43</v>
      </c>
    </row>
    <row r="64" spans="1:8" x14ac:dyDescent="0.25">
      <c r="A64" t="s">
        <v>34</v>
      </c>
      <c r="B64" s="15">
        <v>7.67E-4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5">
      <c r="A65" t="s">
        <v>35</v>
      </c>
      <c r="B65" s="15">
        <v>1.6299999999999999E-3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5">
      <c r="A66" t="s">
        <v>37</v>
      </c>
      <c r="B66" s="15">
        <v>1E-3</v>
      </c>
      <c r="C66" t="s">
        <v>30</v>
      </c>
      <c r="E66" t="s">
        <v>9</v>
      </c>
      <c r="F66" t="s">
        <v>39</v>
      </c>
      <c r="G66" t="s">
        <v>31</v>
      </c>
    </row>
    <row r="67" spans="1:8" x14ac:dyDescent="0.25">
      <c r="A67" t="s">
        <v>38</v>
      </c>
      <c r="B67" s="15">
        <f>47.6/1000</f>
        <v>4.7600000000000003E-2</v>
      </c>
      <c r="C67" t="s">
        <v>30</v>
      </c>
      <c r="E67" t="s">
        <v>21</v>
      </c>
      <c r="F67" t="s">
        <v>39</v>
      </c>
      <c r="G67" t="s">
        <v>31</v>
      </c>
    </row>
    <row r="68" spans="1:8" x14ac:dyDescent="0.25">
      <c r="A68" t="s">
        <v>38</v>
      </c>
      <c r="B68" s="15">
        <f>101/1000</f>
        <v>0.10100000000000001</v>
      </c>
      <c r="C68" t="s">
        <v>30</v>
      </c>
      <c r="E68" t="s">
        <v>21</v>
      </c>
      <c r="F68" t="s">
        <v>42</v>
      </c>
      <c r="G68" t="s">
        <v>31</v>
      </c>
    </row>
    <row r="69" spans="1:8" x14ac:dyDescent="0.25">
      <c r="A69" s="8" t="s">
        <v>109</v>
      </c>
      <c r="B69" s="15">
        <v>-5.5099999999999998E-5</v>
      </c>
      <c r="C69" t="s">
        <v>18</v>
      </c>
      <c r="D69" t="s">
        <v>19</v>
      </c>
      <c r="E69" t="s">
        <v>9</v>
      </c>
      <c r="G69" t="s">
        <v>20</v>
      </c>
      <c r="H69" s="8" t="s">
        <v>110</v>
      </c>
    </row>
    <row r="70" spans="1:8" x14ac:dyDescent="0.25">
      <c r="A70" s="24"/>
      <c r="B70" s="15"/>
    </row>
    <row r="71" spans="1:8" x14ac:dyDescent="0.25">
      <c r="B71" s="15"/>
    </row>
    <row r="72" spans="1:8" x14ac:dyDescent="0.25">
      <c r="B72" s="15"/>
    </row>
    <row r="73" spans="1:8" x14ac:dyDescent="0.25">
      <c r="B73" s="15"/>
    </row>
    <row r="74" spans="1:8" x14ac:dyDescent="0.25">
      <c r="B74" s="4"/>
    </row>
    <row r="75" spans="1:8" x14ac:dyDescent="0.25">
      <c r="B75" s="15"/>
    </row>
    <row r="76" spans="1:8" x14ac:dyDescent="0.25">
      <c r="B76" s="15"/>
    </row>
    <row r="77" spans="1:8" x14ac:dyDescent="0.25">
      <c r="B77" s="15"/>
    </row>
    <row r="78" spans="1:8" x14ac:dyDescent="0.25">
      <c r="B78" s="15"/>
    </row>
    <row r="79" spans="1:8" x14ac:dyDescent="0.25">
      <c r="B79" s="15"/>
    </row>
    <row r="80" spans="1:8" x14ac:dyDescent="0.25">
      <c r="B80" s="15"/>
    </row>
    <row r="81" spans="1:8" x14ac:dyDescent="0.25">
      <c r="A81" s="8"/>
      <c r="B81" s="13"/>
      <c r="C81" s="8"/>
      <c r="D81" s="8"/>
      <c r="E81" s="8"/>
      <c r="F81" s="8"/>
      <c r="H81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abSelected="1" topLeftCell="A37" workbookViewId="0">
      <selection activeCell="C51" sqref="C51"/>
    </sheetView>
  </sheetViews>
  <sheetFormatPr defaultColWidth="8.7109375" defaultRowHeight="15" x14ac:dyDescent="0.25"/>
  <cols>
    <col min="1" max="1" width="86.42578125" bestFit="1" customWidth="1"/>
    <col min="3" max="3" width="38.28515625" bestFit="1" customWidth="1"/>
    <col min="5" max="5" width="12.42578125" bestFit="1" customWidth="1"/>
    <col min="6" max="6" width="33.28515625" bestFit="1" customWidth="1"/>
    <col min="7" max="7" width="13" bestFit="1" customWidth="1"/>
    <col min="8" max="8" width="25.140625" bestFit="1" customWidth="1"/>
  </cols>
  <sheetData>
    <row r="1" spans="1:8" x14ac:dyDescent="0.25">
      <c r="A1" s="1" t="s">
        <v>0</v>
      </c>
      <c r="B1" s="1" t="s">
        <v>120</v>
      </c>
      <c r="C1" s="8"/>
      <c r="D1" s="8"/>
      <c r="E1" s="8"/>
      <c r="F1" s="8"/>
      <c r="G1" s="8"/>
      <c r="H1" s="8"/>
    </row>
    <row r="2" spans="1:8" x14ac:dyDescent="0.25">
      <c r="A2" s="8" t="s">
        <v>2</v>
      </c>
      <c r="B2" t="s">
        <v>122</v>
      </c>
      <c r="C2" s="8"/>
      <c r="D2" s="8"/>
      <c r="E2" s="8"/>
      <c r="F2" s="8"/>
      <c r="G2" s="8"/>
      <c r="H2" s="8"/>
    </row>
    <row r="3" spans="1:8" x14ac:dyDescent="0.25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5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5">
      <c r="A5" s="8" t="s">
        <v>6</v>
      </c>
      <c r="B5" t="s">
        <v>121</v>
      </c>
      <c r="C5" s="8"/>
      <c r="D5" s="8"/>
      <c r="E5" s="8"/>
      <c r="F5" s="8"/>
      <c r="G5" s="8"/>
      <c r="H5" s="8"/>
    </row>
    <row r="6" spans="1:8" x14ac:dyDescent="0.25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5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5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5">
      <c r="A9" t="s">
        <v>120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121</v>
      </c>
    </row>
    <row r="10" spans="1:8" x14ac:dyDescent="0.25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5">
      <c r="A11" t="s">
        <v>111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112</v>
      </c>
    </row>
    <row r="12" spans="1:8" x14ac:dyDescent="0.25">
      <c r="A12" t="s">
        <v>54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5">
      <c r="A13" t="s">
        <v>124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125</v>
      </c>
    </row>
    <row r="14" spans="1:8" x14ac:dyDescent="0.25">
      <c r="A14" t="s">
        <v>126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127</v>
      </c>
    </row>
    <row r="15" spans="1:8" x14ac:dyDescent="0.25">
      <c r="A15" t="s">
        <v>72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73</v>
      </c>
    </row>
    <row r="16" spans="1:8" x14ac:dyDescent="0.25">
      <c r="A16" t="s">
        <v>128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5">
      <c r="A17" t="s">
        <v>48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49</v>
      </c>
    </row>
    <row r="18" spans="1:8" x14ac:dyDescent="0.25">
      <c r="A18" t="s">
        <v>129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132</v>
      </c>
    </row>
    <row r="19" spans="1:8" x14ac:dyDescent="0.25">
      <c r="A19" t="s">
        <v>130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131</v>
      </c>
    </row>
    <row r="20" spans="1:8" x14ac:dyDescent="0.25">
      <c r="A20" t="s">
        <v>91</v>
      </c>
      <c r="B20" s="13">
        <v>9.7999999999999997E-4</v>
      </c>
      <c r="C20" s="17" t="s">
        <v>30</v>
      </c>
      <c r="E20" s="17" t="s">
        <v>9</v>
      </c>
      <c r="F20" s="7" t="s">
        <v>135</v>
      </c>
      <c r="G20" t="s">
        <v>31</v>
      </c>
    </row>
    <row r="21" spans="1:8" x14ac:dyDescent="0.25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5">
      <c r="A22" t="s">
        <v>136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5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135</v>
      </c>
      <c r="G23" t="s">
        <v>31</v>
      </c>
    </row>
    <row r="24" spans="1:8" x14ac:dyDescent="0.25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5">
      <c r="A25" t="s">
        <v>137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5">
      <c r="A26" t="s">
        <v>138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5">
      <c r="A27" t="s">
        <v>139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5">
      <c r="A28" t="s">
        <v>140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5">
      <c r="A29" t="s">
        <v>138</v>
      </c>
      <c r="B29" s="15">
        <v>5.2999999999999998E-4</v>
      </c>
      <c r="C29" s="17" t="s">
        <v>30</v>
      </c>
      <c r="E29" s="17" t="s">
        <v>9</v>
      </c>
      <c r="F29" s="7" t="s">
        <v>135</v>
      </c>
      <c r="G29" t="s">
        <v>31</v>
      </c>
    </row>
    <row r="30" spans="1:8" x14ac:dyDescent="0.25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5">
      <c r="A31" t="s">
        <v>141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5">
      <c r="A32" t="s">
        <v>142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5">
      <c r="A33" t="s">
        <v>143</v>
      </c>
      <c r="B33" s="15">
        <v>1.38E-5</v>
      </c>
      <c r="C33" s="17" t="s">
        <v>30</v>
      </c>
      <c r="E33" s="17" t="s">
        <v>9</v>
      </c>
      <c r="F33" s="7" t="s">
        <v>135</v>
      </c>
      <c r="G33" t="s">
        <v>31</v>
      </c>
    </row>
    <row r="34" spans="1:8" x14ac:dyDescent="0.25">
      <c r="A34" t="s">
        <v>144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5">
      <c r="A35" t="s">
        <v>145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5">
      <c r="A36" s="8" t="s">
        <v>146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5">
      <c r="A37" s="8" t="s">
        <v>147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5">
      <c r="A38" s="2"/>
      <c r="B38" s="2"/>
      <c r="C38" s="3"/>
      <c r="D38" s="2"/>
      <c r="E38" s="2"/>
      <c r="F38" s="2"/>
      <c r="G38" s="2"/>
      <c r="H38" s="2"/>
    </row>
    <row r="39" spans="1:8" x14ac:dyDescent="0.25">
      <c r="A39" s="1" t="s">
        <v>0</v>
      </c>
      <c r="B39" s="1" t="s">
        <v>123</v>
      </c>
      <c r="C39" s="8"/>
      <c r="D39" s="8"/>
      <c r="E39" s="8"/>
      <c r="F39" s="8"/>
      <c r="G39" s="8"/>
      <c r="H39" s="8"/>
    </row>
    <row r="40" spans="1:8" x14ac:dyDescent="0.25">
      <c r="A40" s="8" t="s">
        <v>2</v>
      </c>
      <c r="B40" t="s">
        <v>164</v>
      </c>
      <c r="C40" s="8"/>
      <c r="D40" s="8"/>
      <c r="E40" s="8"/>
      <c r="F40" s="8"/>
      <c r="G40" s="8"/>
      <c r="H40" s="8"/>
    </row>
    <row r="41" spans="1:8" x14ac:dyDescent="0.25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5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5">
      <c r="A43" s="8" t="s">
        <v>6</v>
      </c>
      <c r="B43" t="s">
        <v>121</v>
      </c>
      <c r="C43" s="8"/>
      <c r="D43" s="8"/>
      <c r="E43" s="8"/>
      <c r="F43" s="8"/>
      <c r="G43" s="8"/>
      <c r="H43" s="8"/>
    </row>
    <row r="44" spans="1:8" x14ac:dyDescent="0.25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5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5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5">
      <c r="A47" t="s">
        <v>123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121</v>
      </c>
    </row>
    <row r="48" spans="1:8" x14ac:dyDescent="0.25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5">
      <c r="A49" s="17" t="s">
        <v>133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134</v>
      </c>
    </row>
    <row r="50" spans="1:8" x14ac:dyDescent="0.25">
      <c r="A50" t="s">
        <v>54</v>
      </c>
      <c r="B50" s="4">
        <f>0.074</f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5">
      <c r="A51" t="s">
        <v>124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125</v>
      </c>
    </row>
    <row r="52" spans="1:8" x14ac:dyDescent="0.25">
      <c r="A52" t="s">
        <v>126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127</v>
      </c>
    </row>
    <row r="53" spans="1:8" x14ac:dyDescent="0.25">
      <c r="A53" t="s">
        <v>72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73</v>
      </c>
    </row>
    <row r="54" spans="1:8" x14ac:dyDescent="0.25">
      <c r="A54" t="s">
        <v>128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5">
      <c r="A55" t="s">
        <v>48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49</v>
      </c>
    </row>
    <row r="56" spans="1:8" x14ac:dyDescent="0.25">
      <c r="A56" t="s">
        <v>129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132</v>
      </c>
    </row>
    <row r="57" spans="1:8" x14ac:dyDescent="0.25">
      <c r="A57" t="s">
        <v>130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131</v>
      </c>
    </row>
    <row r="58" spans="1:8" x14ac:dyDescent="0.25">
      <c r="A58" t="s">
        <v>91</v>
      </c>
      <c r="B58" s="13">
        <v>9.7999999999999997E-4</v>
      </c>
      <c r="C58" s="17" t="s">
        <v>30</v>
      </c>
      <c r="E58" s="17" t="s">
        <v>9</v>
      </c>
      <c r="F58" s="7" t="s">
        <v>135</v>
      </c>
      <c r="G58" t="s">
        <v>31</v>
      </c>
    </row>
    <row r="59" spans="1:8" x14ac:dyDescent="0.25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5">
      <c r="A60" t="s">
        <v>136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5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135</v>
      </c>
      <c r="G61" t="s">
        <v>31</v>
      </c>
    </row>
    <row r="62" spans="1:8" x14ac:dyDescent="0.25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5">
      <c r="A63" t="s">
        <v>137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5">
      <c r="A64" t="s">
        <v>138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5">
      <c r="A65" t="s">
        <v>139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5">
      <c r="A66" t="s">
        <v>140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5">
      <c r="A67" t="s">
        <v>138</v>
      </c>
      <c r="B67" s="15">
        <v>5.2999999999999998E-4</v>
      </c>
      <c r="C67" s="17" t="s">
        <v>30</v>
      </c>
      <c r="E67" s="17" t="s">
        <v>9</v>
      </c>
      <c r="F67" s="7" t="s">
        <v>135</v>
      </c>
      <c r="G67" t="s">
        <v>31</v>
      </c>
    </row>
    <row r="68" spans="1:8" x14ac:dyDescent="0.25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5">
      <c r="A69" t="s">
        <v>141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5">
      <c r="A70" t="s">
        <v>142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5">
      <c r="A71" t="s">
        <v>143</v>
      </c>
      <c r="B71" s="15">
        <v>1.38E-5</v>
      </c>
      <c r="C71" s="17" t="s">
        <v>30</v>
      </c>
      <c r="E71" s="17" t="s">
        <v>9</v>
      </c>
      <c r="F71" s="7" t="s">
        <v>135</v>
      </c>
      <c r="G71" t="s">
        <v>31</v>
      </c>
    </row>
    <row r="72" spans="1:8" x14ac:dyDescent="0.25">
      <c r="A72" t="s">
        <v>144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5">
      <c r="A73" t="s">
        <v>145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5">
      <c r="A74" s="8" t="s">
        <v>146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5">
      <c r="A75" s="8" t="s">
        <v>147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18" sqref="C18"/>
    </sheetView>
  </sheetViews>
  <sheetFormatPr defaultColWidth="8.7109375" defaultRowHeight="15" x14ac:dyDescent="0.25"/>
  <cols>
    <col min="1" max="1" width="38" bestFit="1" customWidth="1"/>
    <col min="3" max="3" width="39.28515625" bestFit="1" customWidth="1"/>
    <col min="4" max="4" width="8.140625" bestFit="1" customWidth="1"/>
    <col min="5" max="5" width="11.42578125" bestFit="1" customWidth="1"/>
    <col min="6" max="6" width="20.7109375" bestFit="1" customWidth="1"/>
    <col min="7" max="7" width="13.42578125" bestFit="1" customWidth="1"/>
    <col min="8" max="8" width="25.7109375" bestFit="1" customWidth="1"/>
  </cols>
  <sheetData>
    <row r="1" spans="1:8" x14ac:dyDescent="0.25">
      <c r="A1" s="1" t="s">
        <v>0</v>
      </c>
      <c r="B1" s="1" t="s">
        <v>170</v>
      </c>
    </row>
    <row r="2" spans="1:8" x14ac:dyDescent="0.25">
      <c r="A2" t="s">
        <v>2</v>
      </c>
      <c r="B2" t="s">
        <v>165</v>
      </c>
    </row>
    <row r="3" spans="1:8" x14ac:dyDescent="0.25">
      <c r="A3" t="s">
        <v>3</v>
      </c>
      <c r="B3" t="s">
        <v>4</v>
      </c>
    </row>
    <row r="4" spans="1:8" x14ac:dyDescent="0.25">
      <c r="A4" t="s">
        <v>5</v>
      </c>
      <c r="B4">
        <v>1</v>
      </c>
    </row>
    <row r="5" spans="1:8" x14ac:dyDescent="0.25">
      <c r="A5" t="s">
        <v>6</v>
      </c>
      <c r="B5" t="s">
        <v>166</v>
      </c>
    </row>
    <row r="6" spans="1:8" x14ac:dyDescent="0.25">
      <c r="A6" t="s">
        <v>8</v>
      </c>
      <c r="B6" t="s">
        <v>9</v>
      </c>
    </row>
    <row r="7" spans="1:8" x14ac:dyDescent="0.25">
      <c r="A7" s="1" t="s">
        <v>10</v>
      </c>
    </row>
    <row r="8" spans="1:8" x14ac:dyDescent="0.25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5">
      <c r="A9" t="s">
        <v>170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166</v>
      </c>
    </row>
    <row r="10" spans="1:8" x14ac:dyDescent="0.25">
      <c r="A10" t="s">
        <v>120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121</v>
      </c>
    </row>
    <row r="11" spans="1:8" x14ac:dyDescent="0.25">
      <c r="A11" t="s">
        <v>54</v>
      </c>
      <c r="B11" s="4">
        <v>0.14300000000000002</v>
      </c>
      <c r="C11" s="23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25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5">
      <c r="A13" t="s">
        <v>167</v>
      </c>
      <c r="B13" s="4">
        <v>2.2000000000000002E-2</v>
      </c>
      <c r="C13" s="23" t="s">
        <v>18</v>
      </c>
      <c r="D13" t="s">
        <v>19</v>
      </c>
      <c r="E13" t="s">
        <v>9</v>
      </c>
      <c r="G13" t="s">
        <v>20</v>
      </c>
      <c r="H13" t="s">
        <v>168</v>
      </c>
    </row>
    <row r="14" spans="1:8" x14ac:dyDescent="0.25">
      <c r="A14" t="s">
        <v>84</v>
      </c>
      <c r="B14" s="15">
        <v>2.0789999999999999E-5</v>
      </c>
      <c r="C14" s="23" t="s">
        <v>18</v>
      </c>
      <c r="D14" s="8" t="s">
        <v>4</v>
      </c>
      <c r="E14" t="s">
        <v>9</v>
      </c>
      <c r="G14" t="s">
        <v>20</v>
      </c>
      <c r="H14" t="s">
        <v>85</v>
      </c>
    </row>
    <row r="15" spans="1:8" x14ac:dyDescent="0.25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5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5">
      <c r="A17" t="s">
        <v>169</v>
      </c>
      <c r="B17" s="4">
        <v>-1.474E-3</v>
      </c>
      <c r="C17" s="23" t="s">
        <v>18</v>
      </c>
      <c r="D17" t="s">
        <v>19</v>
      </c>
      <c r="E17" t="s">
        <v>21</v>
      </c>
      <c r="G17" t="s">
        <v>20</v>
      </c>
      <c r="H17" t="s">
        <v>97</v>
      </c>
    </row>
    <row r="18" spans="1:8" x14ac:dyDescent="0.25">
      <c r="A18" t="s">
        <v>88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Utilities</vt:lpstr>
      <vt:lpstr>Carbon dioxide capture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2023-12-18T20:45:32Z</dcterms:modified>
</cp:coreProperties>
</file>