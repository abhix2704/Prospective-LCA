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CCAA58EA-080F-4BA4-AA5E-5566B9F5C6CF}" xr6:coauthVersionLast="36" xr6:coauthVersionMax="36" xr10:uidLastSave="{00000000-0000-0000-0000-000000000000}"/>
  <bookViews>
    <workbookView xWindow="0" yWindow="0" windowWidth="28800" windowHeight="14025" activeTab="2" xr2:uid="{B97F3159-796F-4D28-AF5A-4DA070CE1984}"/>
  </bookViews>
  <sheets>
    <sheet name="Sheet1" sheetId="1" r:id="rId1"/>
    <sheet name="Waterfall final data" sheetId="2" r:id="rId2"/>
    <sheet name="Figure 1" sheetId="3" r:id="rId3"/>
    <sheet name="Emissions 2050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1" l="1"/>
  <c r="B3" i="3" l="1"/>
  <c r="E16" i="4"/>
  <c r="D16" i="4"/>
  <c r="C16" i="4"/>
  <c r="E15" i="4"/>
  <c r="D15" i="4"/>
  <c r="C15" i="4"/>
  <c r="E14" i="4"/>
  <c r="D14" i="4"/>
  <c r="C3" i="3" s="1"/>
  <c r="C14" i="4"/>
  <c r="E7" i="4"/>
  <c r="D7" i="4"/>
  <c r="C7" i="4"/>
  <c r="E6" i="4"/>
  <c r="D6" i="4"/>
  <c r="C6" i="4"/>
  <c r="E5" i="4"/>
  <c r="B2" i="3" s="1"/>
  <c r="D5" i="4"/>
  <c r="C2" i="3" s="1"/>
  <c r="C5" i="4"/>
  <c r="J8" i="4"/>
  <c r="I8" i="4"/>
  <c r="H8" i="4"/>
  <c r="J7" i="4"/>
  <c r="I7" i="4"/>
  <c r="H7" i="4"/>
  <c r="J6" i="4"/>
  <c r="B5" i="3" s="1"/>
  <c r="I6" i="4"/>
  <c r="C5" i="3" s="1"/>
  <c r="H6" i="4"/>
  <c r="J20" i="4" l="1"/>
  <c r="J19" i="4"/>
  <c r="J18" i="4"/>
  <c r="B6" i="3" s="1"/>
  <c r="I20" i="4"/>
  <c r="I19" i="4"/>
  <c r="I18" i="4"/>
  <c r="C6" i="3" s="1"/>
  <c r="H20" i="4"/>
  <c r="H19" i="4"/>
  <c r="H18" i="4"/>
  <c r="C2" i="2" l="1"/>
  <c r="D2" i="2"/>
  <c r="G7" i="1" l="1"/>
  <c r="B6" i="1"/>
  <c r="H5" i="1" l="1"/>
  <c r="I5" i="1" s="1"/>
  <c r="A1" i="2"/>
  <c r="H4" i="1"/>
  <c r="I4" i="1" s="1"/>
  <c r="H6" i="1"/>
  <c r="I6" i="1" s="1"/>
  <c r="H3" i="1"/>
  <c r="I3" i="1" s="1"/>
  <c r="K3" i="1" s="1"/>
  <c r="K4" i="1" l="1"/>
  <c r="B2" i="2"/>
  <c r="J13" i="1"/>
  <c r="B3" i="2"/>
  <c r="A2" i="2"/>
  <c r="B1" i="2"/>
  <c r="C1" i="2" s="1"/>
  <c r="D1" i="2" s="1"/>
  <c r="E1" i="2" l="1"/>
  <c r="E2" i="2"/>
  <c r="C3" i="2"/>
  <c r="D3" i="2" s="1"/>
  <c r="E3" i="2" s="1"/>
</calcChain>
</file>

<file path=xl/sharedStrings.xml><?xml version="1.0" encoding="utf-8"?>
<sst xmlns="http://schemas.openxmlformats.org/spreadsheetml/2006/main" count="77" uniqueCount="40">
  <si>
    <t>Emissions</t>
  </si>
  <si>
    <t>Ammonia</t>
  </si>
  <si>
    <t>Methanol</t>
  </si>
  <si>
    <t>Plastics</t>
  </si>
  <si>
    <t>Refining</t>
  </si>
  <si>
    <t>Iron and steel</t>
  </si>
  <si>
    <t>Mt</t>
  </si>
  <si>
    <t>%</t>
  </si>
  <si>
    <t>Total emissions</t>
  </si>
  <si>
    <t>emissions other than ammonia and methanol</t>
  </si>
  <si>
    <t>Everything for 2020</t>
  </si>
  <si>
    <t>Hydrogen source:</t>
  </si>
  <si>
    <t>https://www.iea.org/energy-system/low-emission-fuels/hydrogen</t>
  </si>
  <si>
    <t>Chemicals source:</t>
  </si>
  <si>
    <t>https://doi.org/10.1016/j.oneear.2023.05.006</t>
  </si>
  <si>
    <t>Hydrogen</t>
  </si>
  <si>
    <t>Chemical</t>
  </si>
  <si>
    <t>Average</t>
  </si>
  <si>
    <t>Minimum</t>
  </si>
  <si>
    <t>Maximum</t>
  </si>
  <si>
    <t>Wind RCP6</t>
  </si>
  <si>
    <t>Wind RCP19</t>
  </si>
  <si>
    <t>Wind RCP26</t>
  </si>
  <si>
    <t>Solar RCP6</t>
  </si>
  <si>
    <t>Solar RCP19</t>
  </si>
  <si>
    <t>Solar RCP26</t>
  </si>
  <si>
    <t>Scenario</t>
  </si>
  <si>
    <t>Dummy</t>
  </si>
  <si>
    <t>Fossil 2020</t>
  </si>
  <si>
    <t>Fossil 2050</t>
  </si>
  <si>
    <t>Green 2020</t>
  </si>
  <si>
    <t>Green 2050</t>
  </si>
  <si>
    <t>Fossil RCP6</t>
  </si>
  <si>
    <t>Fossil RCP19</t>
  </si>
  <si>
    <t>Fossil RCP26</t>
  </si>
  <si>
    <t>demand</t>
  </si>
  <si>
    <t>methanol</t>
  </si>
  <si>
    <t>hydrogen</t>
  </si>
  <si>
    <t>ammonia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</si>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</sst>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64" fontId="0" fillId="2" borderId="0" xfId="0" applyNumberFormat="1" applyFill="1" applyAlignment="1">
      <alignment horizontal="center"/>
    </xf>
    <xf numFmtId="1" fontId="0" fillId="2" borderId="0" xfId="0" applyNumberFormat="1" applyFill="1"/>
    <xf numFmtId="0" fontId="1" fillId="0" borderId="0" xfId="1"/>
    <xf numFmtId="165" fontId="1" fillId="0" borderId="0" xfId="1" applyNumberFormat="1"/>
    <xf numFmtId="166" fontId="1" fillId="0" borderId="0" xfId="1" applyNumberFormat="1"/>
    <xf numFmtId="2" fontId="1" fillId="0" borderId="0" xfId="1" applyNumberFormat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quotePrefix="1"/>
    <xf numFmtId="1" fontId="0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62128951-70F1-4723-9BA2-148E88365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F0FD-6844-48BF-9AEE-5AB510430A25}">
  <dimension ref="A1:P20"/>
  <sheetViews>
    <sheetView workbookViewId="0">
      <selection activeCell="N17" sqref="N17"/>
    </sheetView>
  </sheetViews>
  <sheetFormatPr defaultRowHeight="15" x14ac:dyDescent="0.25"/>
  <cols>
    <col min="1" max="1" width="18.140625" bestFit="1" customWidth="1"/>
    <col min="2" max="2" width="9.5703125" customWidth="1"/>
    <col min="6" max="6" width="13.28515625" bestFit="1" customWidth="1"/>
    <col min="11" max="11" width="6.5703125" bestFit="1" customWidth="1"/>
  </cols>
  <sheetData>
    <row r="1" spans="1:16" x14ac:dyDescent="0.25">
      <c r="A1" t="s">
        <v>10</v>
      </c>
    </row>
    <row r="2" spans="1:16" x14ac:dyDescent="0.25">
      <c r="B2" t="s">
        <v>0</v>
      </c>
      <c r="G2" s="2" t="s">
        <v>6</v>
      </c>
      <c r="H2" s="2" t="s">
        <v>7</v>
      </c>
      <c r="I2" s="6" t="s">
        <v>0</v>
      </c>
    </row>
    <row r="3" spans="1:16" x14ac:dyDescent="0.25">
      <c r="A3" t="s">
        <v>1</v>
      </c>
      <c r="B3">
        <v>450</v>
      </c>
      <c r="C3" t="s">
        <v>6</v>
      </c>
      <c r="F3" t="s">
        <v>4</v>
      </c>
      <c r="G3" s="3">
        <v>37.9</v>
      </c>
      <c r="H3" s="3">
        <f>G3/$G$7*100</f>
        <v>42.632170978627663</v>
      </c>
      <c r="I3" s="7">
        <f>H3*$G$10/100</f>
        <v>456.59055118110228</v>
      </c>
      <c r="K3" s="1">
        <f>I3</f>
        <v>456.59055118110228</v>
      </c>
      <c r="L3" t="s">
        <v>9</v>
      </c>
    </row>
    <row r="4" spans="1:16" x14ac:dyDescent="0.25">
      <c r="A4" t="s">
        <v>2</v>
      </c>
      <c r="B4">
        <v>182</v>
      </c>
      <c r="C4" t="s">
        <v>6</v>
      </c>
      <c r="F4" t="s">
        <v>1</v>
      </c>
      <c r="G4" s="3">
        <v>33</v>
      </c>
      <c r="H4" s="3">
        <f>G4/$G$7*100</f>
        <v>37.120359955005625</v>
      </c>
      <c r="I4" s="7">
        <f>H4*$G$10/100</f>
        <v>397.55905511811028</v>
      </c>
      <c r="K4" s="9">
        <f>(B3+B4+K3)/B6*100</f>
        <v>53.050221792451381</v>
      </c>
      <c r="L4" t="s">
        <v>7</v>
      </c>
    </row>
    <row r="5" spans="1:16" x14ac:dyDescent="0.25">
      <c r="A5" t="s">
        <v>3</v>
      </c>
      <c r="B5">
        <v>1420</v>
      </c>
      <c r="C5" t="s">
        <v>6</v>
      </c>
      <c r="F5" t="s">
        <v>2</v>
      </c>
      <c r="G5" s="3">
        <v>13.5</v>
      </c>
      <c r="H5" s="3">
        <f>G5/$G$7*100</f>
        <v>15.185601799775029</v>
      </c>
      <c r="I5" s="7">
        <f>H5*$G$10/100</f>
        <v>162.63779527559055</v>
      </c>
      <c r="M5" t="s">
        <v>36</v>
      </c>
      <c r="N5" t="s">
        <v>37</v>
      </c>
      <c r="O5" t="s">
        <v>38</v>
      </c>
    </row>
    <row r="6" spans="1:16" x14ac:dyDescent="0.25">
      <c r="B6">
        <f>B3+B4+B5</f>
        <v>2052</v>
      </c>
      <c r="C6" t="s">
        <v>6</v>
      </c>
      <c r="F6" s="4" t="s">
        <v>5</v>
      </c>
      <c r="G6" s="8">
        <v>4.5</v>
      </c>
      <c r="H6" s="8">
        <f>G6/$G$7*100</f>
        <v>5.0618672665916753</v>
      </c>
      <c r="I6" s="5">
        <f>H6*$G$10/100</f>
        <v>54.212598425196838</v>
      </c>
      <c r="L6" t="s">
        <v>35</v>
      </c>
      <c r="M6" s="22">
        <v>100</v>
      </c>
      <c r="N6" s="22">
        <v>89</v>
      </c>
      <c r="O6" s="22">
        <v>185</v>
      </c>
      <c r="P6" s="24">
        <v>2020</v>
      </c>
    </row>
    <row r="7" spans="1:16" x14ac:dyDescent="0.25">
      <c r="G7" s="2">
        <f>SUM(G3:G6)</f>
        <v>88.9</v>
      </c>
      <c r="H7" s="2"/>
      <c r="M7" s="2">
        <f>M6*5</f>
        <v>500</v>
      </c>
      <c r="N7" s="2">
        <v>0</v>
      </c>
      <c r="O7" s="2">
        <v>355</v>
      </c>
      <c r="P7" s="2">
        <v>2050</v>
      </c>
    </row>
    <row r="8" spans="1:16" x14ac:dyDescent="0.25">
      <c r="M8" s="25" t="s">
        <v>39</v>
      </c>
    </row>
    <row r="10" spans="1:16" x14ac:dyDescent="0.25">
      <c r="F10" t="s">
        <v>8</v>
      </c>
      <c r="G10">
        <v>1071</v>
      </c>
      <c r="H10" t="s">
        <v>6</v>
      </c>
    </row>
    <row r="13" spans="1:16" x14ac:dyDescent="0.25">
      <c r="J13" s="1">
        <f>B6-K3</f>
        <v>1595.4094488188978</v>
      </c>
    </row>
    <row r="14" spans="1:16" x14ac:dyDescent="0.25">
      <c r="A14" t="s">
        <v>13</v>
      </c>
      <c r="B14" t="s">
        <v>14</v>
      </c>
    </row>
    <row r="15" spans="1:16" x14ac:dyDescent="0.25">
      <c r="A15" t="s">
        <v>11</v>
      </c>
      <c r="B15" t="s">
        <v>12</v>
      </c>
    </row>
    <row r="20" spans="8:8" x14ac:dyDescent="0.25">
      <c r="H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F0455-819B-47A2-B85B-CBE39F93F536}">
  <dimension ref="A1:J7"/>
  <sheetViews>
    <sheetView workbookViewId="0">
      <selection activeCell="Q19" sqref="Q19"/>
    </sheetView>
  </sheetViews>
  <sheetFormatPr defaultRowHeight="15" x14ac:dyDescent="0.25"/>
  <cols>
    <col min="1" max="2" width="11.5703125" style="10" bestFit="1" customWidth="1"/>
    <col min="3" max="6" width="12.28515625" style="10" bestFit="1" customWidth="1"/>
    <col min="7" max="9" width="9.140625" style="10"/>
    <col min="10" max="10" width="10.5703125" style="10" bestFit="1" customWidth="1"/>
    <col min="11" max="16384" width="9.140625" style="10"/>
  </cols>
  <sheetData>
    <row r="1" spans="1:10" x14ac:dyDescent="0.25">
      <c r="A1" s="13">
        <f>Sheet1!B6</f>
        <v>2052</v>
      </c>
      <c r="B1" s="12">
        <f>A1+Sheet1!K3</f>
        <v>2508.5905511811025</v>
      </c>
      <c r="C1" s="12">
        <f>B1+Sheet1!B3</f>
        <v>2958.5905511811025</v>
      </c>
      <c r="D1" s="12">
        <f>C1+Sheet1!B4</f>
        <v>3140.5905511811025</v>
      </c>
      <c r="E1" s="12">
        <f>D1+A2+B2+C2+D2</f>
        <v>4104</v>
      </c>
      <c r="F1" s="12"/>
    </row>
    <row r="2" spans="1:10" x14ac:dyDescent="0.25">
      <c r="A2" s="12">
        <f>A1</f>
        <v>2052</v>
      </c>
      <c r="B2" s="12">
        <f>-Sheet1!K3</f>
        <v>-456.59055118110228</v>
      </c>
      <c r="C2" s="12">
        <f>-Sheet1!B3</f>
        <v>-450</v>
      </c>
      <c r="D2" s="12">
        <f>-Sheet1!B4</f>
        <v>-182</v>
      </c>
      <c r="E2" s="12">
        <f>-SUM(A2:D2)</f>
        <v>-963.40944881889777</v>
      </c>
      <c r="F2" s="12"/>
    </row>
    <row r="3" spans="1:10" x14ac:dyDescent="0.25">
      <c r="A3" s="12">
        <v>0</v>
      </c>
      <c r="B3" s="12">
        <f>A1</f>
        <v>2052</v>
      </c>
      <c r="C3" s="12">
        <f>B3+B2</f>
        <v>1595.4094488188978</v>
      </c>
      <c r="D3" s="12">
        <f>C3+C2</f>
        <v>1145.4094488188978</v>
      </c>
      <c r="E3" s="12">
        <f>D2+D3</f>
        <v>963.40944881889777</v>
      </c>
      <c r="F3" s="12"/>
    </row>
    <row r="4" spans="1:10" x14ac:dyDescent="0.25">
      <c r="A4" s="11"/>
      <c r="B4" s="11"/>
      <c r="C4" s="11"/>
      <c r="D4" s="11"/>
      <c r="E4" s="11"/>
      <c r="F4" s="11"/>
    </row>
    <row r="7" spans="1:10" x14ac:dyDescent="0.25">
      <c r="J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1277B-28C9-4CD9-96D9-6BE2F8B84795}">
  <dimension ref="A1:G7"/>
  <sheetViews>
    <sheetView tabSelected="1" workbookViewId="0">
      <selection activeCell="G5" sqref="G5"/>
    </sheetView>
  </sheetViews>
  <sheetFormatPr defaultRowHeight="15" x14ac:dyDescent="0.25"/>
  <cols>
    <col min="1" max="1" width="18.7109375" bestFit="1" customWidth="1"/>
    <col min="2" max="3" width="12.85546875" bestFit="1" customWidth="1"/>
    <col min="4" max="4" width="14.28515625" bestFit="1" customWidth="1"/>
    <col min="5" max="5" width="18.28515625" bestFit="1" customWidth="1"/>
    <col min="6" max="6" width="18.85546875" bestFit="1" customWidth="1"/>
    <col min="7" max="7" width="11.5703125" bestFit="1" customWidth="1"/>
  </cols>
  <sheetData>
    <row r="1" spans="1:7" x14ac:dyDescent="0.25">
      <c r="A1" s="16" t="s">
        <v>16</v>
      </c>
      <c r="B1" s="16" t="s">
        <v>2</v>
      </c>
      <c r="C1" s="16" t="s">
        <v>1</v>
      </c>
    </row>
    <row r="2" spans="1:7" x14ac:dyDescent="0.25">
      <c r="A2" s="19" t="s">
        <v>28</v>
      </c>
      <c r="B2" s="26">
        <f>Sheet1!M6*'Emissions 2050'!E5</f>
        <v>76.011638480268701</v>
      </c>
      <c r="C2" s="26">
        <f>Sheet1!O6*'Emissions 2050'!D5</f>
        <v>499.0848143315074</v>
      </c>
    </row>
    <row r="3" spans="1:7" x14ac:dyDescent="0.25">
      <c r="A3" s="19" t="s">
        <v>29</v>
      </c>
      <c r="B3" s="15">
        <f>Sheet1!M7*'Emissions 2050'!E14</f>
        <v>350.54776830218714</v>
      </c>
      <c r="C3" s="15">
        <f>Sheet1!O7*'Emissions 2050'!D14</f>
        <v>929.18878202293115</v>
      </c>
    </row>
    <row r="4" spans="1:7" x14ac:dyDescent="0.25">
      <c r="A4" s="19" t="s">
        <v>27</v>
      </c>
      <c r="B4" s="15">
        <v>0</v>
      </c>
      <c r="C4" s="15">
        <v>0</v>
      </c>
    </row>
    <row r="5" spans="1:7" x14ac:dyDescent="0.25">
      <c r="A5" s="19" t="s">
        <v>30</v>
      </c>
      <c r="B5" s="15">
        <f>Sheet1!M6*'Emissions 2050'!J6</f>
        <v>-73.389742341651669</v>
      </c>
      <c r="C5" s="15">
        <f>Sheet1!O6*'Emissions 2050'!I6</f>
        <v>185.04258143923093</v>
      </c>
    </row>
    <row r="6" spans="1:7" x14ac:dyDescent="0.25">
      <c r="A6" s="19" t="s">
        <v>31</v>
      </c>
      <c r="B6" s="15">
        <f>Sheet1!M7*'Emissions 2050'!J18</f>
        <v>-592.1501789938676</v>
      </c>
      <c r="C6" s="15">
        <f>Sheet1!O7*'Emissions 2050'!I18</f>
        <v>164.79216746574869</v>
      </c>
    </row>
    <row r="7" spans="1:7" x14ac:dyDescent="0.25">
      <c r="E7" s="23"/>
      <c r="F7" s="23"/>
      <c r="G7" s="23"/>
    </row>
  </sheetData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3E8DA-9867-4BC9-A414-3C21550121EB}">
  <dimension ref="B2:J20"/>
  <sheetViews>
    <sheetView workbookViewId="0">
      <selection activeCell="I6" sqref="I6"/>
    </sheetView>
  </sheetViews>
  <sheetFormatPr defaultRowHeight="15" x14ac:dyDescent="0.25"/>
  <cols>
    <col min="2" max="2" width="11.5703125" bestFit="1" customWidth="1"/>
    <col min="3" max="4" width="9.5703125" bestFit="1" customWidth="1"/>
    <col min="5" max="5" width="9.7109375" bestFit="1" customWidth="1"/>
    <col min="7" max="7" width="11.5703125" bestFit="1" customWidth="1"/>
    <col min="8" max="9" width="9.5703125" bestFit="1" customWidth="1"/>
    <col min="10" max="10" width="9.7109375" bestFit="1" customWidth="1"/>
  </cols>
  <sheetData>
    <row r="2" spans="2:10" x14ac:dyDescent="0.25">
      <c r="B2" s="21">
        <v>2020</v>
      </c>
      <c r="C2" s="21"/>
      <c r="D2" s="21"/>
      <c r="E2" s="21"/>
      <c r="G2" s="21">
        <v>2020</v>
      </c>
      <c r="H2" s="21"/>
      <c r="I2" s="21"/>
      <c r="J2" s="21"/>
    </row>
    <row r="3" spans="2:10" x14ac:dyDescent="0.25">
      <c r="B3" s="16" t="s">
        <v>26</v>
      </c>
      <c r="C3" s="16" t="s">
        <v>15</v>
      </c>
      <c r="D3" s="16" t="s">
        <v>1</v>
      </c>
      <c r="E3" s="16" t="s">
        <v>2</v>
      </c>
      <c r="G3" s="16" t="s">
        <v>26</v>
      </c>
      <c r="H3" s="16" t="s">
        <v>15</v>
      </c>
      <c r="I3" s="16" t="s">
        <v>1</v>
      </c>
      <c r="J3" s="16" t="s">
        <v>2</v>
      </c>
    </row>
    <row r="4" spans="2:10" x14ac:dyDescent="0.25">
      <c r="B4" s="14" t="s">
        <v>32</v>
      </c>
      <c r="C4" s="17">
        <v>11.07977878591611</v>
      </c>
      <c r="D4" s="17">
        <v>2.6977557531432832</v>
      </c>
      <c r="E4" s="17">
        <v>0.76011638480268706</v>
      </c>
      <c r="G4" s="14" t="s">
        <v>20</v>
      </c>
      <c r="H4" s="17">
        <v>2.3990751970328539</v>
      </c>
      <c r="I4" s="17">
        <v>0.85375564711232665</v>
      </c>
      <c r="J4" s="17">
        <v>-0.84955861837744795</v>
      </c>
    </row>
    <row r="5" spans="2:10" x14ac:dyDescent="0.25">
      <c r="B5" s="16" t="s">
        <v>17</v>
      </c>
      <c r="C5" s="20">
        <f>AVERAGE(C4:C4)</f>
        <v>11.07977878591611</v>
      </c>
      <c r="D5" s="20">
        <f>AVERAGE(D4:D4)</f>
        <v>2.6977557531432832</v>
      </c>
      <c r="E5" s="20">
        <f>AVERAGE(E4:E4)</f>
        <v>0.76011638480268706</v>
      </c>
      <c r="G5" s="14" t="s">
        <v>23</v>
      </c>
      <c r="H5" s="17">
        <v>4.0635584200231838</v>
      </c>
      <c r="I5" s="17">
        <v>1.146704692771251</v>
      </c>
      <c r="J5" s="17">
        <v>-0.61823622845558535</v>
      </c>
    </row>
    <row r="6" spans="2:10" x14ac:dyDescent="0.25">
      <c r="B6" s="16" t="s">
        <v>18</v>
      </c>
      <c r="C6" s="18">
        <f>MIN(C4:C4)</f>
        <v>11.07977878591611</v>
      </c>
      <c r="D6" s="18">
        <f>MIN(D4:D4)</f>
        <v>2.6977557531432832</v>
      </c>
      <c r="E6" s="18">
        <f>MIN(E4:E4)</f>
        <v>0.76011638480268706</v>
      </c>
      <c r="G6" s="16" t="s">
        <v>17</v>
      </c>
      <c r="H6" s="20">
        <f>AVERAGE(H4:H5)</f>
        <v>3.2313168085280188</v>
      </c>
      <c r="I6" s="20">
        <f>AVERAGE(I4:I5)</f>
        <v>1.0002301699417888</v>
      </c>
      <c r="J6" s="20">
        <f>AVERAGE(J4:J5)</f>
        <v>-0.73389742341651665</v>
      </c>
    </row>
    <row r="7" spans="2:10" x14ac:dyDescent="0.25">
      <c r="B7" s="16" t="s">
        <v>19</v>
      </c>
      <c r="C7" s="18">
        <f>MAX(C4:C4)</f>
        <v>11.07977878591611</v>
      </c>
      <c r="D7" s="18">
        <f>MAX(D4:D4)</f>
        <v>2.6977557531432832</v>
      </c>
      <c r="E7" s="18">
        <f>MAX(E4:E4)</f>
        <v>0.76011638480268706</v>
      </c>
      <c r="G7" s="16" t="s">
        <v>18</v>
      </c>
      <c r="H7" s="18">
        <f>MIN(H4:H5)</f>
        <v>2.3990751970328539</v>
      </c>
      <c r="I7" s="18">
        <f>MIN(I4:I5)</f>
        <v>0.85375564711232665</v>
      </c>
      <c r="J7" s="18">
        <f>MIN(J4:J5)</f>
        <v>-0.84955861837744795</v>
      </c>
    </row>
    <row r="8" spans="2:10" x14ac:dyDescent="0.25">
      <c r="G8" s="16" t="s">
        <v>19</v>
      </c>
      <c r="H8" s="18">
        <f>MAX(H4:H5)</f>
        <v>4.0635584200231838</v>
      </c>
      <c r="I8" s="18">
        <f>MAX(I4:I5)</f>
        <v>1.146704692771251</v>
      </c>
      <c r="J8" s="18">
        <f>MAX(J4:J5)</f>
        <v>-0.61823622845558535</v>
      </c>
    </row>
    <row r="9" spans="2:10" x14ac:dyDescent="0.25">
      <c r="B9" s="21">
        <v>2050</v>
      </c>
      <c r="C9" s="21"/>
      <c r="D9" s="21"/>
      <c r="E9" s="21"/>
    </row>
    <row r="10" spans="2:10" x14ac:dyDescent="0.25">
      <c r="B10" s="16" t="s">
        <v>26</v>
      </c>
      <c r="C10" s="16" t="s">
        <v>15</v>
      </c>
      <c r="D10" s="16" t="s">
        <v>1</v>
      </c>
      <c r="E10" s="16" t="s">
        <v>2</v>
      </c>
      <c r="G10" s="21">
        <v>2050</v>
      </c>
      <c r="H10" s="21"/>
      <c r="I10" s="21"/>
      <c r="J10" s="21"/>
    </row>
    <row r="11" spans="2:10" x14ac:dyDescent="0.25">
      <c r="B11" s="14" t="s">
        <v>32</v>
      </c>
      <c r="C11" s="17">
        <v>11.015663193455291</v>
      </c>
      <c r="D11" s="17">
        <v>2.6749031256758502</v>
      </c>
      <c r="E11" s="17">
        <v>0.74348133952478035</v>
      </c>
      <c r="G11" s="16" t="s">
        <v>26</v>
      </c>
      <c r="H11" s="16" t="s">
        <v>15</v>
      </c>
      <c r="I11" s="16" t="s">
        <v>1</v>
      </c>
      <c r="J11" s="16" t="s">
        <v>2</v>
      </c>
    </row>
    <row r="12" spans="2:10" x14ac:dyDescent="0.25">
      <c r="B12" s="14" t="s">
        <v>33</v>
      </c>
      <c r="C12" s="17">
        <v>10.79532945823042</v>
      </c>
      <c r="D12" s="17">
        <v>2.581879576756648</v>
      </c>
      <c r="E12" s="17">
        <v>0.67639002643719903</v>
      </c>
      <c r="G12" s="14" t="s">
        <v>20</v>
      </c>
      <c r="H12" s="17">
        <v>1.8971083255038641</v>
      </c>
      <c r="I12" s="17">
        <v>0.69764693455947124</v>
      </c>
      <c r="J12" s="17">
        <v>-0.99237845448159268</v>
      </c>
    </row>
    <row r="13" spans="2:10" x14ac:dyDescent="0.25">
      <c r="B13" s="14" t="s">
        <v>34</v>
      </c>
      <c r="C13" s="17">
        <v>10.8619952521514</v>
      </c>
      <c r="D13" s="17">
        <v>2.5955168639584691</v>
      </c>
      <c r="E13" s="17">
        <v>0.68341524385114349</v>
      </c>
      <c r="G13" s="14" t="s">
        <v>21</v>
      </c>
      <c r="H13" s="17">
        <v>1.154061313732617</v>
      </c>
      <c r="I13" s="17">
        <v>0.24246746185265089</v>
      </c>
      <c r="J13" s="17">
        <v>-1.3711713992750809</v>
      </c>
    </row>
    <row r="14" spans="2:10" x14ac:dyDescent="0.25">
      <c r="B14" s="16" t="s">
        <v>17</v>
      </c>
      <c r="C14" s="20">
        <f>AVERAGE(C11:C13)</f>
        <v>10.890995967945704</v>
      </c>
      <c r="D14" s="20">
        <f>AVERAGE(D11:D13)</f>
        <v>2.6174331887969893</v>
      </c>
      <c r="E14" s="20">
        <f>AVERAGE(E11:E13)</f>
        <v>0.70109553660437429</v>
      </c>
      <c r="G14" s="14" t="s">
        <v>22</v>
      </c>
      <c r="H14" s="17">
        <v>1.3222980408833731</v>
      </c>
      <c r="I14" s="17">
        <v>0.28589805137132768</v>
      </c>
      <c r="J14" s="17">
        <v>-1.3209021280739359</v>
      </c>
    </row>
    <row r="15" spans="2:10" x14ac:dyDescent="0.25">
      <c r="B15" s="16" t="s">
        <v>18</v>
      </c>
      <c r="C15" s="18">
        <f>MIN(C11:C13)</f>
        <v>10.79532945823042</v>
      </c>
      <c r="D15" s="18">
        <f>MIN(D11:D13)</f>
        <v>2.581879576756648</v>
      </c>
      <c r="E15" s="18">
        <f>MIN(E11:E13)</f>
        <v>0.67639002643719903</v>
      </c>
      <c r="G15" s="14" t="s">
        <v>23</v>
      </c>
      <c r="H15" s="17">
        <v>2.7387698013796919</v>
      </c>
      <c r="I15" s="17">
        <v>0.84577935351094302</v>
      </c>
      <c r="J15" s="17">
        <v>-0.8754081291484449</v>
      </c>
    </row>
    <row r="16" spans="2:10" x14ac:dyDescent="0.25">
      <c r="B16" s="16" t="s">
        <v>19</v>
      </c>
      <c r="C16" s="18">
        <f>MAX(C11:C13)</f>
        <v>11.015663193455291</v>
      </c>
      <c r="D16" s="18">
        <f>MAX(D11:D13)</f>
        <v>2.6749031256758502</v>
      </c>
      <c r="E16" s="18">
        <f>MAX(E11:E13)</f>
        <v>0.74348133952478035</v>
      </c>
      <c r="G16" s="14" t="s">
        <v>24</v>
      </c>
      <c r="H16" s="17">
        <v>1.6775179614556699</v>
      </c>
      <c r="I16" s="17">
        <v>0.33459583135269971</v>
      </c>
      <c r="J16" s="17">
        <v>-1.29842374937432</v>
      </c>
    </row>
    <row r="17" spans="7:10" x14ac:dyDescent="0.25">
      <c r="G17" s="14" t="s">
        <v>25</v>
      </c>
      <c r="H17" s="17">
        <v>1.8503324062278219</v>
      </c>
      <c r="I17" s="17">
        <v>0.37883209916837851</v>
      </c>
      <c r="J17" s="17">
        <v>-1.2475182875730371</v>
      </c>
    </row>
    <row r="18" spans="7:10" x14ac:dyDescent="0.25">
      <c r="G18" s="16" t="s">
        <v>17</v>
      </c>
      <c r="H18" s="20">
        <f>AVERAGE(H12:H17)</f>
        <v>1.7733479748638399</v>
      </c>
      <c r="I18" s="20">
        <f>AVERAGE(I12:I17)</f>
        <v>0.46420328863591181</v>
      </c>
      <c r="J18" s="20">
        <f>AVERAGE(J12:J17)</f>
        <v>-1.1843003579877351</v>
      </c>
    </row>
    <row r="19" spans="7:10" x14ac:dyDescent="0.25">
      <c r="G19" s="16" t="s">
        <v>18</v>
      </c>
      <c r="H19" s="18">
        <f>MIN(H12:H17)</f>
        <v>1.154061313732617</v>
      </c>
      <c r="I19" s="18">
        <f>MIN(I12:I17)</f>
        <v>0.24246746185265089</v>
      </c>
      <c r="J19" s="18">
        <f>MIN(J12:J17)</f>
        <v>-1.3711713992750809</v>
      </c>
    </row>
    <row r="20" spans="7:10" x14ac:dyDescent="0.25">
      <c r="G20" s="16" t="s">
        <v>19</v>
      </c>
      <c r="H20" s="18">
        <f>MAX(H12:H17)</f>
        <v>2.7387698013796919</v>
      </c>
      <c r="I20" s="18">
        <f>MAX(I12:I17)</f>
        <v>0.84577935351094302</v>
      </c>
      <c r="J20" s="18">
        <f>MAX(J12:J17)</f>
        <v>-0.8754081291484449</v>
      </c>
    </row>
  </sheetData>
  <mergeCells count="4">
    <mergeCell ref="G10:J10"/>
    <mergeCell ref="G2:J2"/>
    <mergeCell ref="B2:E2"/>
    <mergeCell ref="B9:E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Waterfall final data</vt:lpstr>
      <vt:lpstr>Figure 1</vt:lpstr>
      <vt:lpstr>Emissions 2050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2023-10-16T17:14:27Z</dcterms:created>
  <dcterms:modified xsi:type="dcterms:W3CDTF">2024-01-16T12:52:32Z</dcterms:modified>
</cp:coreProperties>
</file>