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Ongoing projects\Prospective LCA\Results\"/>
    </mc:Choice>
  </mc:AlternateContent>
  <xr:revisionPtr revIDLastSave="0" documentId="13_ncr:1_{DFC9443F-D6B4-4799-8C91-079C9BE6E429}" xr6:coauthVersionLast="36" xr6:coauthVersionMax="36" xr10:uidLastSave="{00000000-0000-0000-0000-000000000000}"/>
  <bookViews>
    <workbookView xWindow="0" yWindow="0" windowWidth="28800" windowHeight="14025" xr2:uid="{B97F3159-796F-4D28-AF5A-4DA070CE1984}"/>
  </bookViews>
  <sheets>
    <sheet name="Sheet1" sheetId="1" r:id="rId1"/>
    <sheet name="Waterfall final 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1" l="1"/>
  <c r="D3" i="2" l="1"/>
  <c r="C3" i="2"/>
  <c r="B3" i="2"/>
  <c r="B2" i="2"/>
  <c r="C2" i="2"/>
  <c r="D2" i="2"/>
  <c r="A2" i="2"/>
  <c r="D1" i="2" l="1"/>
  <c r="C1" i="2"/>
  <c r="B1" i="2"/>
  <c r="A1" i="2"/>
  <c r="G7" i="1" l="1"/>
  <c r="H5" i="1" s="1"/>
  <c r="I5" i="1" s="1"/>
  <c r="B6" i="1"/>
  <c r="H4" i="1" l="1"/>
  <c r="I4" i="1" s="1"/>
  <c r="H6" i="1"/>
  <c r="I6" i="1" s="1"/>
  <c r="H3" i="1"/>
  <c r="I3" i="1" s="1"/>
  <c r="K3" i="1" s="1"/>
  <c r="K4" i="1" s="1"/>
</calcChain>
</file>

<file path=xl/sharedStrings.xml><?xml version="1.0" encoding="utf-8"?>
<sst xmlns="http://schemas.openxmlformats.org/spreadsheetml/2006/main" count="24" uniqueCount="15">
  <si>
    <t>Emissions</t>
  </si>
  <si>
    <t>Ammonia</t>
  </si>
  <si>
    <t>Methanol</t>
  </si>
  <si>
    <t>Plastics</t>
  </si>
  <si>
    <t>Refining</t>
  </si>
  <si>
    <t>Iron and steel</t>
  </si>
  <si>
    <t>Mt</t>
  </si>
  <si>
    <t>%</t>
  </si>
  <si>
    <t>Total emissions</t>
  </si>
  <si>
    <t>emissions other than ammonia and methanol</t>
  </si>
  <si>
    <t>Everything for 2020</t>
  </si>
  <si>
    <t>Hydrogen source:</t>
  </si>
  <si>
    <t>https://www.iea.org/energy-system/low-emission-fuels/hydrogen</t>
  </si>
  <si>
    <t>Chemicals source:</t>
  </si>
  <si>
    <t>https://doi.org/10.1016/j.oneear.2023.05.006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</si>
</sst>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/>
    <xf numFmtId="2" fontId="0" fillId="2" borderId="0" xfId="0" applyNumberFormat="1" applyFill="1"/>
    <xf numFmtId="0" fontId="0" fillId="0" borderId="0" xfId="0" applyFill="1"/>
    <xf numFmtId="2" fontId="0" fillId="0" borderId="0" xfId="0" applyNumberFormat="1" applyFill="1"/>
    <xf numFmtId="164" fontId="0" fillId="2" borderId="0" xfId="0" applyNumberFormat="1" applyFill="1" applyAlignment="1">
      <alignment horizontal="center"/>
    </xf>
    <xf numFmtId="1" fontId="0" fillId="2" borderId="0" xfId="0" applyNumberFormat="1" applyFill="1"/>
    <xf numFmtId="0" fontId="1" fillId="0" borderId="0" xfId="1"/>
    <xf numFmtId="165" fontId="1" fillId="0" borderId="0" xfId="1" applyNumberFormat="1"/>
    <xf numFmtId="166" fontId="1" fillId="0" borderId="0" xfId="1" applyNumberFormat="1"/>
    <xf numFmtId="2" fontId="1" fillId="0" borderId="0" xfId="1" applyNumberFormat="1"/>
  </cellXfs>
  <cellStyles count="2">
    <cellStyle name="Normal" xfId="0" builtinId="0"/>
    <cellStyle name="Normal 2" xfId="1" xr:uid="{62128951-70F1-4723-9BA2-148E883651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6F0FD-6844-48BF-9AEE-5AB510430A25}">
  <dimension ref="A1:L15"/>
  <sheetViews>
    <sheetView tabSelected="1" workbookViewId="0">
      <selection activeCell="M16" sqref="M16"/>
    </sheetView>
  </sheetViews>
  <sheetFormatPr defaultRowHeight="15" x14ac:dyDescent="0.25"/>
  <cols>
    <col min="1" max="1" width="18.140625" bestFit="1" customWidth="1"/>
    <col min="2" max="2" width="9.5703125" customWidth="1"/>
    <col min="6" max="6" width="13.28515625" bestFit="1" customWidth="1"/>
    <col min="11" max="11" width="6.5703125" bestFit="1" customWidth="1"/>
  </cols>
  <sheetData>
    <row r="1" spans="1:12" x14ac:dyDescent="0.25">
      <c r="A1" t="s">
        <v>10</v>
      </c>
    </row>
    <row r="2" spans="1:12" x14ac:dyDescent="0.25">
      <c r="B2" t="s">
        <v>0</v>
      </c>
      <c r="G2" s="2" t="s">
        <v>6</v>
      </c>
      <c r="H2" s="2" t="s">
        <v>7</v>
      </c>
      <c r="I2" s="6" t="s">
        <v>0</v>
      </c>
    </row>
    <row r="3" spans="1:12" x14ac:dyDescent="0.25">
      <c r="A3" t="s">
        <v>1</v>
      </c>
      <c r="B3">
        <v>450</v>
      </c>
      <c r="C3" t="s">
        <v>6</v>
      </c>
      <c r="F3" t="s">
        <v>4</v>
      </c>
      <c r="G3" s="3">
        <v>37.9</v>
      </c>
      <c r="H3" s="3">
        <f>G3/$G$7*100</f>
        <v>42.632170978627663</v>
      </c>
      <c r="I3" s="7">
        <f>H3*$G$10/100</f>
        <v>456.59055118110228</v>
      </c>
      <c r="K3" s="1">
        <f>I3</f>
        <v>456.59055118110228</v>
      </c>
      <c r="L3" t="s">
        <v>9</v>
      </c>
    </row>
    <row r="4" spans="1:12" x14ac:dyDescent="0.25">
      <c r="A4" t="s">
        <v>2</v>
      </c>
      <c r="B4">
        <v>182</v>
      </c>
      <c r="C4" t="s">
        <v>6</v>
      </c>
      <c r="F4" t="s">
        <v>1</v>
      </c>
      <c r="G4" s="3">
        <v>33</v>
      </c>
      <c r="H4" s="3">
        <f>G4/$G$7*100</f>
        <v>37.120359955005625</v>
      </c>
      <c r="I4" s="7">
        <f>H4*$G$10/100</f>
        <v>397.55905511811028</v>
      </c>
      <c r="K4" s="9">
        <f>(B3+B4+K3)/B6*100</f>
        <v>53.050221792451381</v>
      </c>
      <c r="L4" t="s">
        <v>7</v>
      </c>
    </row>
    <row r="5" spans="1:12" x14ac:dyDescent="0.25">
      <c r="A5" t="s">
        <v>3</v>
      </c>
      <c r="B5">
        <v>1420</v>
      </c>
      <c r="C5" t="s">
        <v>6</v>
      </c>
      <c r="F5" t="s">
        <v>2</v>
      </c>
      <c r="G5" s="3">
        <v>13.5</v>
      </c>
      <c r="H5" s="3">
        <f>G5/$G$7*100</f>
        <v>15.185601799775029</v>
      </c>
      <c r="I5" s="7">
        <f>H5*$G$10/100</f>
        <v>162.63779527559055</v>
      </c>
    </row>
    <row r="6" spans="1:12" x14ac:dyDescent="0.25">
      <c r="B6">
        <f>B3+B4+B5</f>
        <v>2052</v>
      </c>
      <c r="C6" t="s">
        <v>6</v>
      </c>
      <c r="F6" s="4" t="s">
        <v>5</v>
      </c>
      <c r="G6" s="8">
        <v>4.5</v>
      </c>
      <c r="H6" s="8">
        <f>G6/$G$7*100</f>
        <v>5.0618672665916753</v>
      </c>
      <c r="I6" s="5">
        <f>H6*$G$10/100</f>
        <v>54.212598425196838</v>
      </c>
    </row>
    <row r="7" spans="1:12" x14ac:dyDescent="0.25">
      <c r="G7" s="2">
        <f>SUM(G3:G6)</f>
        <v>88.9</v>
      </c>
      <c r="H7" s="2"/>
    </row>
    <row r="10" spans="1:12" x14ac:dyDescent="0.25">
      <c r="F10" t="s">
        <v>8</v>
      </c>
      <c r="G10">
        <v>1071</v>
      </c>
      <c r="H10" t="s">
        <v>6</v>
      </c>
    </row>
    <row r="13" spans="1:12" x14ac:dyDescent="0.25">
      <c r="J13" s="1">
        <f>B6-K3</f>
        <v>1595.4094488188978</v>
      </c>
    </row>
    <row r="14" spans="1:12" x14ac:dyDescent="0.25">
      <c r="A14" t="s">
        <v>13</v>
      </c>
      <c r="B14" t="s">
        <v>14</v>
      </c>
    </row>
    <row r="15" spans="1:12" x14ac:dyDescent="0.25">
      <c r="A15" t="s">
        <v>11</v>
      </c>
      <c r="B1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F0455-819B-47A2-B85B-CBE39F93F536}">
  <dimension ref="A1:F4"/>
  <sheetViews>
    <sheetView workbookViewId="0">
      <selection activeCell="M16" sqref="M16"/>
    </sheetView>
  </sheetViews>
  <sheetFormatPr defaultRowHeight="15" x14ac:dyDescent="0.25"/>
  <cols>
    <col min="1" max="2" width="11.5703125" style="10" bestFit="1" customWidth="1"/>
    <col min="3" max="6" width="12.28515625" style="10" bestFit="1" customWidth="1"/>
    <col min="7" max="16384" width="9.140625" style="10"/>
  </cols>
  <sheetData>
    <row r="1" spans="1:6" x14ac:dyDescent="0.25">
      <c r="A1" s="13">
        <f>Sheet1!B6</f>
        <v>2052</v>
      </c>
      <c r="B1" s="12">
        <f>A1+Sheet1!K3</f>
        <v>2508.5905511811025</v>
      </c>
      <c r="C1" s="12">
        <f>B1+Sheet1!B3</f>
        <v>2958.5905511811025</v>
      </c>
      <c r="D1" s="12">
        <f>C1+Sheet1!B4</f>
        <v>3140.5905511811025</v>
      </c>
      <c r="E1" s="12"/>
      <c r="F1" s="12"/>
    </row>
    <row r="2" spans="1:6" x14ac:dyDescent="0.25">
      <c r="A2" s="12">
        <f>A1</f>
        <v>2052</v>
      </c>
      <c r="B2" s="12">
        <f>-Sheet1!K3</f>
        <v>-456.59055118110228</v>
      </c>
      <c r="C2" s="12">
        <f>-Sheet1!B3</f>
        <v>-450</v>
      </c>
      <c r="D2" s="12">
        <f>-Sheet1!B4</f>
        <v>-182</v>
      </c>
      <c r="E2" s="12"/>
      <c r="F2" s="12"/>
    </row>
    <row r="3" spans="1:6" x14ac:dyDescent="0.25">
      <c r="A3" s="12">
        <v>0</v>
      </c>
      <c r="B3" s="12">
        <f>A1</f>
        <v>2052</v>
      </c>
      <c r="C3" s="12">
        <f>B3+B2</f>
        <v>1595.4094488188978</v>
      </c>
      <c r="D3" s="12">
        <f>C3+C2</f>
        <v>1145.4094488188978</v>
      </c>
      <c r="E3" s="12"/>
      <c r="F3" s="12"/>
    </row>
    <row r="4" spans="1:6" x14ac:dyDescent="0.25">
      <c r="A4" s="11"/>
      <c r="B4" s="11"/>
      <c r="C4" s="11"/>
      <c r="D4" s="11"/>
      <c r="E4" s="11"/>
      <c r="F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Waterfall final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2023-10-16T17:14:27Z</dcterms:created>
  <dcterms:modified xsi:type="dcterms:W3CDTF">2023-10-30T11:26:44Z</dcterms:modified>
</cp:coreProperties>
</file>