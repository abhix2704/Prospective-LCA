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Prospective LCA\Results\Main results\"/>
    </mc:Choice>
  </mc:AlternateContent>
  <xr:revisionPtr revIDLastSave="0" documentId="13_ncr:1_{1E488327-F4C8-4F54-8AE1-AAECE061B3DD}" xr6:coauthVersionLast="36" xr6:coauthVersionMax="47" xr10:uidLastSave="{00000000-0000-0000-0000-000000000000}"/>
  <bookViews>
    <workbookView xWindow="-276" yWindow="504" windowWidth="28800" windowHeight="17496" activeTab="2" xr2:uid="{4A99E928-2974-7747-BC9A-A80C0753979A}"/>
  </bookViews>
  <sheets>
    <sheet name="Hydrogen" sheetId="1" r:id="rId1"/>
    <sheet name="Ammonia" sheetId="2" r:id="rId2"/>
    <sheet name="Methano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3" l="1"/>
  <c r="D34" i="3"/>
  <c r="D33" i="3"/>
  <c r="D32" i="3"/>
  <c r="D29" i="3"/>
  <c r="D28" i="3"/>
  <c r="D27" i="3"/>
  <c r="D26" i="3"/>
  <c r="D23" i="3"/>
  <c r="D22" i="3"/>
  <c r="D21" i="3"/>
  <c r="D20" i="3"/>
  <c r="D17" i="3"/>
  <c r="D16" i="3"/>
  <c r="D15" i="3"/>
  <c r="D14" i="3"/>
  <c r="D11" i="3"/>
  <c r="D10" i="3"/>
  <c r="D9" i="3"/>
  <c r="D8" i="3"/>
  <c r="D5" i="3"/>
  <c r="D4" i="3"/>
  <c r="D3" i="3"/>
  <c r="D2" i="3"/>
  <c r="D59" i="2" l="1"/>
  <c r="D58" i="2"/>
  <c r="D57" i="2"/>
  <c r="D56" i="2"/>
  <c r="D55" i="2"/>
  <c r="D54" i="2"/>
  <c r="D53" i="2"/>
  <c r="D52" i="2"/>
  <c r="D49" i="2"/>
  <c r="D48" i="2"/>
  <c r="D47" i="2"/>
  <c r="D46" i="2"/>
  <c r="D45" i="2"/>
  <c r="D44" i="2"/>
  <c r="D43" i="2"/>
  <c r="D42" i="2"/>
  <c r="D39" i="2"/>
  <c r="D38" i="2"/>
  <c r="D37" i="2"/>
  <c r="D36" i="2"/>
  <c r="D35" i="2"/>
  <c r="D34" i="2"/>
  <c r="D33" i="2"/>
  <c r="D32" i="2"/>
  <c r="D29" i="2"/>
  <c r="D28" i="2"/>
  <c r="D27" i="2"/>
  <c r="D26" i="2"/>
  <c r="D25" i="2"/>
  <c r="D24" i="2"/>
  <c r="D23" i="2"/>
  <c r="D22" i="2"/>
  <c r="D19" i="2"/>
  <c r="D18" i="2"/>
  <c r="D17" i="2"/>
  <c r="D16" i="2"/>
  <c r="D15" i="2"/>
  <c r="D14" i="2"/>
  <c r="D13" i="2"/>
  <c r="D12" i="2"/>
  <c r="D9" i="2"/>
  <c r="D8" i="2"/>
  <c r="D7" i="2"/>
  <c r="D6" i="2"/>
  <c r="D5" i="2"/>
  <c r="D4" i="2"/>
  <c r="D3" i="2"/>
  <c r="D2" i="2"/>
  <c r="D71" i="1"/>
  <c r="D70" i="1"/>
  <c r="D69" i="1"/>
  <c r="D68" i="1"/>
  <c r="D67" i="1"/>
  <c r="D66" i="1"/>
  <c r="D65" i="1"/>
  <c r="D64" i="1"/>
  <c r="D63" i="1"/>
  <c r="D62" i="1"/>
  <c r="D59" i="1"/>
  <c r="D58" i="1"/>
  <c r="D57" i="1"/>
  <c r="D56" i="1"/>
  <c r="D55" i="1"/>
  <c r="D54" i="1"/>
  <c r="D53" i="1"/>
  <c r="D52" i="1"/>
  <c r="D51" i="1"/>
  <c r="D50" i="1"/>
  <c r="D47" i="1"/>
  <c r="D46" i="1"/>
  <c r="D45" i="1"/>
  <c r="D44" i="1"/>
  <c r="D43" i="1"/>
  <c r="D42" i="1"/>
  <c r="D41" i="1"/>
  <c r="D40" i="1"/>
  <c r="D39" i="1"/>
  <c r="D38" i="1"/>
  <c r="D35" i="1"/>
  <c r="D34" i="1"/>
  <c r="D33" i="1"/>
  <c r="D32" i="1"/>
  <c r="D31" i="1"/>
  <c r="D30" i="1"/>
  <c r="D29" i="1"/>
  <c r="D28" i="1"/>
  <c r="D27" i="1"/>
  <c r="D26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<sst xmlns="http://schemas.openxmlformats.org/spreadsheetml/2006/main" count="150" uniqueCount="30">
  <si>
    <t>Acidification</t>
  </si>
  <si>
    <t>hydrogen production without electricity, steam methane reforming of natural gas, with CCS (MDEA, 98% eff.), 25 bar</t>
  </si>
  <si>
    <t>hydrogen production without electricity, steam reforming of natural gas, 25 bar</t>
  </si>
  <si>
    <t>hydrogen production, gaseous, 200 bar, from PEM electrolysis, from grid electricity</t>
  </si>
  <si>
    <t>hydrogen production, gaseous, 200 bar, from PEM electrolysis, from hydro electricity</t>
  </si>
  <si>
    <t>hydrogen production, gaseous, 200 bar, from PEM electrolysis, from nuclear electricity</t>
  </si>
  <si>
    <t>hydrogen production, gaseous, 200 bar, from PEM electrolysis, from offshore wind electricity</t>
  </si>
  <si>
    <t>hydrogen production, gaseous, 200 bar, from PEM electrolysis, from onshore wind electricity</t>
  </si>
  <si>
    <t>hydrogen production, gaseous, 200 bar, from PEM electrolysis, from solar electricity</t>
  </si>
  <si>
    <t>hydrogen production, steam methane reforming of natural gas, 25 bar</t>
  </si>
  <si>
    <t>hydrogen production, steam methane reforming of natural gas, with CCS (MDEA, 98% eff.), 25 bar</t>
  </si>
  <si>
    <t>Ecotoxicity freshwater</t>
  </si>
  <si>
    <t>ionising radiation</t>
  </si>
  <si>
    <t>ammonia, BAU</t>
  </si>
  <si>
    <t>ammonia, blue</t>
  </si>
  <si>
    <t>ammonia; hydrogen, PEM electrolysis, electricity hydro</t>
  </si>
  <si>
    <t>ammonia; hydrogen, PEM electrolysis, electricity mix</t>
  </si>
  <si>
    <t>ammonia; hydrogen, PEM electrolysis, electricity nuclear</t>
  </si>
  <si>
    <t>ammonia; hydrogen, PEM electrolysis, electricity offshore wind</t>
  </si>
  <si>
    <t>ammonia; hydrogen, PEM electrolysis, electricity onshore wind</t>
  </si>
  <si>
    <t>ammonia; hydrogen, PEM electrolysis, electricity solar</t>
  </si>
  <si>
    <t>Ozone Depletion</t>
  </si>
  <si>
    <t>Particulate matter</t>
  </si>
  <si>
    <t>Photochemical ozone formation</t>
  </si>
  <si>
    <t>Ozone depletion</t>
  </si>
  <si>
    <t>methanol, BAU</t>
  </si>
  <si>
    <t>methanol, blue</t>
  </si>
  <si>
    <t>methanol synthesis, hydrogen production, gaseous, 200 bar, from PEM electrolysis, from onshore wind electricity carbon dioxide, captured from atmosphere, with a solvent-based direct air capture system, 1MtCO2, with heat pump heat, and onshore wind electricity</t>
  </si>
  <si>
    <t>methanol synthesis, hydrogen production, gaseous, 200 bar, from PEM electrolysis, from solar electricity carbon dioxide, captured from atmosphere, with a solvent-based direct air capture system, 1MtCO2, with heat pump heat, and onshore wind electricity</t>
  </si>
  <si>
    <t>Ionising 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</si>
</sst>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22CA-CE66-1248-8967-DD3F8E2CA5EE}">
  <dimension ref="A1:D71"/>
  <sheetViews>
    <sheetView topLeftCell="A22" zoomScale="70" zoomScaleNormal="70" workbookViewId="0">
      <selection activeCell="A47" sqref="A47"/>
    </sheetView>
  </sheetViews>
  <sheetFormatPr defaultColWidth="11.19921875" defaultRowHeight="14.4" x14ac:dyDescent="0.3"/>
  <cols>
    <col min="1" max="1" width="92.296875" style="5" bestFit="1" customWidth="1"/>
    <col min="2" max="16384" width="11.19921875" style="5"/>
  </cols>
  <sheetData>
    <row r="1" spans="1:4" x14ac:dyDescent="0.3">
      <c r="A1" s="5" t="s">
        <v>0</v>
      </c>
    </row>
    <row r="2" spans="1:4" x14ac:dyDescent="0.3">
      <c r="A2" s="1" t="s">
        <v>1</v>
      </c>
      <c r="B2" s="5">
        <v>1.0885277713525871E-2</v>
      </c>
      <c r="C2" s="5">
        <v>9.4768650296921542E-3</v>
      </c>
      <c r="D2" s="6">
        <f>(B2-C2)/B2*100</f>
        <v>12.938693167962501</v>
      </c>
    </row>
    <row r="3" spans="1:4" x14ac:dyDescent="0.3">
      <c r="A3" s="1" t="s">
        <v>2</v>
      </c>
      <c r="B3" s="5">
        <v>1.0374440521358519E-2</v>
      </c>
      <c r="C3" s="5">
        <v>9.5309144622176527E-3</v>
      </c>
      <c r="D3" s="6">
        <f t="shared" ref="D3:D23" si="0">(B3-C3)/B3*100</f>
        <v>8.130810113608014</v>
      </c>
    </row>
    <row r="4" spans="1:4" x14ac:dyDescent="0.3">
      <c r="A4" s="1" t="s">
        <v>3</v>
      </c>
      <c r="B4" s="5">
        <v>0.20331084978923811</v>
      </c>
      <c r="C4" s="5">
        <v>3.0813135197481901E-2</v>
      </c>
      <c r="D4" s="5">
        <f t="shared" si="0"/>
        <v>84.844323247173321</v>
      </c>
    </row>
    <row r="5" spans="1:4" x14ac:dyDescent="0.3">
      <c r="A5" s="1" t="s">
        <v>4</v>
      </c>
      <c r="B5" s="5">
        <v>3.7062230704767761E-3</v>
      </c>
      <c r="C5" s="5">
        <v>3.0018546706803268E-3</v>
      </c>
      <c r="D5" s="5">
        <f t="shared" si="0"/>
        <v>19.005019028869139</v>
      </c>
    </row>
    <row r="6" spans="1:4" x14ac:dyDescent="0.3">
      <c r="A6" s="1" t="s">
        <v>5</v>
      </c>
      <c r="B6" s="5">
        <v>5.6915680958739114E-3</v>
      </c>
      <c r="C6" s="5">
        <v>4.3443733808616871E-3</v>
      </c>
      <c r="D6" s="5">
        <f t="shared" si="0"/>
        <v>23.670009605768747</v>
      </c>
    </row>
    <row r="7" spans="1:4" x14ac:dyDescent="0.3">
      <c r="A7" s="1" t="s">
        <v>6</v>
      </c>
      <c r="B7" s="5">
        <v>7.9783871521860485E-3</v>
      </c>
      <c r="C7" s="5">
        <v>6.0428550702134164E-3</v>
      </c>
      <c r="D7" s="5">
        <f t="shared" si="0"/>
        <v>24.259691151266122</v>
      </c>
    </row>
    <row r="8" spans="1:4" x14ac:dyDescent="0.3">
      <c r="A8" s="1" t="s">
        <v>7</v>
      </c>
      <c r="B8" s="5">
        <v>2.5389391617080571E-2</v>
      </c>
      <c r="C8" s="5">
        <v>1.9459009966557559E-2</v>
      </c>
      <c r="D8" s="6">
        <f t="shared" si="0"/>
        <v>23.357714670616136</v>
      </c>
    </row>
    <row r="9" spans="1:4" x14ac:dyDescent="0.3">
      <c r="A9" s="1" t="s">
        <v>8</v>
      </c>
      <c r="B9" s="5">
        <v>2.3122802034980811E-2</v>
      </c>
      <c r="C9" s="5">
        <v>1.41427676768297E-2</v>
      </c>
      <c r="D9" s="6">
        <f t="shared" si="0"/>
        <v>38.836272284673228</v>
      </c>
    </row>
    <row r="10" spans="1:4" x14ac:dyDescent="0.3">
      <c r="A10" s="1" t="s">
        <v>9</v>
      </c>
      <c r="B10" s="5">
        <v>6.4375184691647736E-3</v>
      </c>
      <c r="C10" s="5">
        <v>8.976111596176178E-3</v>
      </c>
      <c r="D10" s="5">
        <f t="shared" si="0"/>
        <v>-39.434343204933292</v>
      </c>
    </row>
    <row r="11" spans="1:4" x14ac:dyDescent="0.3">
      <c r="A11" s="1" t="s">
        <v>10</v>
      </c>
      <c r="B11" s="5">
        <v>9.0939656335515331E-3</v>
      </c>
      <c r="C11" s="5">
        <v>9.2244279575914492E-3</v>
      </c>
      <c r="D11" s="5">
        <f t="shared" si="0"/>
        <v>-1.4346032225873457</v>
      </c>
    </row>
    <row r="13" spans="1:4" x14ac:dyDescent="0.3">
      <c r="A13" s="2" t="s">
        <v>11</v>
      </c>
    </row>
    <row r="14" spans="1:4" x14ac:dyDescent="0.3">
      <c r="A14" s="1" t="s">
        <v>1</v>
      </c>
      <c r="B14" s="5">
        <v>91.855018134548473</v>
      </c>
      <c r="C14" s="5">
        <v>86.366340400274481</v>
      </c>
      <c r="D14" s="6">
        <f t="shared" si="0"/>
        <v>5.9753705847994301</v>
      </c>
    </row>
    <row r="15" spans="1:4" x14ac:dyDescent="0.3">
      <c r="A15" s="1" t="s">
        <v>2</v>
      </c>
      <c r="B15" s="5">
        <v>89.789072068369833</v>
      </c>
      <c r="C15" s="5">
        <v>86.646437319268188</v>
      </c>
      <c r="D15" s="6">
        <f t="shared" si="0"/>
        <v>3.5000191857520124</v>
      </c>
    </row>
    <row r="16" spans="1:4" x14ac:dyDescent="0.3">
      <c r="A16" s="1" t="s">
        <v>3</v>
      </c>
      <c r="B16" s="5">
        <v>895.40912309455348</v>
      </c>
      <c r="C16" s="5">
        <v>196.1681144650361</v>
      </c>
      <c r="D16" s="5">
        <f t="shared" si="0"/>
        <v>78.091789618239005</v>
      </c>
    </row>
    <row r="17" spans="1:4" x14ac:dyDescent="0.3">
      <c r="A17" s="1" t="s">
        <v>4</v>
      </c>
      <c r="B17" s="5">
        <v>35.84976260469459</v>
      </c>
      <c r="C17" s="5">
        <v>32.923813461272488</v>
      </c>
      <c r="D17" s="5">
        <f t="shared" si="0"/>
        <v>8.1616974028133278</v>
      </c>
    </row>
    <row r="18" spans="1:4" x14ac:dyDescent="0.3">
      <c r="A18" s="1" t="s">
        <v>5</v>
      </c>
      <c r="B18" s="5">
        <v>149.38671044494441</v>
      </c>
      <c r="C18" s="5">
        <v>131.3060021908716</v>
      </c>
      <c r="D18" s="5">
        <f t="shared" si="0"/>
        <v>12.103290982323594</v>
      </c>
    </row>
    <row r="19" spans="1:4" x14ac:dyDescent="0.3">
      <c r="A19" s="1" t="s">
        <v>6</v>
      </c>
      <c r="B19" s="5">
        <v>65.06890151892199</v>
      </c>
      <c r="C19" s="5">
        <v>55.015327966637301</v>
      </c>
      <c r="D19" s="5">
        <f t="shared" si="0"/>
        <v>15.450658175566584</v>
      </c>
    </row>
    <row r="20" spans="1:4" x14ac:dyDescent="0.3">
      <c r="A20" s="1" t="s">
        <v>7</v>
      </c>
      <c r="B20" s="5">
        <v>217.7247966864322</v>
      </c>
      <c r="C20" s="5">
        <v>180.3601019148567</v>
      </c>
      <c r="D20" s="6">
        <f t="shared" si="0"/>
        <v>17.161432845606569</v>
      </c>
    </row>
    <row r="21" spans="1:4" x14ac:dyDescent="0.3">
      <c r="A21" s="1" t="s">
        <v>8</v>
      </c>
      <c r="B21" s="5">
        <v>180.38819031668351</v>
      </c>
      <c r="C21" s="5">
        <v>117.08752865137529</v>
      </c>
      <c r="D21" s="6">
        <f t="shared" si="0"/>
        <v>35.091355788968045</v>
      </c>
    </row>
    <row r="22" spans="1:4" x14ac:dyDescent="0.3">
      <c r="A22" s="1" t="s">
        <v>9</v>
      </c>
      <c r="B22" s="5">
        <v>73.111946414134536</v>
      </c>
      <c r="C22" s="5">
        <v>84.039085165612207</v>
      </c>
      <c r="D22" s="5">
        <f t="shared" si="0"/>
        <v>-14.945763705403357</v>
      </c>
    </row>
    <row r="23" spans="1:4" x14ac:dyDescent="0.3">
      <c r="A23" s="1" t="s">
        <v>10</v>
      </c>
      <c r="B23" s="5">
        <v>84.266872815025209</v>
      </c>
      <c r="C23" s="5">
        <v>85.179986861222758</v>
      </c>
      <c r="D23" s="5">
        <f t="shared" si="0"/>
        <v>-1.0835978786134997</v>
      </c>
    </row>
    <row r="25" spans="1:4" x14ac:dyDescent="0.3">
      <c r="A25" s="2" t="s">
        <v>12</v>
      </c>
    </row>
    <row r="26" spans="1:4" x14ac:dyDescent="0.3">
      <c r="A26" s="1" t="s">
        <v>1</v>
      </c>
      <c r="B26" s="5">
        <v>0.62911268774445739</v>
      </c>
      <c r="C26" s="5">
        <v>0.61478341110208412</v>
      </c>
      <c r="D26" s="6">
        <f t="shared" ref="D26:D35" si="1">(B26-C26)/B26*100</f>
        <v>2.2776963366845577</v>
      </c>
    </row>
    <row r="27" spans="1:4" x14ac:dyDescent="0.3">
      <c r="A27" s="1" t="s">
        <v>2</v>
      </c>
      <c r="B27" s="5">
        <v>0.62840285758294501</v>
      </c>
      <c r="C27" s="5">
        <v>0.61585214821290102</v>
      </c>
      <c r="D27" s="6">
        <f t="shared" si="1"/>
        <v>1.9972393853074384</v>
      </c>
    </row>
    <row r="28" spans="1:4" x14ac:dyDescent="0.3">
      <c r="A28" s="1" t="s">
        <v>3</v>
      </c>
      <c r="B28" s="5">
        <v>2.9568734637192549</v>
      </c>
      <c r="C28" s="5">
        <v>2.0289091022805659</v>
      </c>
      <c r="D28" s="5">
        <f t="shared" si="1"/>
        <v>31.38329633732328</v>
      </c>
    </row>
    <row r="29" spans="1:4" x14ac:dyDescent="0.3">
      <c r="A29" s="1" t="s">
        <v>4</v>
      </c>
      <c r="B29" s="5">
        <v>3.2572796221945831E-2</v>
      </c>
      <c r="C29" s="5">
        <v>1.9033911873816329E-2</v>
      </c>
      <c r="D29" s="5">
        <f t="shared" si="1"/>
        <v>41.565004907400969</v>
      </c>
    </row>
    <row r="30" spans="1:4" x14ac:dyDescent="0.3">
      <c r="A30" s="1" t="s">
        <v>5</v>
      </c>
      <c r="B30" s="5">
        <v>11.576083130086509</v>
      </c>
      <c r="C30" s="5">
        <v>10.072228830331939</v>
      </c>
      <c r="D30" s="5">
        <f t="shared" si="1"/>
        <v>12.9910461324005</v>
      </c>
    </row>
    <row r="31" spans="1:4" x14ac:dyDescent="0.3">
      <c r="A31" s="1" t="s">
        <v>6</v>
      </c>
      <c r="B31" s="5">
        <v>5.3395581227615188E-2</v>
      </c>
      <c r="C31" s="5">
        <v>3.1409208650660617E-2</v>
      </c>
      <c r="D31" s="5">
        <f t="shared" si="1"/>
        <v>41.17638964024168</v>
      </c>
    </row>
    <row r="32" spans="1:4" x14ac:dyDescent="0.3">
      <c r="A32" s="1" t="s">
        <v>7</v>
      </c>
      <c r="B32" s="5">
        <v>9.850487977958082E-2</v>
      </c>
      <c r="C32" s="5">
        <v>6.03424649127293E-2</v>
      </c>
      <c r="D32" s="6">
        <f t="shared" si="1"/>
        <v>38.741649096212846</v>
      </c>
    </row>
    <row r="33" spans="1:4" x14ac:dyDescent="0.3">
      <c r="A33" s="1" t="s">
        <v>8</v>
      </c>
      <c r="B33" s="5">
        <v>0.19683122863655461</v>
      </c>
      <c r="C33" s="5">
        <v>9.1751476024434064E-2</v>
      </c>
      <c r="D33" s="6">
        <f t="shared" si="1"/>
        <v>53.385711881191597</v>
      </c>
    </row>
    <row r="34" spans="1:4" x14ac:dyDescent="0.3">
      <c r="A34" s="1" t="s">
        <v>9</v>
      </c>
      <c r="B34" s="5">
        <v>0.56698840957660446</v>
      </c>
      <c r="C34" s="5">
        <v>0.56595684039104988</v>
      </c>
      <c r="D34" s="5">
        <f t="shared" si="1"/>
        <v>0.18193831974888172</v>
      </c>
    </row>
    <row r="35" spans="1:4" x14ac:dyDescent="0.3">
      <c r="A35" s="1" t="s">
        <v>10</v>
      </c>
      <c r="B35" s="5">
        <v>0.60116891818533846</v>
      </c>
      <c r="C35" s="5">
        <v>0.59208088703622985</v>
      </c>
      <c r="D35" s="5">
        <f t="shared" si="1"/>
        <v>1.511726716767283</v>
      </c>
    </row>
    <row r="37" spans="1:4" x14ac:dyDescent="0.3">
      <c r="A37" s="2" t="s">
        <v>24</v>
      </c>
    </row>
    <row r="38" spans="1:4" x14ac:dyDescent="0.3">
      <c r="A38" s="1" t="s">
        <v>1</v>
      </c>
      <c r="B38" s="5">
        <v>9.6372142615219423E-7</v>
      </c>
      <c r="C38" s="5">
        <v>9.4773000009121722E-7</v>
      </c>
      <c r="D38" s="6">
        <f t="shared" ref="D38:D47" si="2">(B38-C38)/B38*100</f>
        <v>1.659341136040239</v>
      </c>
    </row>
    <row r="39" spans="1:4" x14ac:dyDescent="0.3">
      <c r="A39" s="1" t="s">
        <v>2</v>
      </c>
      <c r="B39" s="5">
        <v>9.747890256761672E-7</v>
      </c>
      <c r="C39" s="5">
        <v>9.6084850104676749E-7</v>
      </c>
      <c r="D39" s="6">
        <f t="shared" si="2"/>
        <v>1.4301068500160641</v>
      </c>
    </row>
    <row r="40" spans="1:4" x14ac:dyDescent="0.3">
      <c r="A40" s="1" t="s">
        <v>3</v>
      </c>
      <c r="B40" s="5">
        <v>1.212261168178798E-6</v>
      </c>
      <c r="C40" s="5">
        <v>4.8294426955437971E-7</v>
      </c>
      <c r="D40" s="5">
        <f t="shared" si="2"/>
        <v>60.161697641448363</v>
      </c>
    </row>
    <row r="41" spans="1:4" x14ac:dyDescent="0.3">
      <c r="A41" s="1" t="s">
        <v>4</v>
      </c>
      <c r="B41" s="5">
        <v>6.9472250056031953E-8</v>
      </c>
      <c r="C41" s="5">
        <v>5.2988347059114038E-8</v>
      </c>
      <c r="D41" s="5">
        <f t="shared" si="2"/>
        <v>23.727319877538203</v>
      </c>
    </row>
    <row r="42" spans="1:4" x14ac:dyDescent="0.3">
      <c r="A42" s="1" t="s">
        <v>5</v>
      </c>
      <c r="B42" s="5">
        <v>8.8649316482588085E-8</v>
      </c>
      <c r="C42" s="5">
        <v>6.3829693587803048E-8</v>
      </c>
      <c r="D42" s="5">
        <f t="shared" si="2"/>
        <v>27.99753441941083</v>
      </c>
    </row>
    <row r="43" spans="1:4" x14ac:dyDescent="0.3">
      <c r="A43" s="1" t="s">
        <v>6</v>
      </c>
      <c r="B43" s="5">
        <v>9.5025650230216429E-8</v>
      </c>
      <c r="C43" s="5">
        <v>6.7326892936630567E-8</v>
      </c>
      <c r="D43" s="5">
        <f t="shared" si="2"/>
        <v>29.148716400762037</v>
      </c>
    </row>
    <row r="44" spans="1:4" x14ac:dyDescent="0.3">
      <c r="A44" s="1" t="s">
        <v>7</v>
      </c>
      <c r="B44" s="5">
        <v>1.715648132204165E-7</v>
      </c>
      <c r="C44" s="5">
        <v>1.1013207122352249E-7</v>
      </c>
      <c r="D44" s="6">
        <f t="shared" si="2"/>
        <v>35.807308528916586</v>
      </c>
    </row>
    <row r="45" spans="1:4" x14ac:dyDescent="0.3">
      <c r="A45" s="1" t="s">
        <v>8</v>
      </c>
      <c r="B45" s="5">
        <v>4.1485147183785209E-7</v>
      </c>
      <c r="C45" s="5">
        <v>2.5288554892442119E-7</v>
      </c>
      <c r="D45" s="6">
        <f t="shared" si="2"/>
        <v>39.041906298632234</v>
      </c>
    </row>
    <row r="46" spans="1:4" x14ac:dyDescent="0.3">
      <c r="A46" s="1" t="s">
        <v>9</v>
      </c>
      <c r="B46" s="5">
        <v>9.5139123417782734E-7</v>
      </c>
      <c r="C46" s="5">
        <v>9.5031867138079626E-7</v>
      </c>
      <c r="D46" s="5">
        <f t="shared" si="2"/>
        <v>0.11273624966262892</v>
      </c>
    </row>
    <row r="47" spans="1:4" x14ac:dyDescent="0.3">
      <c r="A47" s="1" t="s">
        <v>10</v>
      </c>
      <c r="B47" s="5">
        <v>9.5307535645611104E-7</v>
      </c>
      <c r="C47" s="5">
        <v>9.4293889403662429E-7</v>
      </c>
      <c r="D47" s="5">
        <f t="shared" si="2"/>
        <v>1.0635530916650595</v>
      </c>
    </row>
    <row r="49" spans="1:4" x14ac:dyDescent="0.3">
      <c r="A49" s="2" t="s">
        <v>22</v>
      </c>
    </row>
    <row r="50" spans="1:4" x14ac:dyDescent="0.3">
      <c r="A50" s="1" t="s">
        <v>1</v>
      </c>
      <c r="B50" s="5">
        <v>6.8779059922807005E-8</v>
      </c>
      <c r="C50" s="5">
        <v>5.7619135211501839E-8</v>
      </c>
      <c r="D50" s="6">
        <f t="shared" ref="D50:D59" si="3">(B50-C50)/B50*100</f>
        <v>16.225759299167965</v>
      </c>
    </row>
    <row r="51" spans="1:4" x14ac:dyDescent="0.3">
      <c r="A51" s="1" t="s">
        <v>2</v>
      </c>
      <c r="B51" s="5">
        <v>6.3856329263644406E-8</v>
      </c>
      <c r="C51" s="5">
        <v>5.7438366145523323E-8</v>
      </c>
      <c r="D51" s="6">
        <f t="shared" si="3"/>
        <v>10.050629580700075</v>
      </c>
    </row>
    <row r="52" spans="1:4" x14ac:dyDescent="0.3">
      <c r="A52" s="1" t="s">
        <v>3</v>
      </c>
      <c r="B52" s="5">
        <v>1.717785761199277E-6</v>
      </c>
      <c r="C52" s="5">
        <v>3.0864149029180787E-7</v>
      </c>
      <c r="D52" s="5">
        <f t="shared" si="3"/>
        <v>82.032597005791402</v>
      </c>
    </row>
    <row r="53" spans="1:4" x14ac:dyDescent="0.3">
      <c r="A53" s="1" t="s">
        <v>4</v>
      </c>
      <c r="B53" s="5">
        <v>5.6770110307112673E-8</v>
      </c>
      <c r="C53" s="5">
        <v>4.8388696292382393E-8</v>
      </c>
      <c r="D53" s="5">
        <f t="shared" si="3"/>
        <v>14.763779688622837</v>
      </c>
    </row>
    <row r="54" spans="1:4" x14ac:dyDescent="0.3">
      <c r="A54" s="1" t="s">
        <v>5</v>
      </c>
      <c r="B54" s="5">
        <v>4.7756203670493298E-8</v>
      </c>
      <c r="C54" s="5">
        <v>4.1119138925085052E-8</v>
      </c>
      <c r="D54" s="5">
        <f t="shared" si="3"/>
        <v>13.89780643202389</v>
      </c>
    </row>
    <row r="55" spans="1:4" x14ac:dyDescent="0.3">
      <c r="A55" s="1" t="s">
        <v>6</v>
      </c>
      <c r="B55" s="5">
        <v>9.6190585697211898E-8</v>
      </c>
      <c r="C55" s="5">
        <v>7.4950714314015643E-8</v>
      </c>
      <c r="D55" s="5">
        <f t="shared" si="3"/>
        <v>22.081029270426715</v>
      </c>
    </row>
    <row r="56" spans="1:4" x14ac:dyDescent="0.3">
      <c r="A56" s="1" t="s">
        <v>7</v>
      </c>
      <c r="B56" s="5">
        <v>2.3948886279353269E-7</v>
      </c>
      <c r="C56" s="5">
        <v>1.818700170776179E-7</v>
      </c>
      <c r="D56" s="6">
        <f t="shared" si="3"/>
        <v>24.059091952676294</v>
      </c>
    </row>
    <row r="57" spans="1:4" x14ac:dyDescent="0.3">
      <c r="A57" s="1" t="s">
        <v>8</v>
      </c>
      <c r="B57" s="5">
        <v>3.1110456031556641E-7</v>
      </c>
      <c r="C57" s="5">
        <v>1.679211142026371E-7</v>
      </c>
      <c r="D57" s="6">
        <f t="shared" si="3"/>
        <v>46.024219628182991</v>
      </c>
    </row>
    <row r="58" spans="1:4" x14ac:dyDescent="0.3">
      <c r="A58" s="1" t="s">
        <v>9</v>
      </c>
      <c r="B58" s="5">
        <v>2.9050949749919399E-8</v>
      </c>
      <c r="C58" s="5">
        <v>5.1127734483327112E-8</v>
      </c>
      <c r="D58" s="5">
        <f t="shared" si="3"/>
        <v>-75.993332140437047</v>
      </c>
    </row>
    <row r="59" spans="1:4" x14ac:dyDescent="0.3">
      <c r="A59" s="1" t="s">
        <v>10</v>
      </c>
      <c r="B59" s="5">
        <v>5.2942501325898642E-8</v>
      </c>
      <c r="C59" s="5">
        <v>5.4747777694412757E-8</v>
      </c>
      <c r="D59" s="5">
        <f t="shared" si="3"/>
        <v>-3.4098811414318315</v>
      </c>
    </row>
    <row r="61" spans="1:4" x14ac:dyDescent="0.3">
      <c r="A61" s="2" t="s">
        <v>23</v>
      </c>
    </row>
    <row r="62" spans="1:4" x14ac:dyDescent="0.3">
      <c r="A62" s="1" t="s">
        <v>1</v>
      </c>
      <c r="B62" s="5">
        <v>1.53061903149976E-2</v>
      </c>
      <c r="C62" s="5">
        <v>1.449176046629023E-2</v>
      </c>
      <c r="D62" s="6">
        <f t="shared" ref="D62:D71" si="4">(B62-C62)/B62*100</f>
        <v>5.3209180857326741</v>
      </c>
    </row>
    <row r="63" spans="1:4" x14ac:dyDescent="0.3">
      <c r="A63" s="1" t="s">
        <v>2</v>
      </c>
      <c r="B63" s="5">
        <v>1.5272727263184479E-2</v>
      </c>
      <c r="C63" s="5">
        <v>1.468483459448219E-2</v>
      </c>
      <c r="D63" s="6">
        <f t="shared" si="4"/>
        <v>3.8492972379558439</v>
      </c>
    </row>
    <row r="64" spans="1:4" x14ac:dyDescent="0.3">
      <c r="A64" s="1" t="s">
        <v>3</v>
      </c>
      <c r="B64" s="5">
        <v>8.9342443784491368E-2</v>
      </c>
      <c r="C64" s="5">
        <v>1.8355927956233729E-2</v>
      </c>
      <c r="D64" s="5">
        <f t="shared" si="4"/>
        <v>79.454414745458237</v>
      </c>
    </row>
    <row r="65" spans="1:4" x14ac:dyDescent="0.3">
      <c r="A65" s="1" t="s">
        <v>4</v>
      </c>
      <c r="B65" s="5">
        <v>2.3460560632897862E-3</v>
      </c>
      <c r="C65" s="5">
        <v>1.8697300933786291E-3</v>
      </c>
      <c r="D65" s="5">
        <f t="shared" si="4"/>
        <v>20.303264587940969</v>
      </c>
    </row>
    <row r="66" spans="1:4" x14ac:dyDescent="0.3">
      <c r="A66" s="1" t="s">
        <v>5</v>
      </c>
      <c r="B66" s="5">
        <v>3.6012857031017791E-3</v>
      </c>
      <c r="C66" s="5">
        <v>2.88885396550517E-3</v>
      </c>
      <c r="D66" s="5">
        <f t="shared" si="4"/>
        <v>19.782705298360341</v>
      </c>
    </row>
    <row r="67" spans="1:4" x14ac:dyDescent="0.3">
      <c r="A67" s="1" t="s">
        <v>6</v>
      </c>
      <c r="B67" s="5">
        <v>4.550955676407141E-3</v>
      </c>
      <c r="C67" s="5">
        <v>3.3522156470669039E-3</v>
      </c>
      <c r="D67" s="5">
        <f t="shared" si="4"/>
        <v>26.340402205072905</v>
      </c>
    </row>
    <row r="68" spans="1:4" x14ac:dyDescent="0.3">
      <c r="A68" s="1" t="s">
        <v>7</v>
      </c>
      <c r="B68" s="5">
        <v>1.067128210512823E-2</v>
      </c>
      <c r="C68" s="5">
        <v>7.6462850862218769E-3</v>
      </c>
      <c r="D68" s="6">
        <f t="shared" si="4"/>
        <v>28.347081345105192</v>
      </c>
    </row>
    <row r="69" spans="1:4" x14ac:dyDescent="0.3">
      <c r="A69" s="1" t="s">
        <v>8</v>
      </c>
      <c r="B69" s="5">
        <v>1.363279590889623E-2</v>
      </c>
      <c r="C69" s="5">
        <v>7.9794463431513904E-3</v>
      </c>
      <c r="D69" s="6">
        <f t="shared" si="4"/>
        <v>41.468746422409836</v>
      </c>
    </row>
    <row r="70" spans="1:4" x14ac:dyDescent="0.3">
      <c r="A70" s="1" t="s">
        <v>9</v>
      </c>
      <c r="B70" s="5">
        <v>1.349794716700266E-2</v>
      </c>
      <c r="C70" s="5">
        <v>1.428783772347347E-2</v>
      </c>
      <c r="D70" s="5">
        <f t="shared" si="4"/>
        <v>-5.8519310136417761</v>
      </c>
    </row>
    <row r="71" spans="1:4" x14ac:dyDescent="0.3">
      <c r="A71" s="1" t="s">
        <v>10</v>
      </c>
      <c r="B71" s="5">
        <v>1.4498659715346279E-2</v>
      </c>
      <c r="C71" s="5">
        <v>1.4311125624827311E-2</v>
      </c>
      <c r="D71" s="5">
        <f t="shared" si="4"/>
        <v>1.2934581140660262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0D38-BAE3-F947-8C7F-A3D9DE0B213F}">
  <dimension ref="A1:D59"/>
  <sheetViews>
    <sheetView topLeftCell="A22" workbookViewId="0">
      <selection activeCell="D8" sqref="D8"/>
    </sheetView>
  </sheetViews>
  <sheetFormatPr defaultColWidth="11.19921875" defaultRowHeight="14.4" x14ac:dyDescent="0.3"/>
  <cols>
    <col min="1" max="1" width="92.296875" style="5" bestFit="1" customWidth="1"/>
    <col min="2" max="16384" width="11.19921875" style="5"/>
  </cols>
  <sheetData>
    <row r="1" spans="1:4" x14ac:dyDescent="0.3">
      <c r="A1" s="5" t="s">
        <v>0</v>
      </c>
    </row>
    <row r="2" spans="1:4" x14ac:dyDescent="0.3">
      <c r="A2" s="1" t="s">
        <v>13</v>
      </c>
      <c r="B2" s="5">
        <v>4.1019222402876787E-3</v>
      </c>
      <c r="C2" s="5">
        <v>3.7250993862330889E-3</v>
      </c>
      <c r="D2" s="6">
        <f>(B2-C2)/B2*100</f>
        <v>9.1864943307204729</v>
      </c>
    </row>
    <row r="3" spans="1:4" x14ac:dyDescent="0.3">
      <c r="A3" s="1" t="s">
        <v>14</v>
      </c>
      <c r="B3" s="5">
        <v>4.8166895060294751E-3</v>
      </c>
      <c r="C3" s="5">
        <v>3.6179893764507311E-3</v>
      </c>
      <c r="D3" s="6">
        <f t="shared" ref="D3:D19" si="0">(B3-C3)/B3*100</f>
        <v>24.88638987583122</v>
      </c>
    </row>
    <row r="4" spans="1:4" x14ac:dyDescent="0.3">
      <c r="A4" s="1" t="s">
        <v>15</v>
      </c>
      <c r="B4" s="5">
        <v>8.6281989111317882E-3</v>
      </c>
      <c r="C4" s="5">
        <v>6.8896635689136791E-3</v>
      </c>
      <c r="D4" s="5">
        <f t="shared" si="0"/>
        <v>20.149458306705402</v>
      </c>
    </row>
    <row r="5" spans="1:4" x14ac:dyDescent="0.3">
      <c r="A5" s="1" t="s">
        <v>16</v>
      </c>
      <c r="B5" s="5">
        <v>4.3758613023275911E-2</v>
      </c>
      <c r="C5" s="5">
        <v>1.178444891510785E-2</v>
      </c>
      <c r="D5" s="5">
        <f t="shared" si="0"/>
        <v>73.06941856489027</v>
      </c>
    </row>
    <row r="6" spans="1:4" x14ac:dyDescent="0.3">
      <c r="A6" s="1" t="s">
        <v>17</v>
      </c>
      <c r="B6" s="5">
        <v>8.9776196337083107E-3</v>
      </c>
      <c r="C6" s="5">
        <v>7.1259468606252718E-3</v>
      </c>
      <c r="D6" s="5">
        <f t="shared" si="0"/>
        <v>20.625431335167672</v>
      </c>
    </row>
    <row r="7" spans="1:4" x14ac:dyDescent="0.3">
      <c r="A7" s="1" t="s">
        <v>18</v>
      </c>
      <c r="B7" s="5">
        <v>9.3800997854383682E-3</v>
      </c>
      <c r="C7" s="5">
        <v>7.424879636331377E-3</v>
      </c>
      <c r="D7" s="5">
        <f t="shared" si="0"/>
        <v>20.844342745076844</v>
      </c>
    </row>
    <row r="8" spans="1:4" x14ac:dyDescent="0.3">
      <c r="A8" s="1" t="s">
        <v>19</v>
      </c>
      <c r="B8" s="5">
        <v>1.244443655465537E-2</v>
      </c>
      <c r="C8" s="5">
        <v>9.7861228852933017E-3</v>
      </c>
      <c r="D8" s="6">
        <f t="shared" si="0"/>
        <v>21.361462671989059</v>
      </c>
    </row>
    <row r="9" spans="1:4" x14ac:dyDescent="0.3">
      <c r="A9" s="1" t="s">
        <v>20</v>
      </c>
      <c r="B9" s="5">
        <v>1.204551679036741E-2</v>
      </c>
      <c r="C9" s="5">
        <v>8.8504642473711589E-3</v>
      </c>
      <c r="D9" s="6">
        <f t="shared" si="0"/>
        <v>26.524827440789245</v>
      </c>
    </row>
    <row r="11" spans="1:4" x14ac:dyDescent="0.3">
      <c r="A11" s="2" t="s">
        <v>11</v>
      </c>
    </row>
    <row r="12" spans="1:4" x14ac:dyDescent="0.3">
      <c r="A12" s="1" t="s">
        <v>13</v>
      </c>
      <c r="B12" s="5">
        <v>21.87948163404555</v>
      </c>
      <c r="C12" s="5">
        <v>20.088450000000002</v>
      </c>
      <c r="D12" s="6">
        <f t="shared" si="0"/>
        <v>8.1858961012066001</v>
      </c>
    </row>
    <row r="13" spans="1:4" x14ac:dyDescent="0.3">
      <c r="A13" s="1" t="s">
        <v>14</v>
      </c>
      <c r="B13" s="5">
        <v>24.92800481291167</v>
      </c>
      <c r="C13" s="5">
        <v>19.844370000000001</v>
      </c>
      <c r="D13" s="6">
        <f t="shared" si="0"/>
        <v>20.39326793726611</v>
      </c>
    </row>
    <row r="14" spans="1:4" x14ac:dyDescent="0.3">
      <c r="A14" s="1" t="s">
        <v>15</v>
      </c>
      <c r="B14" s="5">
        <v>18.559469504384051</v>
      </c>
      <c r="C14" s="5">
        <v>11.26754</v>
      </c>
      <c r="D14" s="5">
        <f t="shared" si="0"/>
        <v>39.289536280450136</v>
      </c>
    </row>
    <row r="15" spans="1:4" x14ac:dyDescent="0.3">
      <c r="A15" s="1" t="s">
        <v>16</v>
      </c>
      <c r="B15" s="5">
        <v>169.84191613085949</v>
      </c>
      <c r="C15" s="5">
        <v>39.998530000000002</v>
      </c>
      <c r="D15" s="5">
        <f t="shared" si="0"/>
        <v>76.449553260349461</v>
      </c>
    </row>
    <row r="16" spans="1:4" x14ac:dyDescent="0.3">
      <c r="A16" s="1" t="s">
        <v>17</v>
      </c>
      <c r="B16" s="5">
        <v>38.541972215990782</v>
      </c>
      <c r="C16" s="5">
        <v>28.582799999999999</v>
      </c>
      <c r="D16" s="5">
        <f t="shared" si="0"/>
        <v>25.839809546276399</v>
      </c>
    </row>
    <row r="17" spans="1:4" x14ac:dyDescent="0.3">
      <c r="A17" s="1" t="s">
        <v>18</v>
      </c>
      <c r="B17" s="5">
        <v>23.702037925422559</v>
      </c>
      <c r="C17" s="5">
        <v>15.15564</v>
      </c>
      <c r="D17" s="5">
        <f t="shared" si="0"/>
        <v>36.057650200009938</v>
      </c>
    </row>
    <row r="18" spans="1:4" x14ac:dyDescent="0.3">
      <c r="A18" s="1" t="s">
        <v>19</v>
      </c>
      <c r="B18" s="5">
        <v>50.569475329320333</v>
      </c>
      <c r="C18" s="5">
        <v>37.216320000000003</v>
      </c>
      <c r="D18" s="6">
        <f t="shared" si="0"/>
        <v>26.405564310013972</v>
      </c>
    </row>
    <row r="19" spans="1:4" x14ac:dyDescent="0.3">
      <c r="A19" s="1" t="s">
        <v>20</v>
      </c>
      <c r="B19" s="5">
        <v>43.998232643851523</v>
      </c>
      <c r="C19" s="5">
        <v>26.080349999999999</v>
      </c>
      <c r="D19" s="6">
        <f t="shared" si="0"/>
        <v>40.724096326526961</v>
      </c>
    </row>
    <row r="21" spans="1:4" x14ac:dyDescent="0.3">
      <c r="A21" s="2" t="s">
        <v>29</v>
      </c>
    </row>
    <row r="22" spans="1:4" x14ac:dyDescent="0.3">
      <c r="A22" s="1" t="s">
        <v>13</v>
      </c>
      <c r="B22" s="5">
        <v>5.4780543494528398E-2</v>
      </c>
      <c r="C22" s="5">
        <v>5.1491000000000002E-2</v>
      </c>
      <c r="D22" s="6">
        <f t="shared" ref="D22:D29" si="1">(B22-C22)/B22*100</f>
        <v>6.0049486271653425</v>
      </c>
    </row>
    <row r="23" spans="1:4" x14ac:dyDescent="0.3">
      <c r="A23" s="1" t="s">
        <v>14</v>
      </c>
      <c r="B23" s="5">
        <v>4.1557668930610019E-2</v>
      </c>
      <c r="C23" s="5">
        <v>3.5999999999999997E-2</v>
      </c>
      <c r="D23" s="6">
        <f t="shared" si="1"/>
        <v>13.373389493741369</v>
      </c>
    </row>
    <row r="24" spans="1:4" x14ac:dyDescent="0.3">
      <c r="A24" s="1" t="s">
        <v>15</v>
      </c>
      <c r="B24" s="5">
        <v>3.6339075650584668E-2</v>
      </c>
      <c r="C24" s="5">
        <v>2.7671000000000001E-2</v>
      </c>
      <c r="D24" s="5">
        <f t="shared" si="1"/>
        <v>23.853319038524319</v>
      </c>
    </row>
    <row r="25" spans="1:4" x14ac:dyDescent="0.3">
      <c r="A25" s="1" t="s">
        <v>16</v>
      </c>
      <c r="B25" s="5">
        <v>0.55101599034128124</v>
      </c>
      <c r="C25" s="5">
        <v>0.381409</v>
      </c>
      <c r="D25" s="5">
        <f t="shared" si="1"/>
        <v>30.780774662497951</v>
      </c>
    </row>
    <row r="26" spans="1:4" x14ac:dyDescent="0.3">
      <c r="A26" s="1" t="s">
        <v>17</v>
      </c>
      <c r="B26" s="5">
        <v>2.0679968834020022</v>
      </c>
      <c r="C26" s="5">
        <v>1.7970330000000001</v>
      </c>
      <c r="D26" s="5">
        <f t="shared" si="1"/>
        <v>13.102722038741527</v>
      </c>
    </row>
    <row r="27" spans="1:4" x14ac:dyDescent="0.3">
      <c r="A27" s="1" t="s">
        <v>18</v>
      </c>
      <c r="B27" s="5">
        <v>4.0003885791724363E-2</v>
      </c>
      <c r="C27" s="5">
        <v>2.9849000000000001E-2</v>
      </c>
      <c r="D27" s="5">
        <f t="shared" si="1"/>
        <v>25.384748483171382</v>
      </c>
    </row>
    <row r="28" spans="1:4" x14ac:dyDescent="0.3">
      <c r="A28" s="1" t="s">
        <v>19</v>
      </c>
      <c r="B28" s="5">
        <v>4.7943122293850643E-2</v>
      </c>
      <c r="C28" s="5">
        <v>3.4941E-2</v>
      </c>
      <c r="D28" s="6">
        <f t="shared" si="1"/>
        <v>27.119890553140596</v>
      </c>
    </row>
    <row r="29" spans="1:4" x14ac:dyDescent="0.3">
      <c r="A29" s="1" t="s">
        <v>20</v>
      </c>
      <c r="B29" s="5">
        <v>6.5248559598906811E-2</v>
      </c>
      <c r="C29" s="5">
        <v>4.0468999999999998E-2</v>
      </c>
      <c r="D29" s="6">
        <f t="shared" si="1"/>
        <v>37.977174900458607</v>
      </c>
    </row>
    <row r="31" spans="1:4" x14ac:dyDescent="0.3">
      <c r="A31" s="2" t="s">
        <v>21</v>
      </c>
    </row>
    <row r="32" spans="1:4" x14ac:dyDescent="0.3">
      <c r="A32" s="1" t="s">
        <v>13</v>
      </c>
      <c r="B32" s="5">
        <v>1.941409688691735E-7</v>
      </c>
      <c r="C32" s="5">
        <v>1.91E-7</v>
      </c>
      <c r="D32" s="6">
        <f t="shared" ref="D32:D39" si="2">(B32-C32)/B32*100</f>
        <v>1.617880495533176</v>
      </c>
    </row>
    <row r="33" spans="1:4" x14ac:dyDescent="0.3">
      <c r="A33" s="1" t="s">
        <v>14</v>
      </c>
      <c r="B33" s="5">
        <v>2.0238323490729701E-7</v>
      </c>
      <c r="C33" s="5">
        <v>1.9600000000000001E-7</v>
      </c>
      <c r="D33" s="6">
        <f t="shared" si="2"/>
        <v>3.1540334406755002</v>
      </c>
    </row>
    <row r="34" spans="1:4" x14ac:dyDescent="0.3">
      <c r="A34" s="1" t="s">
        <v>15</v>
      </c>
      <c r="B34" s="5">
        <v>2.521512917431807E-8</v>
      </c>
      <c r="C34" s="5">
        <v>1.5799999999999999E-8</v>
      </c>
      <c r="D34" s="5">
        <f t="shared" si="2"/>
        <v>37.339206589936886</v>
      </c>
    </row>
    <row r="35" spans="1:4" x14ac:dyDescent="0.3">
      <c r="A35" s="1" t="s">
        <v>16</v>
      </c>
      <c r="B35" s="5">
        <v>2.2634597767407621E-7</v>
      </c>
      <c r="C35" s="5">
        <v>9.1500000000000005E-8</v>
      </c>
      <c r="D35" s="5">
        <f t="shared" si="2"/>
        <v>59.575159700096734</v>
      </c>
    </row>
    <row r="36" spans="1:4" x14ac:dyDescent="0.3">
      <c r="A36" s="1" t="s">
        <v>17</v>
      </c>
      <c r="B36" s="5">
        <v>2.859029284710304E-8</v>
      </c>
      <c r="C36" s="5">
        <v>1.77E-8</v>
      </c>
      <c r="D36" s="5">
        <f t="shared" si="2"/>
        <v>38.090875477711371</v>
      </c>
    </row>
    <row r="37" spans="1:4" x14ac:dyDescent="0.3">
      <c r="A37" s="1" t="s">
        <v>18</v>
      </c>
      <c r="B37" s="5">
        <v>2.9712527580605011E-8</v>
      </c>
      <c r="C37" s="5">
        <v>1.8299999999999998E-8</v>
      </c>
      <c r="D37" s="5">
        <f t="shared" si="2"/>
        <v>38.409817372974331</v>
      </c>
    </row>
    <row r="38" spans="1:4" x14ac:dyDescent="0.3">
      <c r="A38" s="1" t="s">
        <v>19</v>
      </c>
      <c r="B38" s="5">
        <v>4.3183420193886442E-8</v>
      </c>
      <c r="C38" s="5">
        <v>2.5799999999999999E-8</v>
      </c>
      <c r="D38" s="6">
        <f t="shared" si="2"/>
        <v>40.254848077891353</v>
      </c>
    </row>
    <row r="39" spans="1:4" x14ac:dyDescent="0.3">
      <c r="A39" s="1" t="s">
        <v>20</v>
      </c>
      <c r="B39" s="5">
        <v>8.6001871878539092E-8</v>
      </c>
      <c r="C39" s="5">
        <v>5.1E-8</v>
      </c>
      <c r="D39" s="6">
        <f t="shared" si="2"/>
        <v>40.698965166679656</v>
      </c>
    </row>
    <row r="41" spans="1:4" x14ac:dyDescent="0.3">
      <c r="A41" s="2" t="s">
        <v>22</v>
      </c>
    </row>
    <row r="42" spans="1:4" x14ac:dyDescent="0.3">
      <c r="A42" s="1" t="s">
        <v>13</v>
      </c>
      <c r="B42" s="5">
        <v>1.88640529717417E-8</v>
      </c>
      <c r="C42" s="5">
        <v>1.4966021794877079E-8</v>
      </c>
      <c r="D42" s="6">
        <f t="shared" ref="D42:D49" si="3">(B42-C42)/B42*100</f>
        <v>20.663805295202796</v>
      </c>
    </row>
    <row r="43" spans="1:4" x14ac:dyDescent="0.3">
      <c r="A43" s="1" t="s">
        <v>14</v>
      </c>
      <c r="B43" s="5">
        <v>2.3527594744183338E-8</v>
      </c>
      <c r="C43" s="5">
        <v>1.305887969704329E-8</v>
      </c>
      <c r="D43" s="6">
        <f t="shared" si="3"/>
        <v>44.495475040975876</v>
      </c>
    </row>
    <row r="44" spans="1:4" x14ac:dyDescent="0.3">
      <c r="A44" s="1" t="s">
        <v>15</v>
      </c>
      <c r="B44" s="5">
        <v>6.5902483858731182E-8</v>
      </c>
      <c r="C44" s="5">
        <v>5.057477024875804E-8</v>
      </c>
      <c r="D44" s="5">
        <f t="shared" si="3"/>
        <v>23.258172852528123</v>
      </c>
    </row>
    <row r="45" spans="1:4" x14ac:dyDescent="0.3">
      <c r="A45" s="1" t="s">
        <v>16</v>
      </c>
      <c r="B45" s="5">
        <v>3.5824123683168359E-7</v>
      </c>
      <c r="C45" s="5">
        <v>9.6379261744460552E-8</v>
      </c>
      <c r="D45" s="5">
        <f t="shared" si="3"/>
        <v>73.096547288400657</v>
      </c>
    </row>
    <row r="46" spans="1:4" x14ac:dyDescent="0.3">
      <c r="A46" s="1" t="s">
        <v>17</v>
      </c>
      <c r="B46" s="5">
        <v>6.4316036299282512E-8</v>
      </c>
      <c r="C46" s="5">
        <v>4.9295328159046487E-8</v>
      </c>
      <c r="D46" s="5">
        <f t="shared" si="3"/>
        <v>23.354530229972507</v>
      </c>
    </row>
    <row r="47" spans="1:4" x14ac:dyDescent="0.3">
      <c r="A47" s="1" t="s">
        <v>18</v>
      </c>
      <c r="B47" s="5">
        <v>7.2840487489794382E-8</v>
      </c>
      <c r="C47" s="5">
        <v>5.5249685395233948E-8</v>
      </c>
      <c r="D47" s="5">
        <f t="shared" si="3"/>
        <v>24.149758878295629</v>
      </c>
    </row>
    <row r="48" spans="1:4" x14ac:dyDescent="0.3">
      <c r="A48" s="1" t="s">
        <v>19</v>
      </c>
      <c r="B48" s="5">
        <v>9.8060984122086844E-8</v>
      </c>
      <c r="C48" s="5">
        <v>7.4067482579661769E-8</v>
      </c>
      <c r="D48" s="6">
        <f t="shared" si="3"/>
        <v>24.467938759979138</v>
      </c>
    </row>
    <row r="49" spans="1:4" x14ac:dyDescent="0.3">
      <c r="A49" s="1" t="s">
        <v>20</v>
      </c>
      <c r="B49" s="5">
        <v>1.1066534681766679E-7</v>
      </c>
      <c r="C49" s="5">
        <v>7.161247568696783E-8</v>
      </c>
      <c r="D49" s="6">
        <f t="shared" si="3"/>
        <v>35.289159844267076</v>
      </c>
    </row>
    <row r="51" spans="1:4" x14ac:dyDescent="0.3">
      <c r="A51" s="2" t="s">
        <v>23</v>
      </c>
    </row>
    <row r="52" spans="1:4" x14ac:dyDescent="0.3">
      <c r="A52" s="1" t="s">
        <v>13</v>
      </c>
      <c r="B52" s="5">
        <v>3.3811645995604099E-3</v>
      </c>
      <c r="C52" s="5">
        <v>3.2049999999999999E-3</v>
      </c>
      <c r="D52" s="6">
        <f t="shared" ref="D52:D59" si="4">(B52-C52)/B52*100</f>
        <v>5.2101752036358517</v>
      </c>
    </row>
    <row r="53" spans="1:4" x14ac:dyDescent="0.3">
      <c r="A53" s="1" t="s">
        <v>14</v>
      </c>
      <c r="B53" s="5">
        <v>3.3826535027921059E-3</v>
      </c>
      <c r="C53" s="5">
        <v>2.879E-3</v>
      </c>
      <c r="D53" s="6">
        <f t="shared" si="4"/>
        <v>14.889302211307804</v>
      </c>
    </row>
    <row r="54" spans="1:4" x14ac:dyDescent="0.3">
      <c r="A54" s="1" t="s">
        <v>15</v>
      </c>
      <c r="B54" s="5">
        <v>2.4052922977965642E-3</v>
      </c>
      <c r="C54" s="5">
        <v>1.6570000000000001E-3</v>
      </c>
      <c r="D54" s="5">
        <f t="shared" si="4"/>
        <v>31.110243793740093</v>
      </c>
    </row>
    <row r="55" spans="1:4" x14ac:dyDescent="0.3">
      <c r="A55" s="1" t="s">
        <v>16</v>
      </c>
      <c r="B55" s="5">
        <v>1.7716656453761841E-2</v>
      </c>
      <c r="C55" s="5">
        <v>4.5589999999999997E-3</v>
      </c>
      <c r="D55" s="5">
        <f t="shared" si="4"/>
        <v>74.26715355745371</v>
      </c>
    </row>
    <row r="56" spans="1:4" x14ac:dyDescent="0.3">
      <c r="A56" s="1" t="s">
        <v>17</v>
      </c>
      <c r="B56" s="5">
        <v>2.6262127132063951E-3</v>
      </c>
      <c r="C56" s="5">
        <v>1.8370000000000001E-3</v>
      </c>
      <c r="D56" s="5">
        <f t="shared" si="4"/>
        <v>30.051362908940821</v>
      </c>
    </row>
    <row r="57" spans="1:4" x14ac:dyDescent="0.3">
      <c r="A57" s="1" t="s">
        <v>18</v>
      </c>
      <c r="B57" s="5">
        <v>2.7933546276024649E-3</v>
      </c>
      <c r="C57" s="5">
        <v>1.918E-3</v>
      </c>
      <c r="D57" s="5">
        <f t="shared" si="4"/>
        <v>31.33703894781814</v>
      </c>
    </row>
    <row r="58" spans="1:4" x14ac:dyDescent="0.3">
      <c r="A58" s="1" t="s">
        <v>19</v>
      </c>
      <c r="B58" s="5">
        <v>3.870532073220577E-3</v>
      </c>
      <c r="C58" s="5">
        <v>2.6740000000000002E-3</v>
      </c>
      <c r="D58" s="6">
        <f t="shared" si="4"/>
        <v>30.913891180469438</v>
      </c>
    </row>
    <row r="59" spans="1:4" x14ac:dyDescent="0.3">
      <c r="A59" s="1" t="s">
        <v>20</v>
      </c>
      <c r="B59" s="5">
        <v>4.3917584998594264E-3</v>
      </c>
      <c r="C59" s="5">
        <v>2.7320000000000001E-3</v>
      </c>
      <c r="D59" s="6">
        <f t="shared" si="4"/>
        <v>37.792572153331122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D1B7-4A36-8C41-8D35-937375CA1B40}">
  <dimension ref="A1:D35"/>
  <sheetViews>
    <sheetView tabSelected="1" workbookViewId="0">
      <selection activeCell="I12" sqref="I12"/>
    </sheetView>
  </sheetViews>
  <sheetFormatPr defaultColWidth="11.19921875" defaultRowHeight="14.4" x14ac:dyDescent="0.3"/>
  <cols>
    <col min="1" max="1" width="50.796875" style="5" bestFit="1" customWidth="1"/>
    <col min="2" max="16384" width="11.19921875" style="5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1" t="s">
        <v>25</v>
      </c>
      <c r="B2" s="5">
        <v>2.0467632979432981E-3</v>
      </c>
      <c r="C2" s="5">
        <v>1.74892927374488E-3</v>
      </c>
      <c r="D2" s="6">
        <f>(B2-C2)/B2*100</f>
        <v>14.551463986954344</v>
      </c>
    </row>
    <row r="3" spans="1:4" x14ac:dyDescent="0.3">
      <c r="A3" s="1" t="s">
        <v>26</v>
      </c>
      <c r="B3" s="5">
        <v>2.3813219179902E-3</v>
      </c>
      <c r="C3" s="5">
        <v>1.692299990184359E-3</v>
      </c>
      <c r="D3" s="6">
        <f t="shared" ref="D3:D11" si="0">(B3-C3)/B3*100</f>
        <v>28.934430183524501</v>
      </c>
    </row>
    <row r="4" spans="1:4" x14ac:dyDescent="0.3">
      <c r="A4" s="1" t="s">
        <v>27</v>
      </c>
      <c r="B4" s="5">
        <v>6.5351529691165663E-3</v>
      </c>
      <c r="C4" s="5">
        <v>4.3869528695858846E-3</v>
      </c>
      <c r="D4" s="6">
        <f t="shared" si="0"/>
        <v>32.871458551659259</v>
      </c>
    </row>
    <row r="5" spans="1:4" x14ac:dyDescent="0.3">
      <c r="A5" s="1" t="s">
        <v>28</v>
      </c>
      <c r="B5" s="5">
        <v>6.2201525462457783E-3</v>
      </c>
      <c r="C5" s="5">
        <v>3.648125433612058E-3</v>
      </c>
      <c r="D5" s="6">
        <f t="shared" si="0"/>
        <v>41.349904098189477</v>
      </c>
    </row>
    <row r="6" spans="1:4" x14ac:dyDescent="0.3">
      <c r="A6" s="4"/>
      <c r="B6" s="4"/>
      <c r="C6" s="4"/>
    </row>
    <row r="7" spans="1:4" x14ac:dyDescent="0.3">
      <c r="A7" s="3" t="s">
        <v>11</v>
      </c>
      <c r="B7" s="4"/>
      <c r="C7" s="4"/>
    </row>
    <row r="8" spans="1:4" x14ac:dyDescent="0.3">
      <c r="A8" s="1" t="s">
        <v>25</v>
      </c>
      <c r="B8" s="5">
        <v>15.32737485257897</v>
      </c>
      <c r="C8" s="5">
        <v>13.99804869520743</v>
      </c>
      <c r="D8" s="6">
        <f>(B8-C8)/B8*100</f>
        <v>8.6728886724387024</v>
      </c>
    </row>
    <row r="9" spans="1:4" x14ac:dyDescent="0.3">
      <c r="A9" s="1" t="s">
        <v>26</v>
      </c>
      <c r="B9" s="5">
        <v>16.747308325055599</v>
      </c>
      <c r="C9" s="5">
        <v>13.85290338118379</v>
      </c>
      <c r="D9" s="6">
        <f t="shared" si="0"/>
        <v>17.282806811059292</v>
      </c>
    </row>
    <row r="10" spans="1:4" x14ac:dyDescent="0.3">
      <c r="A10" s="1" t="s">
        <v>27</v>
      </c>
      <c r="B10" s="5">
        <v>88.269279667901159</v>
      </c>
      <c r="C10" s="5">
        <v>77.379671652942136</v>
      </c>
      <c r="D10" s="6">
        <f t="shared" si="0"/>
        <v>12.336803988804945</v>
      </c>
    </row>
    <row r="11" spans="1:4" x14ac:dyDescent="0.3">
      <c r="A11" s="1" t="s">
        <v>28</v>
      </c>
      <c r="B11" s="5">
        <v>83.080406089767223</v>
      </c>
      <c r="C11" s="5">
        <v>68.586334080263924</v>
      </c>
      <c r="D11" s="6">
        <f t="shared" si="0"/>
        <v>17.445836740184749</v>
      </c>
    </row>
    <row r="12" spans="1:4" x14ac:dyDescent="0.3">
      <c r="A12" s="4"/>
      <c r="B12" s="4"/>
      <c r="C12" s="4"/>
      <c r="D12" s="4"/>
    </row>
    <row r="13" spans="1:4" x14ac:dyDescent="0.3">
      <c r="A13" s="3" t="s">
        <v>12</v>
      </c>
      <c r="B13" s="4"/>
      <c r="C13" s="4"/>
      <c r="D13" s="4"/>
    </row>
    <row r="14" spans="1:4" x14ac:dyDescent="0.3">
      <c r="A14" s="1" t="s">
        <v>25</v>
      </c>
      <c r="B14" s="5">
        <v>3.3958765358174797E-2</v>
      </c>
      <c r="C14" s="5">
        <v>3.228178820904247E-2</v>
      </c>
      <c r="D14" s="6">
        <f>(B14-C14)/B14*100</f>
        <v>4.9382747913378831</v>
      </c>
    </row>
    <row r="15" spans="1:4" x14ac:dyDescent="0.3">
      <c r="A15" s="1" t="s">
        <v>26</v>
      </c>
      <c r="B15" s="5">
        <v>2.7080267623341679E-2</v>
      </c>
      <c r="C15" s="5">
        <v>2.4335660288553228E-2</v>
      </c>
      <c r="D15" s="6">
        <f t="shared" ref="D15:D17" si="1">(B15-C15)/B15*100</f>
        <v>10.135082019731415</v>
      </c>
    </row>
    <row r="16" spans="1:4" x14ac:dyDescent="0.3">
      <c r="A16" s="1" t="s">
        <v>27</v>
      </c>
      <c r="B16" s="5">
        <v>4.2251890884405258E-2</v>
      </c>
      <c r="C16" s="5">
        <v>2.844471747256723E-2</v>
      </c>
      <c r="D16" s="6">
        <f t="shared" si="1"/>
        <v>32.678237879607217</v>
      </c>
    </row>
    <row r="17" spans="1:4" x14ac:dyDescent="0.3">
      <c r="A17" s="1" t="s">
        <v>28</v>
      </c>
      <c r="B17" s="5">
        <v>5.5916844484251313E-2</v>
      </c>
      <c r="C17" s="5">
        <v>3.2809800529630589E-2</v>
      </c>
      <c r="D17" s="6">
        <f t="shared" si="1"/>
        <v>41.32394123407429</v>
      </c>
    </row>
    <row r="18" spans="1:4" x14ac:dyDescent="0.3">
      <c r="A18" s="4"/>
      <c r="B18" s="4"/>
      <c r="C18" s="4"/>
      <c r="D18" s="4"/>
    </row>
    <row r="19" spans="1:4" x14ac:dyDescent="0.3">
      <c r="A19" s="3" t="s">
        <v>24</v>
      </c>
      <c r="B19" s="4"/>
      <c r="C19" s="4"/>
      <c r="D19" s="4"/>
    </row>
    <row r="20" spans="1:4" x14ac:dyDescent="0.3">
      <c r="A20" s="1" t="s">
        <v>25</v>
      </c>
      <c r="B20" s="5">
        <v>1.6008430481412501E-7</v>
      </c>
      <c r="C20" s="5">
        <v>1.5801922346321129E-7</v>
      </c>
      <c r="D20" s="6">
        <f>(B20-C20)/B20*100</f>
        <v>1.2899961387916832</v>
      </c>
    </row>
    <row r="21" spans="1:4" x14ac:dyDescent="0.3">
      <c r="A21" s="1" t="s">
        <v>26</v>
      </c>
      <c r="B21" s="5">
        <v>1.6404952059371329E-7</v>
      </c>
      <c r="C21" s="5">
        <v>1.606725569066448E-7</v>
      </c>
      <c r="D21" s="6">
        <f t="shared" ref="D21:D23" si="2">(B21-C21)/B21*100</f>
        <v>2.0585026246019398</v>
      </c>
    </row>
    <row r="22" spans="1:4" x14ac:dyDescent="0.3">
      <c r="A22" s="1" t="s">
        <v>27</v>
      </c>
      <c r="B22" s="5">
        <v>4.5397398347855951E-8</v>
      </c>
      <c r="C22" s="5">
        <v>2.903240182187776E-8</v>
      </c>
      <c r="D22" s="6">
        <f t="shared" si="2"/>
        <v>36.048313607273236</v>
      </c>
    </row>
    <row r="23" spans="1:4" x14ac:dyDescent="0.3">
      <c r="A23" s="1" t="s">
        <v>28</v>
      </c>
      <c r="B23" s="5">
        <v>7.9208283630545485E-8</v>
      </c>
      <c r="C23" s="5">
        <v>4.8871637913491611E-8</v>
      </c>
      <c r="D23" s="6">
        <f t="shared" si="2"/>
        <v>38.2998397725096</v>
      </c>
    </row>
    <row r="24" spans="1:4" x14ac:dyDescent="0.3">
      <c r="A24" s="4"/>
      <c r="B24" s="4"/>
      <c r="C24" s="4"/>
      <c r="D24" s="4"/>
    </row>
    <row r="25" spans="1:4" x14ac:dyDescent="0.3">
      <c r="A25" s="3" t="s">
        <v>22</v>
      </c>
      <c r="B25" s="4"/>
      <c r="C25" s="4"/>
      <c r="D25" s="4"/>
    </row>
    <row r="26" spans="1:4" x14ac:dyDescent="0.3">
      <c r="A26" s="1" t="s">
        <v>25</v>
      </c>
      <c r="B26" s="5">
        <v>9.3083997256603451E-9</v>
      </c>
      <c r="C26" s="5">
        <v>6.5577953578249268E-9</v>
      </c>
      <c r="D26" s="6">
        <f>(B26-C26)/B26*100</f>
        <v>29.549701870374808</v>
      </c>
    </row>
    <row r="27" spans="1:4" x14ac:dyDescent="0.3">
      <c r="A27" s="1" t="s">
        <v>26</v>
      </c>
      <c r="B27" s="5">
        <v>1.143890320757958E-8</v>
      </c>
      <c r="C27" s="5">
        <v>5.5656011526741354E-9</v>
      </c>
      <c r="D27" s="6">
        <f t="shared" ref="D27:D29" si="3">(B27-C27)/B27*100</f>
        <v>51.344975548125205</v>
      </c>
    </row>
    <row r="28" spans="1:4" x14ac:dyDescent="0.3">
      <c r="A28" s="1" t="s">
        <v>27</v>
      </c>
      <c r="B28" s="5">
        <v>6.5423450118480567E-8</v>
      </c>
      <c r="C28" s="5">
        <v>4.5557590742507598E-8</v>
      </c>
      <c r="D28" s="6">
        <f t="shared" si="3"/>
        <v>30.365043940660868</v>
      </c>
    </row>
    <row r="29" spans="1:4" x14ac:dyDescent="0.3">
      <c r="A29" s="1" t="s">
        <v>28</v>
      </c>
      <c r="B29" s="5">
        <v>7.5376277565401465E-8</v>
      </c>
      <c r="C29" s="5">
        <v>4.3619034976213399E-8</v>
      </c>
      <c r="D29" s="6">
        <f t="shared" si="3"/>
        <v>42.131614368503904</v>
      </c>
    </row>
    <row r="30" spans="1:4" x14ac:dyDescent="0.3">
      <c r="A30" s="4"/>
      <c r="B30" s="4"/>
      <c r="C30" s="4"/>
    </row>
    <row r="31" spans="1:4" x14ac:dyDescent="0.3">
      <c r="A31" s="3" t="s">
        <v>23</v>
      </c>
      <c r="B31" s="4"/>
      <c r="C31" s="4"/>
      <c r="D31" s="4"/>
    </row>
    <row r="32" spans="1:4" x14ac:dyDescent="0.3">
      <c r="A32" s="1" t="s">
        <v>25</v>
      </c>
      <c r="B32" s="5">
        <v>2.0914215847865308E-3</v>
      </c>
      <c r="C32" s="5">
        <v>1.9598014180219588E-3</v>
      </c>
      <c r="D32" s="6">
        <f>(B32-C32)/B32*100</f>
        <v>6.2933350082071735</v>
      </c>
    </row>
    <row r="33" spans="1:4" x14ac:dyDescent="0.3">
      <c r="A33" s="1" t="s">
        <v>26</v>
      </c>
      <c r="B33" s="5">
        <v>2.0825606530056732E-3</v>
      </c>
      <c r="C33" s="5">
        <v>1.7951252819264031E-3</v>
      </c>
      <c r="D33" s="6">
        <f t="shared" ref="D33:D35" si="4">(B33-C33)/B33*100</f>
        <v>13.80201679429728</v>
      </c>
    </row>
    <row r="34" spans="1:4" x14ac:dyDescent="0.3">
      <c r="A34" s="1" t="s">
        <v>27</v>
      </c>
      <c r="B34" s="5">
        <v>2.8372741566927281E-3</v>
      </c>
      <c r="C34" s="5">
        <v>1.8246176171766949E-3</v>
      </c>
      <c r="D34" s="6">
        <f t="shared" si="4"/>
        <v>35.691176939222451</v>
      </c>
    </row>
    <row r="35" spans="1:4" x14ac:dyDescent="0.3">
      <c r="A35" s="1" t="s">
        <v>28</v>
      </c>
      <c r="B35" s="5">
        <v>3.248852021468933E-3</v>
      </c>
      <c r="C35" s="5">
        <v>1.8709188697924599E-3</v>
      </c>
      <c r="D35" s="6">
        <f t="shared" si="4"/>
        <v>42.412924398245003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Hydrogen</vt:lpstr>
      <vt:lpstr>Ammonia</vt:lpstr>
      <vt:lpstr>Methanol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Nabera</dc:creator>
  <cp:lastModifiedBy>Nabera  Abhinandan</cp:lastModifiedBy>
  <dcterms:created xsi:type="dcterms:W3CDTF">2023-09-16T23:08:03Z</dcterms:created>
  <dcterms:modified xsi:type="dcterms:W3CDTF">2023-09-17T12:41:58Z</dcterms:modified>
</cp:coreProperties>
</file>