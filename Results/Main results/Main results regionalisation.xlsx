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Prospective LCA\Results\Main results\"/>
    </mc:Choice>
  </mc:AlternateContent>
  <xr:revisionPtr revIDLastSave="0" documentId="8_{88AE9F71-6999-440E-BBA5-325B76562F47}" xr6:coauthVersionLast="36" xr6:coauthVersionMax="36" xr10:uidLastSave="{00000000-0000-0000-0000-000000000000}"/>
  <bookViews>
    <workbookView xWindow="0" yWindow="0" windowWidth="30720" windowHeight="13380" activeTab="2" xr2:uid="{8B762EDB-2E58-479B-A8DC-3D070ED03EC9}"/>
  </bookViews>
  <sheets>
    <sheet name="Hydrogen" sheetId="1" r:id="rId1"/>
    <sheet name="Ammonia" sheetId="2" r:id="rId2"/>
    <sheet name="Methanol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9" i="3" l="1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B4" i="3"/>
  <c r="AB9" i="2" l="1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B4" i="1"/>
</calcChain>
</file>

<file path=xl/sharedStrings.xml><?xml version="1.0" encoding="utf-8"?>
<sst xmlns="http://schemas.openxmlformats.org/spreadsheetml/2006/main" count="180" uniqueCount="40">
  <si>
    <t>AU</t>
  </si>
  <si>
    <t>BR</t>
  </si>
  <si>
    <t>BW</t>
  </si>
  <si>
    <t>CA</t>
  </si>
  <si>
    <t>CL</t>
  </si>
  <si>
    <t>CN</t>
  </si>
  <si>
    <t>EG</t>
  </si>
  <si>
    <t>ET</t>
  </si>
  <si>
    <t>GLO</t>
  </si>
  <si>
    <t>GT</t>
  </si>
  <si>
    <t>ID</t>
  </si>
  <si>
    <t>IN</t>
  </si>
  <si>
    <t>IR</t>
  </si>
  <si>
    <t>JP</t>
  </si>
  <si>
    <t>KR</t>
  </si>
  <si>
    <t>MX</t>
  </si>
  <si>
    <t>NG</t>
  </si>
  <si>
    <t>PH</t>
  </si>
  <si>
    <t>PK</t>
  </si>
  <si>
    <t>PL</t>
  </si>
  <si>
    <t>RER</t>
  </si>
  <si>
    <t>RU</t>
  </si>
  <si>
    <t>TR</t>
  </si>
  <si>
    <t>UA</t>
  </si>
  <si>
    <t>US</t>
  </si>
  <si>
    <t>UZ</t>
  </si>
  <si>
    <t>ZA</t>
  </si>
  <si>
    <t>% change</t>
  </si>
  <si>
    <t>hydrogen production, gaseous, 200 bar, from PEM electrolysis, from solar electricity 2020</t>
  </si>
  <si>
    <t>hydrogen production, gaseous, 200 bar, from PEM electrolysis, from solar electricity 2050</t>
  </si>
  <si>
    <t>hydrogen production, gaseous, 200 bar, from PEM electrolysis, from onshore wind electricity 2020</t>
  </si>
  <si>
    <t>hydrogen production, gaseous, 200 bar, from PEM electrolysis, from onshore wind electricity 2050</t>
  </si>
  <si>
    <t>ammonia; hydrogen, PEM electrolysis, electricity onshore wind 2020</t>
  </si>
  <si>
    <t>ammonia; hydrogen, PEM electrolysis, electricity onshore wind 2050</t>
  </si>
  <si>
    <t>ammonia; hydrogen, PEM electrolysis, electricity solar 2020</t>
  </si>
  <si>
    <t>ammonia; hydrogen, PEM electrolysis, electricity solar 2050</t>
  </si>
  <si>
    <t>methanol synthesis, hydrogen production, gaseous, 200 bar, from PEM electrolysis, from onshore wind electricity carbon dioxide, captured from atmosphere, with a solvent-based direct air capture system, 1MtCO2, with heat pump heat, and onshore wind electricity 2020</t>
  </si>
  <si>
    <t>methanol synthesis, hydrogen production, gaseous, 200 bar, from PEM electrolysis, from onshore wind electricity carbon dioxide, captured from atmosphere, with a solvent-based direct air capture system, 1MtCO2, with heat pump heat, and onshore wind electricity 2050</t>
  </si>
  <si>
    <t>methanol synthesis, hydrogen production, gaseous, 200 bar, from PEM electrolysis, from solar electricity carbon dioxide, captured from atmosphere, with a solvent-based direct air capture system, 1MtCO2, with heat pump heat, and onshore wind electricity 2020</t>
  </si>
  <si>
    <t>methanol synthesis, hydrogen production, gaseous, 200 bar, from PEM electrolysis, from solar electricity carbon dioxide, captured from atmosphere, with a solvent-based direct air capture system, 1MtCO2, with heat pump heat, and onshore wind electricity 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</si>
</sst>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E9D00-DE92-4E9D-8995-BC4CCBD52700}">
  <dimension ref="A1:AB9"/>
  <sheetViews>
    <sheetView zoomScaleNormal="100" workbookViewId="0">
      <selection activeCell="C29" sqref="C29"/>
    </sheetView>
  </sheetViews>
  <sheetFormatPr defaultRowHeight="14.4" x14ac:dyDescent="0.3"/>
  <cols>
    <col min="1" max="1" width="85" bestFit="1" customWidth="1"/>
  </cols>
  <sheetData>
    <row r="1" spans="1:2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">
      <c r="A2" s="1" t="s">
        <v>30</v>
      </c>
      <c r="B2">
        <v>1.664172469175081</v>
      </c>
      <c r="C2">
        <v>2.4013555661890131</v>
      </c>
      <c r="D2">
        <v>2.4013555661890131</v>
      </c>
      <c r="E2">
        <v>2.0088273126825391</v>
      </c>
      <c r="F2">
        <v>1.779016979982226</v>
      </c>
      <c r="G2">
        <v>2.5542152836164971</v>
      </c>
      <c r="H2">
        <v>2.4013555661890131</v>
      </c>
      <c r="I2">
        <v>2.4013555661890131</v>
      </c>
      <c r="J2">
        <v>2.399075197032861</v>
      </c>
      <c r="K2">
        <v>2.4013555661890131</v>
      </c>
      <c r="L2">
        <v>2.4013555661890131</v>
      </c>
      <c r="M2">
        <v>2.4013555661892352</v>
      </c>
      <c r="N2">
        <v>1.829915337813284</v>
      </c>
      <c r="O2">
        <v>1.986952074014027</v>
      </c>
      <c r="P2">
        <v>1.948458575462497</v>
      </c>
      <c r="Q2">
        <v>1.519299165377558</v>
      </c>
      <c r="R2">
        <v>2.4013555661890131</v>
      </c>
      <c r="S2">
        <v>2.4013555661890131</v>
      </c>
      <c r="T2">
        <v>2.4013555661890131</v>
      </c>
      <c r="U2">
        <v>2.042456945019766</v>
      </c>
      <c r="V2">
        <v>2.1859270616771411</v>
      </c>
      <c r="W2">
        <v>2.401500443230109</v>
      </c>
      <c r="X2">
        <v>1.5868634606809029</v>
      </c>
      <c r="Y2">
        <v>3.1358777283620309</v>
      </c>
      <c r="Z2">
        <v>1.650478914724006</v>
      </c>
      <c r="AA2">
        <v>2.4013555661890131</v>
      </c>
      <c r="AB2">
        <v>3.1714049527494499</v>
      </c>
    </row>
    <row r="3" spans="1:28" x14ac:dyDescent="0.3">
      <c r="A3" s="1" t="s">
        <v>31</v>
      </c>
      <c r="B3">
        <v>0.96589728141968845</v>
      </c>
      <c r="C3">
        <v>1.3236531767720661</v>
      </c>
      <c r="D3">
        <v>1.3236531767720661</v>
      </c>
      <c r="E3">
        <v>1.1331587156301941</v>
      </c>
      <c r="F3">
        <v>1.0216314687308099</v>
      </c>
      <c r="G3">
        <v>1.3978361922346989</v>
      </c>
      <c r="H3">
        <v>1.3236531767720661</v>
      </c>
      <c r="I3">
        <v>1.3236531767720661</v>
      </c>
      <c r="J3">
        <v>1.322298040883372</v>
      </c>
      <c r="K3">
        <v>1.3236531767720661</v>
      </c>
      <c r="L3">
        <v>1.3236531767720661</v>
      </c>
      <c r="M3">
        <v>1.3236531767731989</v>
      </c>
      <c r="N3">
        <v>1.0463325066129541</v>
      </c>
      <c r="O3">
        <v>1.122542634711071</v>
      </c>
      <c r="P3">
        <v>1.1038616908177179</v>
      </c>
      <c r="Q3">
        <v>0.89559008259570438</v>
      </c>
      <c r="R3">
        <v>1.3236531767720661</v>
      </c>
      <c r="S3">
        <v>1.3236531767720661</v>
      </c>
      <c r="T3">
        <v>1.3236531767720661</v>
      </c>
      <c r="U3">
        <v>1.145959297843629</v>
      </c>
      <c r="V3">
        <v>1.2134113651274361</v>
      </c>
      <c r="W3">
        <v>1.323723486059438</v>
      </c>
      <c r="X3">
        <v>0.9283791212802156</v>
      </c>
      <c r="Y3">
        <v>1.674096155751009</v>
      </c>
      <c r="Z3">
        <v>0.95925178198577499</v>
      </c>
      <c r="AA3">
        <v>1.3236531767720661</v>
      </c>
      <c r="AB3">
        <v>1.697359124543991</v>
      </c>
    </row>
    <row r="4" spans="1:28" x14ac:dyDescent="0.3">
      <c r="A4" s="1" t="s">
        <v>27</v>
      </c>
      <c r="B4">
        <f>(B2-B3)/B2*100</f>
        <v>41.959304140004363</v>
      </c>
      <c r="C4">
        <f t="shared" ref="C4:AB4" si="0">(C2-C3)/C2*100</f>
        <v>44.878917749247634</v>
      </c>
      <c r="D4">
        <f t="shared" si="0"/>
        <v>44.878917749247634</v>
      </c>
      <c r="E4">
        <f t="shared" si="0"/>
        <v>43.591034008941193</v>
      </c>
      <c r="F4">
        <f t="shared" si="0"/>
        <v>42.573259264730737</v>
      </c>
      <c r="G4">
        <f t="shared" si="0"/>
        <v>45.273360424986905</v>
      </c>
      <c r="H4">
        <f t="shared" si="0"/>
        <v>44.878917749247634</v>
      </c>
      <c r="I4">
        <f t="shared" si="0"/>
        <v>44.878917749247634</v>
      </c>
      <c r="J4">
        <f t="shared" si="0"/>
        <v>44.883009814833244</v>
      </c>
      <c r="K4">
        <f t="shared" si="0"/>
        <v>44.878917749247634</v>
      </c>
      <c r="L4">
        <f t="shared" si="0"/>
        <v>44.878917749247634</v>
      </c>
      <c r="M4">
        <f t="shared" si="0"/>
        <v>44.878917749205556</v>
      </c>
      <c r="N4">
        <f t="shared" si="0"/>
        <v>42.82071498109292</v>
      </c>
      <c r="O4">
        <f t="shared" si="0"/>
        <v>43.504292358530918</v>
      </c>
      <c r="P4">
        <f t="shared" si="0"/>
        <v>43.346925373781723</v>
      </c>
      <c r="Q4">
        <f t="shared" si="0"/>
        <v>41.052420549895906</v>
      </c>
      <c r="R4">
        <f t="shared" si="0"/>
        <v>44.878917749247634</v>
      </c>
      <c r="S4">
        <f t="shared" si="0"/>
        <v>44.878917749247634</v>
      </c>
      <c r="T4">
        <f t="shared" si="0"/>
        <v>44.878917749247634</v>
      </c>
      <c r="U4">
        <f t="shared" si="0"/>
        <v>43.893098915113782</v>
      </c>
      <c r="V4">
        <f t="shared" si="0"/>
        <v>44.489851175708829</v>
      </c>
      <c r="W4">
        <f t="shared" si="0"/>
        <v>44.879315355071107</v>
      </c>
      <c r="X4">
        <f t="shared" si="0"/>
        <v>41.495967089578087</v>
      </c>
      <c r="Y4">
        <f t="shared" si="0"/>
        <v>46.614750294315755</v>
      </c>
      <c r="Z4">
        <f t="shared" si="0"/>
        <v>41.880397657416815</v>
      </c>
      <c r="AA4">
        <f t="shared" si="0"/>
        <v>44.878917749247634</v>
      </c>
      <c r="AB4">
        <f t="shared" si="0"/>
        <v>46.479268657493101</v>
      </c>
    </row>
    <row r="6" spans="1:28" x14ac:dyDescent="0.3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  <c r="P6" s="1" t="s">
        <v>14</v>
      </c>
      <c r="Q6" s="1" t="s">
        <v>15</v>
      </c>
      <c r="R6" s="1" t="s">
        <v>16</v>
      </c>
      <c r="S6" s="1" t="s">
        <v>17</v>
      </c>
      <c r="T6" s="1" t="s">
        <v>18</v>
      </c>
      <c r="U6" s="1" t="s">
        <v>19</v>
      </c>
      <c r="V6" s="1" t="s">
        <v>20</v>
      </c>
      <c r="W6" s="1" t="s">
        <v>21</v>
      </c>
      <c r="X6" s="1" t="s">
        <v>22</v>
      </c>
      <c r="Y6" s="1" t="s">
        <v>23</v>
      </c>
      <c r="Z6" s="1" t="s">
        <v>24</v>
      </c>
      <c r="AA6" s="1" t="s">
        <v>25</v>
      </c>
      <c r="AB6" s="1" t="s">
        <v>26</v>
      </c>
    </row>
    <row r="7" spans="1:28" x14ac:dyDescent="0.3">
      <c r="A7" s="1" t="s">
        <v>28</v>
      </c>
      <c r="B7">
        <v>3.294188205749121</v>
      </c>
      <c r="C7">
        <v>4.0658387891793506</v>
      </c>
      <c r="D7">
        <v>4.0658387891793506</v>
      </c>
      <c r="E7">
        <v>3.8877450658257122</v>
      </c>
      <c r="F7">
        <v>2.2869734487516031</v>
      </c>
      <c r="G7">
        <v>4.0658388981187636</v>
      </c>
      <c r="H7">
        <v>4.0658387891793506</v>
      </c>
      <c r="I7">
        <v>4.0658387891793506</v>
      </c>
      <c r="J7">
        <v>4.063558420023198</v>
      </c>
      <c r="K7">
        <v>4.0658387891793506</v>
      </c>
      <c r="L7">
        <v>4.0658387891793506</v>
      </c>
      <c r="M7">
        <v>4.0658387891793506</v>
      </c>
      <c r="N7">
        <v>4.0658387891793506</v>
      </c>
      <c r="O7">
        <v>4.3215629271797464</v>
      </c>
      <c r="P7">
        <v>4.3771785160150607</v>
      </c>
      <c r="Q7">
        <v>4.0658388981187636</v>
      </c>
      <c r="R7">
        <v>4.0658387891793506</v>
      </c>
      <c r="S7">
        <v>4.0658387891793506</v>
      </c>
      <c r="T7">
        <v>4.0658387891793506</v>
      </c>
      <c r="U7">
        <v>4.0658387891793506</v>
      </c>
      <c r="V7">
        <v>4.9413564606966842</v>
      </c>
      <c r="W7">
        <v>4.0658387891793506</v>
      </c>
      <c r="X7">
        <v>4.0658387891793506</v>
      </c>
      <c r="Y7">
        <v>4.0658387891793506</v>
      </c>
      <c r="Z7">
        <v>3.600602148476725</v>
      </c>
      <c r="AA7">
        <v>4.0658387891793506</v>
      </c>
      <c r="AB7">
        <v>4.0658387891793506</v>
      </c>
    </row>
    <row r="8" spans="1:28" x14ac:dyDescent="0.3">
      <c r="A8" s="1" t="s">
        <v>29</v>
      </c>
      <c r="B8">
        <v>1.5378082790511109</v>
      </c>
      <c r="C8">
        <v>1.851687542116518</v>
      </c>
      <c r="D8">
        <v>1.851687542116518</v>
      </c>
      <c r="E8">
        <v>1.779245606067356</v>
      </c>
      <c r="F8">
        <v>1.128109975455708</v>
      </c>
      <c r="G8">
        <v>1.851687694970821</v>
      </c>
      <c r="H8">
        <v>1.851687542116518</v>
      </c>
      <c r="I8">
        <v>1.851687542116518</v>
      </c>
      <c r="J8">
        <v>1.850332406227821</v>
      </c>
      <c r="K8">
        <v>1.851687542116518</v>
      </c>
      <c r="L8">
        <v>1.851687542116518</v>
      </c>
      <c r="M8">
        <v>1.851687542116518</v>
      </c>
      <c r="N8">
        <v>1.851687542116518</v>
      </c>
      <c r="O8">
        <v>1.9557069224165839</v>
      </c>
      <c r="P8">
        <v>1.9783293197166461</v>
      </c>
      <c r="Q8">
        <v>1.851687694970821</v>
      </c>
      <c r="R8">
        <v>1.851687542116518</v>
      </c>
      <c r="S8">
        <v>1.851687542116518</v>
      </c>
      <c r="T8">
        <v>1.851687542116518</v>
      </c>
      <c r="U8">
        <v>1.851687542116518</v>
      </c>
      <c r="V8">
        <v>2.2048309160535919</v>
      </c>
      <c r="W8">
        <v>1.851687542116518</v>
      </c>
      <c r="X8">
        <v>1.851687542116518</v>
      </c>
      <c r="Y8">
        <v>1.851687542116518</v>
      </c>
      <c r="Z8">
        <v>1.662446318417913</v>
      </c>
      <c r="AA8">
        <v>1.851687542116518</v>
      </c>
      <c r="AB8">
        <v>1.851687542116518</v>
      </c>
    </row>
    <row r="9" spans="1:28" x14ac:dyDescent="0.3">
      <c r="A9" s="1" t="s">
        <v>27</v>
      </c>
      <c r="B9">
        <f>(B7-B8)/B7*100</f>
        <v>53.317534305803186</v>
      </c>
      <c r="C9">
        <f t="shared" ref="C9:AB9" si="1">(C7-C8)/C7*100</f>
        <v>54.457428389819093</v>
      </c>
      <c r="D9">
        <f t="shared" si="1"/>
        <v>54.457428389819093</v>
      </c>
      <c r="E9">
        <f t="shared" si="1"/>
        <v>54.234509312161784</v>
      </c>
      <c r="F9">
        <f t="shared" si="1"/>
        <v>50.672362371696408</v>
      </c>
      <c r="G9">
        <f t="shared" si="1"/>
        <v>54.457425850601595</v>
      </c>
      <c r="H9">
        <f t="shared" si="1"/>
        <v>54.457428389819093</v>
      </c>
      <c r="I9">
        <f t="shared" si="1"/>
        <v>54.457428389819093</v>
      </c>
      <c r="J9">
        <f t="shared" si="1"/>
        <v>54.465219520155003</v>
      </c>
      <c r="K9">
        <f t="shared" si="1"/>
        <v>54.457428389819093</v>
      </c>
      <c r="L9">
        <f t="shared" si="1"/>
        <v>54.457428389819093</v>
      </c>
      <c r="M9">
        <f t="shared" si="1"/>
        <v>54.457428389819093</v>
      </c>
      <c r="N9">
        <f t="shared" si="1"/>
        <v>54.457428389819093</v>
      </c>
      <c r="O9">
        <f t="shared" si="1"/>
        <v>54.745379035985039</v>
      </c>
      <c r="P9">
        <f t="shared" si="1"/>
        <v>54.803549535884656</v>
      </c>
      <c r="Q9">
        <f t="shared" si="1"/>
        <v>54.457425850601595</v>
      </c>
      <c r="R9">
        <f t="shared" si="1"/>
        <v>54.457428389819093</v>
      </c>
      <c r="S9">
        <f t="shared" si="1"/>
        <v>54.457428389819093</v>
      </c>
      <c r="T9">
        <f t="shared" si="1"/>
        <v>54.457428389819093</v>
      </c>
      <c r="U9">
        <f t="shared" si="1"/>
        <v>54.457428389819093</v>
      </c>
      <c r="V9">
        <f t="shared" si="1"/>
        <v>55.380047288822155</v>
      </c>
      <c r="W9">
        <f t="shared" si="1"/>
        <v>54.457428389819093</v>
      </c>
      <c r="X9">
        <f t="shared" si="1"/>
        <v>54.457428389819093</v>
      </c>
      <c r="Y9">
        <f t="shared" si="1"/>
        <v>54.457428389819093</v>
      </c>
      <c r="Z9">
        <f t="shared" si="1"/>
        <v>53.828658378120743</v>
      </c>
      <c r="AA9">
        <f t="shared" si="1"/>
        <v>54.457428389819093</v>
      </c>
      <c r="AB9">
        <f t="shared" si="1"/>
        <v>54.457428389819093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5B5E2-3AB6-4FB6-8300-99B7969A0A03}">
  <dimension ref="A1:AB9"/>
  <sheetViews>
    <sheetView topLeftCell="B1" zoomScaleNormal="100" workbookViewId="0">
      <selection activeCell="J39" sqref="J39"/>
    </sheetView>
  </sheetViews>
  <sheetFormatPr defaultRowHeight="14.4" x14ac:dyDescent="0.3"/>
  <cols>
    <col min="1" max="1" width="85" bestFit="1" customWidth="1"/>
  </cols>
  <sheetData>
    <row r="1" spans="1:2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">
      <c r="A2" s="1" t="s">
        <v>32</v>
      </c>
      <c r="B2">
        <v>0.72406797443880966</v>
      </c>
      <c r="C2">
        <v>0.58190253238600886</v>
      </c>
      <c r="D2">
        <v>0.74372262108941756</v>
      </c>
      <c r="E2">
        <v>0.53003281200399666</v>
      </c>
      <c r="F2">
        <v>0.5776724829119253</v>
      </c>
      <c r="G2">
        <v>1.0035249586047379</v>
      </c>
      <c r="H2">
        <v>0.83250964748949274</v>
      </c>
      <c r="I2">
        <v>0.69875629787492832</v>
      </c>
      <c r="J2">
        <v>0.85375564711232865</v>
      </c>
      <c r="K2">
        <v>0.82581734530547879</v>
      </c>
      <c r="L2">
        <v>0.99783550348115568</v>
      </c>
      <c r="M2">
        <v>1.0667215322351189</v>
      </c>
      <c r="N2">
        <v>0.75677070224298781</v>
      </c>
      <c r="O2">
        <v>0.73615863606334608</v>
      </c>
      <c r="P2">
        <v>0.71569608560714937</v>
      </c>
      <c r="Q2">
        <v>0.59384927278181565</v>
      </c>
      <c r="R2">
        <v>0.70406685033618222</v>
      </c>
      <c r="S2">
        <v>0.89524986209218782</v>
      </c>
      <c r="T2">
        <v>0.79029437703316685</v>
      </c>
      <c r="U2">
        <v>0.90651495099510249</v>
      </c>
      <c r="V2">
        <v>0.62628652706192733</v>
      </c>
      <c r="W2">
        <v>0.89189879156029439</v>
      </c>
      <c r="X2">
        <v>0.64880701506449689</v>
      </c>
      <c r="Y2">
        <v>0.89204080503577732</v>
      </c>
      <c r="Z2">
        <v>0.63536643097396417</v>
      </c>
      <c r="AA2">
        <v>0.87380844261011936</v>
      </c>
      <c r="AB2">
        <v>1.1831953845859691</v>
      </c>
    </row>
    <row r="3" spans="1:28" x14ac:dyDescent="0.3">
      <c r="A3" s="1" t="s">
        <v>33</v>
      </c>
      <c r="B3">
        <v>0.1739736180607275</v>
      </c>
      <c r="C3">
        <v>0.22891580887754859</v>
      </c>
      <c r="D3">
        <v>0.27722543671200278</v>
      </c>
      <c r="E3">
        <v>0.21880230105043011</v>
      </c>
      <c r="F3">
        <v>7.1074303021788479E-2</v>
      </c>
      <c r="G3">
        <v>0.33541479018033421</v>
      </c>
      <c r="H3">
        <v>0.31175768669718218</v>
      </c>
      <c r="I3">
        <v>0.25612740495622888</v>
      </c>
      <c r="J3">
        <v>0.28589805137132751</v>
      </c>
      <c r="K3">
        <v>0.25301813043555588</v>
      </c>
      <c r="L3">
        <v>-3.2022741641588033E-5</v>
      </c>
      <c r="M3">
        <v>0.2393951168108954</v>
      </c>
      <c r="N3">
        <v>0.20083938567023329</v>
      </c>
      <c r="O3">
        <v>0.13253241548433309</v>
      </c>
      <c r="P3">
        <v>0.1989532366011853</v>
      </c>
      <c r="Q3">
        <v>0.1962501896973011</v>
      </c>
      <c r="R3">
        <v>-0.1168676498569244</v>
      </c>
      <c r="S3">
        <v>0.14377407198349931</v>
      </c>
      <c r="T3">
        <v>0.18680410129757791</v>
      </c>
      <c r="U3">
        <v>0.28692941348797379</v>
      </c>
      <c r="V3">
        <v>0.33739105744408249</v>
      </c>
      <c r="W3">
        <v>0.58799030366431126</v>
      </c>
      <c r="X3">
        <v>0.64967580243928724</v>
      </c>
      <c r="Y3">
        <v>0.58777523063238057</v>
      </c>
      <c r="Z3">
        <v>0.27130420313190728</v>
      </c>
      <c r="AA3">
        <v>0.62611002184145481</v>
      </c>
      <c r="AB3">
        <v>0.34778951843459821</v>
      </c>
    </row>
    <row r="4" spans="1:28" x14ac:dyDescent="0.3">
      <c r="A4" s="1" t="s">
        <v>27</v>
      </c>
      <c r="B4">
        <f>(B2-B3)/B2*100</f>
        <v>75.972750597681639</v>
      </c>
      <c r="C4">
        <f t="shared" ref="C4:AB4" si="0">(C2-C3)/C2*100</f>
        <v>60.660798649747797</v>
      </c>
      <c r="D4">
        <f t="shared" si="0"/>
        <v>62.724619522004289</v>
      </c>
      <c r="E4">
        <f t="shared" si="0"/>
        <v>58.719102648916724</v>
      </c>
      <c r="F4">
        <f t="shared" si="0"/>
        <v>87.696436107962441</v>
      </c>
      <c r="G4">
        <f t="shared" si="0"/>
        <v>66.576338006910973</v>
      </c>
      <c r="H4">
        <f t="shared" si="0"/>
        <v>62.552063193824189</v>
      </c>
      <c r="I4">
        <f t="shared" si="0"/>
        <v>63.345245583450385</v>
      </c>
      <c r="J4">
        <f t="shared" si="0"/>
        <v>66.512894838432388</v>
      </c>
      <c r="K4">
        <f t="shared" si="0"/>
        <v>69.361489937952115</v>
      </c>
      <c r="L4">
        <f t="shared" si="0"/>
        <v>100.00320922051078</v>
      </c>
      <c r="M4">
        <f t="shared" si="0"/>
        <v>77.557862143338667</v>
      </c>
      <c r="N4">
        <f t="shared" si="0"/>
        <v>73.460998810476312</v>
      </c>
      <c r="O4">
        <f t="shared" si="0"/>
        <v>81.996758715885164</v>
      </c>
      <c r="P4">
        <f t="shared" si="0"/>
        <v>72.201435692860244</v>
      </c>
      <c r="Q4">
        <f t="shared" si="0"/>
        <v>66.952861830075051</v>
      </c>
      <c r="R4">
        <f t="shared" si="0"/>
        <v>116.59894224548731</v>
      </c>
      <c r="S4">
        <f t="shared" si="0"/>
        <v>83.940341342527418</v>
      </c>
      <c r="T4">
        <f t="shared" si="0"/>
        <v>76.362719168159003</v>
      </c>
      <c r="U4">
        <f t="shared" si="0"/>
        <v>68.34807708653841</v>
      </c>
      <c r="V4">
        <f t="shared" si="0"/>
        <v>46.128322602296507</v>
      </c>
      <c r="W4">
        <f t="shared" si="0"/>
        <v>34.074324438126361</v>
      </c>
      <c r="X4">
        <f t="shared" si="0"/>
        <v>-0.13390536085741653</v>
      </c>
      <c r="Y4">
        <f t="shared" si="0"/>
        <v>34.10893007200422</v>
      </c>
      <c r="Z4">
        <f t="shared" si="0"/>
        <v>57.299569208272402</v>
      </c>
      <c r="AA4">
        <f t="shared" si="0"/>
        <v>28.346993309972401</v>
      </c>
      <c r="AB4">
        <f t="shared" si="0"/>
        <v>70.605909812917417</v>
      </c>
    </row>
    <row r="6" spans="1:28" x14ac:dyDescent="0.3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  <c r="P6" s="1" t="s">
        <v>14</v>
      </c>
      <c r="Q6" s="1" t="s">
        <v>15</v>
      </c>
      <c r="R6" s="1" t="s">
        <v>16</v>
      </c>
      <c r="S6" s="1" t="s">
        <v>17</v>
      </c>
      <c r="T6" s="1" t="s">
        <v>18</v>
      </c>
      <c r="U6" s="1" t="s">
        <v>19</v>
      </c>
      <c r="V6" s="1" t="s">
        <v>20</v>
      </c>
      <c r="W6" s="1" t="s">
        <v>21</v>
      </c>
      <c r="X6" s="1" t="s">
        <v>22</v>
      </c>
      <c r="Y6" s="1" t="s">
        <v>23</v>
      </c>
      <c r="Z6" s="1" t="s">
        <v>24</v>
      </c>
      <c r="AA6" s="1" t="s">
        <v>25</v>
      </c>
      <c r="AB6" s="1" t="s">
        <v>26</v>
      </c>
    </row>
    <row r="7" spans="1:28" x14ac:dyDescent="0.3">
      <c r="A7" s="1" t="s">
        <v>34</v>
      </c>
      <c r="B7">
        <v>1.010950742521338</v>
      </c>
      <c r="C7">
        <v>0.87485157804493174</v>
      </c>
      <c r="D7">
        <v>1.0366716667483391</v>
      </c>
      <c r="E7">
        <v>0.86072233476531657</v>
      </c>
      <c r="F7">
        <v>0.66707282093091025</v>
      </c>
      <c r="G7">
        <v>1.2695707133155409</v>
      </c>
      <c r="H7">
        <v>1.1254586931484141</v>
      </c>
      <c r="I7">
        <v>0.99170534353384898</v>
      </c>
      <c r="J7">
        <v>1.146704692771251</v>
      </c>
      <c r="K7">
        <v>1.1187663909644019</v>
      </c>
      <c r="L7">
        <v>1.2907845491400769</v>
      </c>
      <c r="M7">
        <v>1.359670577894001</v>
      </c>
      <c r="N7">
        <v>1.15029322755107</v>
      </c>
      <c r="O7">
        <v>1.1470501439940559</v>
      </c>
      <c r="P7">
        <v>1.143150792828193</v>
      </c>
      <c r="Q7">
        <v>1.042040263315698</v>
      </c>
      <c r="R7">
        <v>0.99701589599510565</v>
      </c>
      <c r="S7">
        <v>1.1881989077511119</v>
      </c>
      <c r="T7">
        <v>1.0832434226920891</v>
      </c>
      <c r="U7">
        <v>1.2626301536375391</v>
      </c>
      <c r="V7">
        <v>1.1112420986615841</v>
      </c>
      <c r="W7">
        <v>1.1848223388601249</v>
      </c>
      <c r="X7">
        <v>1.0851066705160879</v>
      </c>
      <c r="Y7">
        <v>1.055713950852748</v>
      </c>
      <c r="Z7">
        <v>0.97858811825465919</v>
      </c>
      <c r="AA7">
        <v>1.1667574882690439</v>
      </c>
      <c r="AB7">
        <v>1.3406157389446349</v>
      </c>
    </row>
    <row r="8" spans="1:28" x14ac:dyDescent="0.3">
      <c r="A8" s="1" t="s">
        <v>35</v>
      </c>
      <c r="B8">
        <v>0.27462995309844163</v>
      </c>
      <c r="C8">
        <v>0.32184985667459959</v>
      </c>
      <c r="D8">
        <v>0.3701594845090535</v>
      </c>
      <c r="E8">
        <v>0.33251359315121432</v>
      </c>
      <c r="F8">
        <v>8.9814520103825651E-2</v>
      </c>
      <c r="G8">
        <v>0.41529265422906497</v>
      </c>
      <c r="H8">
        <v>0.40469173449423212</v>
      </c>
      <c r="I8">
        <v>0.34906145275328049</v>
      </c>
      <c r="J8">
        <v>0.37883209916837801</v>
      </c>
      <c r="K8">
        <v>0.34595217823260771</v>
      </c>
      <c r="L8">
        <v>9.2902025055409398E-2</v>
      </c>
      <c r="M8">
        <v>0.33232916460774647</v>
      </c>
      <c r="N8">
        <v>0.34258187115081401</v>
      </c>
      <c r="O8">
        <v>0.27916932932593608</v>
      </c>
      <c r="P8">
        <v>0.3528595384534387</v>
      </c>
      <c r="Q8">
        <v>0.36452336856351442</v>
      </c>
      <c r="R8">
        <v>-2.3933602059875821E-2</v>
      </c>
      <c r="S8">
        <v>0.23670811978054959</v>
      </c>
      <c r="T8">
        <v>0.27973814909462902</v>
      </c>
      <c r="U8">
        <v>0.41113758380696802</v>
      </c>
      <c r="V8">
        <v>0.51188089746159449</v>
      </c>
      <c r="W8">
        <v>0.68091197702685247</v>
      </c>
      <c r="X8">
        <v>0.81217808362594246</v>
      </c>
      <c r="Y8">
        <v>0.61903131446334592</v>
      </c>
      <c r="Z8">
        <v>0.39506644087334342</v>
      </c>
      <c r="AA8">
        <v>0.71904406963850553</v>
      </c>
      <c r="AB8">
        <v>0.37495131978018381</v>
      </c>
    </row>
    <row r="9" spans="1:28" x14ac:dyDescent="0.3">
      <c r="A9" s="1" t="s">
        <v>27</v>
      </c>
      <c r="B9">
        <f>(B7-B8)/B7*100</f>
        <v>72.834487226003986</v>
      </c>
      <c r="C9">
        <f t="shared" ref="C9:AB9" si="1">(C7-C8)/C7*100</f>
        <v>63.210918885938206</v>
      </c>
      <c r="D9">
        <f t="shared" si="1"/>
        <v>64.293469535044906</v>
      </c>
      <c r="E9">
        <f t="shared" si="1"/>
        <v>61.368076588615885</v>
      </c>
      <c r="F9">
        <f t="shared" si="1"/>
        <v>86.536024660922621</v>
      </c>
      <c r="G9">
        <f t="shared" si="1"/>
        <v>67.288733910338124</v>
      </c>
      <c r="H9">
        <f t="shared" si="1"/>
        <v>64.042062409049649</v>
      </c>
      <c r="I9">
        <f t="shared" si="1"/>
        <v>64.80189856500796</v>
      </c>
      <c r="J9">
        <f t="shared" si="1"/>
        <v>66.9634125022327</v>
      </c>
      <c r="K9">
        <f t="shared" si="1"/>
        <v>69.077353321778901</v>
      </c>
      <c r="L9">
        <f t="shared" si="1"/>
        <v>92.802669886519723</v>
      </c>
      <c r="M9">
        <f t="shared" si="1"/>
        <v>75.558111647713062</v>
      </c>
      <c r="N9">
        <f t="shared" si="1"/>
        <v>70.217865936657077</v>
      </c>
      <c r="O9">
        <f t="shared" si="1"/>
        <v>75.661976872792863</v>
      </c>
      <c r="P9">
        <f t="shared" si="1"/>
        <v>69.132721538822324</v>
      </c>
      <c r="Q9">
        <f t="shared" si="1"/>
        <v>65.018302900923715</v>
      </c>
      <c r="R9">
        <f t="shared" si="1"/>
        <v>102.40052361813028</v>
      </c>
      <c r="S9">
        <f t="shared" si="1"/>
        <v>80.078409579708847</v>
      </c>
      <c r="T9">
        <f t="shared" si="1"/>
        <v>74.17587374780264</v>
      </c>
      <c r="U9">
        <f t="shared" si="1"/>
        <v>67.438003708171181</v>
      </c>
      <c r="V9">
        <f t="shared" si="1"/>
        <v>53.936149640288065</v>
      </c>
      <c r="W9">
        <f t="shared" si="1"/>
        <v>42.530457546746334</v>
      </c>
      <c r="X9">
        <f t="shared" si="1"/>
        <v>25.15223565627311</v>
      </c>
      <c r="Y9">
        <f t="shared" si="1"/>
        <v>41.363726986526387</v>
      </c>
      <c r="Z9">
        <f t="shared" si="1"/>
        <v>59.62893545264415</v>
      </c>
      <c r="AA9">
        <f t="shared" si="1"/>
        <v>38.372448699236429</v>
      </c>
      <c r="AB9">
        <f t="shared" si="1"/>
        <v>72.031409979167151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1219A-1CFA-4B29-9344-B05878163749}">
  <dimension ref="A1:AB9"/>
  <sheetViews>
    <sheetView tabSelected="1" zoomScaleNormal="100" workbookViewId="0">
      <selection activeCell="D22" sqref="D22"/>
    </sheetView>
  </sheetViews>
  <sheetFormatPr defaultRowHeight="14.4" x14ac:dyDescent="0.3"/>
  <cols>
    <col min="1" max="1" width="235.5546875" bestFit="1" customWidth="1"/>
  </cols>
  <sheetData>
    <row r="1" spans="1:2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">
      <c r="A2" s="1" t="s">
        <v>36</v>
      </c>
      <c r="B2">
        <v>-0.9625771861274991</v>
      </c>
      <c r="C2">
        <v>-1.0104916806819719</v>
      </c>
      <c r="D2">
        <v>-0.87774437138735462</v>
      </c>
      <c r="E2">
        <v>-1.114151332072455</v>
      </c>
      <c r="F2">
        <v>-1.0428511625676531</v>
      </c>
      <c r="G2">
        <v>-0.73679727848483989</v>
      </c>
      <c r="H2">
        <v>-0.81107985324204657</v>
      </c>
      <c r="I2">
        <v>-0.90445204582715188</v>
      </c>
      <c r="J2">
        <v>-0.84955861837746893</v>
      </c>
      <c r="K2">
        <v>-0.82767795578996428</v>
      </c>
      <c r="L2">
        <v>-0.73640441203004414</v>
      </c>
      <c r="M2">
        <v>-0.66152753811537313</v>
      </c>
      <c r="N2">
        <v>-0.9094335441876128</v>
      </c>
      <c r="O2">
        <v>-0.93752894222508643</v>
      </c>
      <c r="P2">
        <v>-0.94391812698801103</v>
      </c>
      <c r="Q2">
        <v>-1.0265485977102451</v>
      </c>
      <c r="R2">
        <v>-0.89894988621581462</v>
      </c>
      <c r="S2">
        <v>-0.80795387606901814</v>
      </c>
      <c r="T2">
        <v>-0.84736331639070728</v>
      </c>
      <c r="U2">
        <v>-0.81957636690203572</v>
      </c>
      <c r="V2">
        <v>-1.0376589799100739</v>
      </c>
      <c r="W2">
        <v>-0.79729350093818552</v>
      </c>
      <c r="X2">
        <v>-0.98679456994993298</v>
      </c>
      <c r="Y2">
        <v>-0.75135862609237103</v>
      </c>
      <c r="Z2">
        <v>-1.0076254634000921</v>
      </c>
      <c r="AA2">
        <v>-0.80638651489763846</v>
      </c>
      <c r="AB2">
        <v>-0.51180475580395879</v>
      </c>
    </row>
    <row r="3" spans="1:28" x14ac:dyDescent="0.3">
      <c r="A3" s="1" t="s">
        <v>37</v>
      </c>
      <c r="B3">
        <v>-1.4052035283033231</v>
      </c>
      <c r="C3">
        <v>-1.352652794292289</v>
      </c>
      <c r="D3">
        <v>-1.320940835987336</v>
      </c>
      <c r="E3">
        <v>-1.392327318090324</v>
      </c>
      <c r="F3">
        <v>-1.4932194102767611</v>
      </c>
      <c r="G3">
        <v>-1.2854659573101821</v>
      </c>
      <c r="H3">
        <v>-1.2981185644138791</v>
      </c>
      <c r="I3">
        <v>-1.333831292829347</v>
      </c>
      <c r="J3">
        <v>-1.320902128073866</v>
      </c>
      <c r="K3">
        <v>-1.3342322817103149</v>
      </c>
      <c r="L3">
        <v>-1.4703332192126219</v>
      </c>
      <c r="M3">
        <v>-1.356931788739238</v>
      </c>
      <c r="N3">
        <v>-1.3723213978843889</v>
      </c>
      <c r="O3">
        <v>-1.41354803973941</v>
      </c>
      <c r="P3">
        <v>-1.3806806772211331</v>
      </c>
      <c r="Q3">
        <v>-1.398295776488639</v>
      </c>
      <c r="R3">
        <v>-1.572990201174997</v>
      </c>
      <c r="S3">
        <v>-1.3926612756878001</v>
      </c>
      <c r="T3">
        <v>-1.377470200346675</v>
      </c>
      <c r="U3">
        <v>-1.330661096955674</v>
      </c>
      <c r="V3">
        <v>-1.3044508878111989</v>
      </c>
      <c r="W3">
        <v>-1.135878737387702</v>
      </c>
      <c r="X3">
        <v>-1.1320488874216841</v>
      </c>
      <c r="Y3">
        <v>-1.1091820093599469</v>
      </c>
      <c r="Z3">
        <v>-1.355367808234814</v>
      </c>
      <c r="AA3">
        <v>-1.1097973757929469</v>
      </c>
      <c r="AB3">
        <v>-1.251756656355248</v>
      </c>
    </row>
    <row r="4" spans="1:28" x14ac:dyDescent="0.3">
      <c r="A4" s="1" t="s">
        <v>27</v>
      </c>
      <c r="B4">
        <f>-(B2-B3)/B2*100</f>
        <v>45.983464864416128</v>
      </c>
      <c r="C4">
        <f t="shared" ref="C4:AB4" si="0">-(C2-C3)/C2*100</f>
        <v>33.860854092276696</v>
      </c>
      <c r="D4">
        <f t="shared" si="0"/>
        <v>50.492658118612511</v>
      </c>
      <c r="E4">
        <f t="shared" si="0"/>
        <v>24.967522634508573</v>
      </c>
      <c r="F4">
        <f t="shared" si="0"/>
        <v>43.186244008227895</v>
      </c>
      <c r="G4">
        <f t="shared" si="0"/>
        <v>74.466708122705356</v>
      </c>
      <c r="H4">
        <f t="shared" si="0"/>
        <v>60.048182583384666</v>
      </c>
      <c r="I4">
        <f t="shared" si="0"/>
        <v>47.473964925306049</v>
      </c>
      <c r="J4">
        <f t="shared" si="0"/>
        <v>55.480987362189715</v>
      </c>
      <c r="K4">
        <f t="shared" si="0"/>
        <v>61.201862678205288</v>
      </c>
      <c r="L4">
        <f t="shared" si="0"/>
        <v>99.663825364565398</v>
      </c>
      <c r="M4">
        <f t="shared" si="0"/>
        <v>105.12098296089127</v>
      </c>
      <c r="N4">
        <f t="shared" si="0"/>
        <v>50.898480340338537</v>
      </c>
      <c r="O4">
        <f t="shared" si="0"/>
        <v>50.773802927572845</v>
      </c>
      <c r="P4">
        <f t="shared" si="0"/>
        <v>46.271232403048188</v>
      </c>
      <c r="Q4">
        <f t="shared" si="0"/>
        <v>36.213305400990251</v>
      </c>
      <c r="R4">
        <f t="shared" si="0"/>
        <v>74.980855473111745</v>
      </c>
      <c r="S4">
        <f t="shared" si="0"/>
        <v>72.368908292586028</v>
      </c>
      <c r="T4">
        <f t="shared" si="0"/>
        <v>62.559574352820214</v>
      </c>
      <c r="U4">
        <f t="shared" si="0"/>
        <v>62.359622689648454</v>
      </c>
      <c r="V4">
        <f t="shared" si="0"/>
        <v>25.710942907683005</v>
      </c>
      <c r="W4">
        <f t="shared" si="0"/>
        <v>42.466825083999659</v>
      </c>
      <c r="X4">
        <f t="shared" si="0"/>
        <v>14.719813210881458</v>
      </c>
      <c r="Y4">
        <f t="shared" si="0"/>
        <v>47.623514370032076</v>
      </c>
      <c r="Z4">
        <f t="shared" si="0"/>
        <v>34.511071570314797</v>
      </c>
      <c r="AA4">
        <f t="shared" si="0"/>
        <v>37.625983977897121</v>
      </c>
      <c r="AB4">
        <f t="shared" si="0"/>
        <v>144.57698803305371</v>
      </c>
    </row>
    <row r="6" spans="1:28" x14ac:dyDescent="0.3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  <c r="P6" s="1" t="s">
        <v>14</v>
      </c>
      <c r="Q6" s="1" t="s">
        <v>15</v>
      </c>
      <c r="R6" s="1" t="s">
        <v>16</v>
      </c>
      <c r="S6" s="1" t="s">
        <v>17</v>
      </c>
      <c r="T6" s="1" t="s">
        <v>18</v>
      </c>
      <c r="U6" s="1" t="s">
        <v>19</v>
      </c>
      <c r="V6" s="1" t="s">
        <v>20</v>
      </c>
      <c r="W6" s="1" t="s">
        <v>21</v>
      </c>
      <c r="X6" s="1" t="s">
        <v>22</v>
      </c>
      <c r="Y6" s="1" t="s">
        <v>23</v>
      </c>
      <c r="Z6" s="1" t="s">
        <v>24</v>
      </c>
      <c r="AA6" s="1" t="s">
        <v>25</v>
      </c>
      <c r="AB6" s="1" t="s">
        <v>26</v>
      </c>
    </row>
    <row r="7" spans="1:28" x14ac:dyDescent="0.3">
      <c r="A7" s="1" t="s">
        <v>38</v>
      </c>
      <c r="B7">
        <v>-0.73604493240064839</v>
      </c>
      <c r="C7">
        <v>-0.7791692907601161</v>
      </c>
      <c r="D7">
        <v>-0.64642198146550212</v>
      </c>
      <c r="E7">
        <v>-0.85302779587794098</v>
      </c>
      <c r="F7">
        <v>-0.97225765780351292</v>
      </c>
      <c r="G7">
        <v>-0.52671862924452595</v>
      </c>
      <c r="H7">
        <v>-0.57975746332019074</v>
      </c>
      <c r="I7">
        <v>-0.67312965590530005</v>
      </c>
      <c r="J7">
        <v>-0.61823622845561277</v>
      </c>
      <c r="K7">
        <v>-0.59635556586811089</v>
      </c>
      <c r="L7">
        <v>-0.5050820221081892</v>
      </c>
      <c r="M7">
        <v>-0.43020514819355071</v>
      </c>
      <c r="N7">
        <v>-0.59869496220112195</v>
      </c>
      <c r="O7">
        <v>-0.61307522912513068</v>
      </c>
      <c r="P7">
        <v>-0.60638555631412538</v>
      </c>
      <c r="Q7">
        <v>-0.67264196238210161</v>
      </c>
      <c r="R7">
        <v>-0.66762749629395879</v>
      </c>
      <c r="S7">
        <v>-0.57663148614716209</v>
      </c>
      <c r="T7">
        <v>-0.61604092646885333</v>
      </c>
      <c r="U7">
        <v>-0.53837586127326598</v>
      </c>
      <c r="V7">
        <v>-0.6547217985445386</v>
      </c>
      <c r="W7">
        <v>-0.56599124537570833</v>
      </c>
      <c r="X7">
        <v>-0.64227773155527645</v>
      </c>
      <c r="Y7">
        <v>-0.62211682169854421</v>
      </c>
      <c r="Z7">
        <v>-0.73660610985961428</v>
      </c>
      <c r="AA7">
        <v>-0.57506412497578485</v>
      </c>
      <c r="AB7">
        <v>-0.38750036522065923</v>
      </c>
    </row>
    <row r="8" spans="1:28" x14ac:dyDescent="0.3">
      <c r="A8" s="1" t="s">
        <v>39</v>
      </c>
      <c r="B8">
        <v>-1.325721911</v>
      </c>
      <c r="C8">
        <v>-1.279268954</v>
      </c>
      <c r="D8">
        <v>-1.2475569950000001</v>
      </c>
      <c r="E8">
        <v>-1.302537069</v>
      </c>
      <c r="F8">
        <v>-1.4784215060000001</v>
      </c>
      <c r="G8">
        <v>-1.222391717</v>
      </c>
      <c r="H8">
        <v>-1.2247347239999999</v>
      </c>
      <c r="I8">
        <v>-1.260447452</v>
      </c>
      <c r="J8">
        <v>-1.247518288</v>
      </c>
      <c r="K8">
        <v>-1.260848441</v>
      </c>
      <c r="L8">
        <v>-1.396949379</v>
      </c>
      <c r="M8">
        <v>-1.283547948</v>
      </c>
      <c r="N8">
        <v>-1.2603967780000001</v>
      </c>
      <c r="O8">
        <v>-1.297758615</v>
      </c>
      <c r="P8">
        <v>-1.2591511</v>
      </c>
      <c r="Q8">
        <v>-1.265421632</v>
      </c>
      <c r="R8">
        <v>-1.4996063610000001</v>
      </c>
      <c r="S8">
        <v>-1.3192774350000001</v>
      </c>
      <c r="T8">
        <v>-1.3040863599999999</v>
      </c>
      <c r="U8">
        <v>-1.2325821610000001</v>
      </c>
      <c r="V8">
        <v>-1.1666678589999999</v>
      </c>
      <c r="W8">
        <v>-1.0625046680000001</v>
      </c>
      <c r="X8">
        <v>-1.003731637</v>
      </c>
      <c r="Y8">
        <v>-1.084501157</v>
      </c>
      <c r="Z8">
        <v>-1.257640995</v>
      </c>
      <c r="AA8">
        <v>-1.0364135350000001</v>
      </c>
      <c r="AB8">
        <v>-1.230308787</v>
      </c>
    </row>
    <row r="9" spans="1:28" x14ac:dyDescent="0.3">
      <c r="A9" s="1" t="s">
        <v>27</v>
      </c>
      <c r="B9">
        <f>-(B7-B8)/B7*100</f>
        <v>80.114263768665566</v>
      </c>
      <c r="C9">
        <f t="shared" ref="C9" si="1">-(C7-C8)/C7*100</f>
        <v>64.183697839530268</v>
      </c>
      <c r="D9">
        <f t="shared" ref="D9" si="2">-(D7-D8)/D7*100</f>
        <v>92.99420978408962</v>
      </c>
      <c r="E9">
        <f t="shared" ref="E9" si="3">-(E7-E8)/E7*100</f>
        <v>52.695735742048313</v>
      </c>
      <c r="F9">
        <f t="shared" ref="F9" si="4">-(F7-F8)/F7*100</f>
        <v>52.060669734398701</v>
      </c>
      <c r="G9">
        <f t="shared" ref="G9" si="5">-(G7-G8)/G7*100</f>
        <v>132.07679567994018</v>
      </c>
      <c r="H9">
        <f t="shared" ref="H9" si="6">-(H7-H8)/H7*100</f>
        <v>111.24949681304899</v>
      </c>
      <c r="I9">
        <f t="shared" ref="I9" si="7">-(I7-I8)/I7*100</f>
        <v>87.251808168340062</v>
      </c>
      <c r="J9">
        <f t="shared" ref="J9" si="8">-(J7-J8)/J7*100</f>
        <v>101.78666836079269</v>
      </c>
      <c r="K9">
        <f t="shared" ref="K9" si="9">-(K7-K8)/K7*100</f>
        <v>111.42561806471802</v>
      </c>
      <c r="L9">
        <f t="shared" ref="L9" si="10">-(L7-L8)/L7*100</f>
        <v>176.57871748616142</v>
      </c>
      <c r="M9">
        <f t="shared" ref="M9" si="11">-(M7-M8)/M7*100</f>
        <v>198.3571799151338</v>
      </c>
      <c r="N9">
        <f t="shared" ref="N9" si="12">-(N7-N8)/N7*100</f>
        <v>110.52403270041047</v>
      </c>
      <c r="O9">
        <f t="shared" ref="O9" si="13">-(O7-O8)/O7*100</f>
        <v>111.68015821678601</v>
      </c>
      <c r="P9">
        <f t="shared" ref="P9" si="14">-(P7-P8)/P7*100</f>
        <v>107.64859698401573</v>
      </c>
      <c r="Q9">
        <f t="shared" ref="Q9" si="15">-(Q7-Q8)/Q7*100</f>
        <v>88.127072464914619</v>
      </c>
      <c r="R9">
        <f t="shared" ref="R9" si="16">-(R7-R8)/R7*100</f>
        <v>124.61722582194518</v>
      </c>
      <c r="S9">
        <f t="shared" ref="S9" si="17">-(S7-S8)/S7*100</f>
        <v>128.79039155751329</v>
      </c>
      <c r="T9">
        <f t="shared" ref="T9" si="18">-(T7-T8)/T7*100</f>
        <v>111.68826679665962</v>
      </c>
      <c r="U9">
        <f t="shared" ref="U9" si="19">-(U7-U8)/U7*100</f>
        <v>128.9445440746409</v>
      </c>
      <c r="V9">
        <f t="shared" ref="V9" si="20">-(V7-V8)/V7*100</f>
        <v>78.192915157785947</v>
      </c>
      <c r="W9">
        <f t="shared" ref="W9" si="21">-(W7-W8)/W7*100</f>
        <v>87.724576427803797</v>
      </c>
      <c r="X9">
        <f t="shared" ref="X9" si="22">-(X7-X8)/X7*100</f>
        <v>56.27688579042939</v>
      </c>
      <c r="Y9">
        <f t="shared" ref="Y9" si="23">-(Y7-Y8)/Y7*100</f>
        <v>74.324358251401037</v>
      </c>
      <c r="Z9">
        <f t="shared" ref="Z9" si="24">-(Z7-Z8)/Z7*100</f>
        <v>70.734532087941403</v>
      </c>
      <c r="AA9">
        <f t="shared" ref="AA9" si="25">-(AA7-AA8)/AA7*100</f>
        <v>80.225733094312218</v>
      </c>
      <c r="AB9">
        <f t="shared" ref="AB9" si="26">-(AB7-AB8)/AB7*100</f>
        <v>217.49874256232243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Hydrogen</vt:lpstr>
      <vt:lpstr>Ammonia</vt:lpstr>
      <vt:lpstr>Methanol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2023-09-17T12:52:10Z</dcterms:created>
  <dcterms:modified xsi:type="dcterms:W3CDTF">2023-09-17T13:23:51Z</dcterms:modified>
</cp:coreProperties>
</file>