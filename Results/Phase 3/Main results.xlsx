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ra\Desktop\Ongoing projects\Prospective LCA\Results\Phase 3\"/>
    </mc:Choice>
  </mc:AlternateContent>
  <xr:revisionPtr revIDLastSave="0" documentId="13_ncr:1_{C5237433-F81B-4086-85F1-601A1BD93B17}" xr6:coauthVersionLast="36" xr6:coauthVersionMax="36" xr10:uidLastSave="{00000000-0000-0000-0000-000000000000}"/>
  <bookViews>
    <workbookView xWindow="0" yWindow="0" windowWidth="28800" windowHeight="14025" xr2:uid="{CE3ED265-7BBD-42A7-80EB-6E8E4081F5AA}"/>
  </bookViews>
  <sheets>
    <sheet name="Hydrogen" sheetId="1" r:id="rId1"/>
    <sheet name="Ammonia" sheetId="2" r:id="rId2"/>
    <sheet name="Methanol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2" i="1" l="1"/>
  <c r="D26" i="3"/>
  <c r="D25" i="3"/>
  <c r="D24" i="3"/>
  <c r="D23" i="3"/>
  <c r="D19" i="3"/>
  <c r="D20" i="3" s="1"/>
  <c r="D18" i="3"/>
  <c r="D17" i="3"/>
  <c r="D16" i="3"/>
  <c r="D12" i="3"/>
  <c r="D11" i="3"/>
  <c r="D10" i="3"/>
  <c r="D9" i="3"/>
  <c r="D3" i="3"/>
  <c r="D2" i="3"/>
  <c r="D5" i="3"/>
  <c r="D4" i="3"/>
  <c r="D26" i="2"/>
  <c r="D25" i="2"/>
  <c r="D24" i="2"/>
  <c r="D23" i="2"/>
  <c r="D19" i="2"/>
  <c r="D18" i="2"/>
  <c r="D17" i="2"/>
  <c r="D16" i="2"/>
  <c r="D12" i="2"/>
  <c r="D11" i="2"/>
  <c r="D10" i="2"/>
  <c r="D9" i="2"/>
  <c r="D13" i="2" s="1"/>
  <c r="D5" i="2"/>
  <c r="D4" i="2"/>
  <c r="D3" i="2"/>
  <c r="D2" i="2"/>
  <c r="D26" i="1"/>
  <c r="D25" i="1"/>
  <c r="G26" i="1" s="1"/>
  <c r="D24" i="1"/>
  <c r="D23" i="1"/>
  <c r="D19" i="1"/>
  <c r="D18" i="1"/>
  <c r="G19" i="1" s="1"/>
  <c r="D17" i="1"/>
  <c r="D16" i="1"/>
  <c r="D12" i="1"/>
  <c r="D11" i="1"/>
  <c r="D10" i="1"/>
  <c r="D9" i="1"/>
  <c r="D5" i="1"/>
  <c r="D4" i="1"/>
  <c r="G5" i="1" s="1"/>
  <c r="D3" i="1"/>
  <c r="D2" i="1"/>
  <c r="D6" i="2" l="1"/>
  <c r="D6" i="3"/>
  <c r="D20" i="1"/>
  <c r="D13" i="3"/>
  <c r="D20" i="2"/>
  <c r="D27" i="1"/>
  <c r="D27" i="3"/>
  <c r="D27" i="2"/>
  <c r="D13" i="1"/>
</calcChain>
</file>

<file path=xl/sharedStrings.xml><?xml version="1.0" encoding="utf-8"?>
<sst xmlns="http://schemas.openxmlformats.org/spreadsheetml/2006/main" count="78" uniqueCount="19">
  <si>
    <t>hydrogen production without electricity, steam methane reforming of natural gas, with CCS (MDEA, 98% eff.), 25 bar</t>
  </si>
  <si>
    <t>hydrogen production without electricity, steam reforming of natural gas, 25 bar</t>
  </si>
  <si>
    <t>hydrogen production, gaseous, 200 bar, from PEM electrolysis, from onshore wind electricity</t>
  </si>
  <si>
    <t>hydrogen production, gaseous, 200 bar, from PEM electrolysis, from solar electricity</t>
  </si>
  <si>
    <t>% decrease</t>
  </si>
  <si>
    <t>Cement and steel</t>
  </si>
  <si>
    <t>Electricity</t>
  </si>
  <si>
    <t>Technology</t>
  </si>
  <si>
    <t>Transport</t>
  </si>
  <si>
    <t>2020 - base</t>
  </si>
  <si>
    <t>2050 - best</t>
  </si>
  <si>
    <t>ammonia, BAU</t>
  </si>
  <si>
    <t>ammonia, blue</t>
  </si>
  <si>
    <t>ammonia; hydrogen, PEM electrolysis, electricity onshore wind</t>
  </si>
  <si>
    <t>ammonia; hydrogen, PEM electrolysis, electricity solar</t>
  </si>
  <si>
    <t>methanol, BAU</t>
  </si>
  <si>
    <t>methanol, blue</t>
  </si>
  <si>
    <t>wind</t>
  </si>
  <si>
    <t>solar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</si>
</sst>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92285-6FEF-4EC6-BAF9-690EB89C4785}">
  <dimension ref="A1:G27"/>
  <sheetViews>
    <sheetView tabSelected="1" workbookViewId="0">
      <selection activeCell="P11" sqref="P11"/>
    </sheetView>
  </sheetViews>
  <sheetFormatPr defaultRowHeight="15" x14ac:dyDescent="0.25"/>
  <cols>
    <col min="1" max="1" width="106.28515625" bestFit="1" customWidth="1"/>
    <col min="2" max="4" width="12" bestFit="1" customWidth="1"/>
    <col min="7" max="7" width="9.140625" style="2"/>
  </cols>
  <sheetData>
    <row r="1" spans="1:7" x14ac:dyDescent="0.25">
      <c r="A1" s="2" t="s">
        <v>5</v>
      </c>
      <c r="B1" s="2" t="s">
        <v>9</v>
      </c>
      <c r="C1" s="2" t="s">
        <v>10</v>
      </c>
      <c r="D1" s="2" t="s">
        <v>4</v>
      </c>
    </row>
    <row r="2" spans="1:7" x14ac:dyDescent="0.25">
      <c r="A2" t="s">
        <v>0</v>
      </c>
      <c r="B2" s="1">
        <v>4.4235684513995821</v>
      </c>
      <c r="C2" s="1">
        <v>4.3555592071605984</v>
      </c>
      <c r="D2" s="1">
        <f>(B2-C2)/B2*100</f>
        <v>1.5374294528542019</v>
      </c>
    </row>
    <row r="3" spans="1:7" x14ac:dyDescent="0.25">
      <c r="A3" t="s">
        <v>1</v>
      </c>
      <c r="B3" s="1">
        <v>10.68084220826055</v>
      </c>
      <c r="C3" s="1">
        <v>10.615310100586539</v>
      </c>
      <c r="D3" s="1">
        <f t="shared" ref="D3:E5" si="0">(B3-C3)/B3*100</f>
        <v>0.61354813034620748</v>
      </c>
    </row>
    <row r="4" spans="1:7" x14ac:dyDescent="0.25">
      <c r="A4" t="s">
        <v>2</v>
      </c>
      <c r="B4" s="1">
        <v>2.456089767425889</v>
      </c>
      <c r="C4" s="1">
        <v>1.9166270523827851</v>
      </c>
      <c r="D4" s="1">
        <f t="shared" si="0"/>
        <v>21.96429146026243</v>
      </c>
      <c r="E4" s="1">
        <v>12.305370298794369</v>
      </c>
      <c r="F4" s="1">
        <v>13.540833716619098</v>
      </c>
    </row>
    <row r="5" spans="1:7" x14ac:dyDescent="0.25">
      <c r="A5" t="s">
        <v>3</v>
      </c>
      <c r="B5" s="1">
        <v>4.8228144281224452</v>
      </c>
      <c r="C5" s="1">
        <v>4.4374512338888703</v>
      </c>
      <c r="D5" s="1">
        <f t="shared" si="0"/>
        <v>7.9904213603258931</v>
      </c>
      <c r="E5" s="1">
        <v>6.1994007985773392</v>
      </c>
      <c r="F5" s="1">
        <v>18.052670591256092</v>
      </c>
      <c r="G5" s="3">
        <f>AVERAGE(D4:F5)</f>
        <v>13.342164704305871</v>
      </c>
    </row>
    <row r="6" spans="1:7" x14ac:dyDescent="0.25">
      <c r="D6" s="1"/>
    </row>
    <row r="7" spans="1:7" x14ac:dyDescent="0.25">
      <c r="D7" s="1"/>
    </row>
    <row r="8" spans="1:7" x14ac:dyDescent="0.25">
      <c r="A8" s="2" t="s">
        <v>6</v>
      </c>
      <c r="B8" s="2">
        <v>2020</v>
      </c>
      <c r="C8" s="2">
        <v>2050</v>
      </c>
      <c r="D8" s="2" t="s">
        <v>4</v>
      </c>
    </row>
    <row r="9" spans="1:7" x14ac:dyDescent="0.25">
      <c r="A9" t="s">
        <v>0</v>
      </c>
      <c r="B9" s="1">
        <v>4.883648959889201</v>
      </c>
      <c r="C9" s="1">
        <v>4.4907471288145357</v>
      </c>
      <c r="D9" s="1">
        <f>(B9-C9)/B9*100</f>
        <v>8.0452512926641511</v>
      </c>
    </row>
    <row r="10" spans="1:7" x14ac:dyDescent="0.25">
      <c r="A10" t="s">
        <v>1</v>
      </c>
      <c r="B10" s="1">
        <v>11.08521452275223</v>
      </c>
      <c r="C10" s="1">
        <v>10.82670067229272</v>
      </c>
      <c r="D10" s="1">
        <f t="shared" ref="D10:D12" si="1">(B10-C10)/B10*100</f>
        <v>2.3320599698717066</v>
      </c>
    </row>
    <row r="11" spans="1:7" x14ac:dyDescent="0.25">
      <c r="A11" t="s">
        <v>2</v>
      </c>
      <c r="B11" s="1">
        <v>2.4294110561746289</v>
      </c>
      <c r="C11" s="1">
        <v>1.445410384925923</v>
      </c>
      <c r="D11" s="1">
        <f t="shared" si="1"/>
        <v>40.503671404135353</v>
      </c>
      <c r="E11" s="1">
        <v>65.62766813362876</v>
      </c>
      <c r="F11" s="1">
        <v>56.472427560507022</v>
      </c>
    </row>
    <row r="12" spans="1:7" x14ac:dyDescent="0.25">
      <c r="A12" t="s">
        <v>3</v>
      </c>
      <c r="B12" s="1">
        <v>4.0883131716258676</v>
      </c>
      <c r="C12" s="1">
        <v>1.94247375889955</v>
      </c>
      <c r="D12" s="1">
        <f t="shared" si="1"/>
        <v>52.487158459853156</v>
      </c>
      <c r="E12" s="1">
        <v>66.745546492244017</v>
      </c>
      <c r="F12" s="1">
        <v>104.03219687597827</v>
      </c>
      <c r="G12" s="3">
        <f>AVERAGE(D11:F12)</f>
        <v>64.311444821057776</v>
      </c>
    </row>
    <row r="13" spans="1:7" x14ac:dyDescent="0.25">
      <c r="D13" s="1">
        <f>MAX(D9:D12)</f>
        <v>52.487158459853156</v>
      </c>
    </row>
    <row r="14" spans="1:7" x14ac:dyDescent="0.25">
      <c r="D14" s="1"/>
    </row>
    <row r="15" spans="1:7" x14ac:dyDescent="0.25">
      <c r="A15" s="2" t="s">
        <v>7</v>
      </c>
      <c r="B15" s="2">
        <v>2020</v>
      </c>
      <c r="C15" s="2">
        <v>2050</v>
      </c>
      <c r="D15" s="2" t="s">
        <v>4</v>
      </c>
    </row>
    <row r="16" spans="1:7" x14ac:dyDescent="0.25">
      <c r="A16" t="s">
        <v>0</v>
      </c>
      <c r="B16" s="1">
        <v>4.4268526426779982</v>
      </c>
      <c r="C16" s="1">
        <v>4.3748301253929034</v>
      </c>
      <c r="D16" s="1">
        <f>(B16-C16)/B16*100</f>
        <v>1.1751580972802398</v>
      </c>
    </row>
    <row r="17" spans="1:7" x14ac:dyDescent="0.25">
      <c r="A17" t="s">
        <v>1</v>
      </c>
      <c r="B17" s="1">
        <v>10.684064202037851</v>
      </c>
      <c r="C17" s="1">
        <v>10.634531505431569</v>
      </c>
      <c r="D17" s="1">
        <f t="shared" ref="D17:D19" si="2">(B17-C17)/B17*100</f>
        <v>0.46361286931272366</v>
      </c>
    </row>
    <row r="18" spans="1:7" x14ac:dyDescent="0.25">
      <c r="A18" t="s">
        <v>2</v>
      </c>
      <c r="B18" s="1">
        <v>2.470731352412892</v>
      </c>
      <c r="C18" s="1">
        <v>2.1297659239544209</v>
      </c>
      <c r="D18" s="1">
        <f t="shared" si="2"/>
        <v>13.800182206191201</v>
      </c>
      <c r="E18" s="1">
        <v>8.0119514807810539</v>
      </c>
      <c r="F18" s="1">
        <v>8.8891736646630051</v>
      </c>
    </row>
    <row r="19" spans="1:7" x14ac:dyDescent="0.25">
      <c r="A19" t="s">
        <v>3</v>
      </c>
      <c r="B19" s="1">
        <v>4.8341976712111103</v>
      </c>
      <c r="C19" s="1">
        <v>4.5441542167545208</v>
      </c>
      <c r="D19" s="1">
        <f t="shared" si="2"/>
        <v>5.9998261176590448</v>
      </c>
      <c r="E19" s="1">
        <v>4.7236431065342499</v>
      </c>
      <c r="F19" s="1">
        <v>13.231512604380825</v>
      </c>
      <c r="G19" s="3">
        <f>AVERAGE(D18:F19)</f>
        <v>9.1093815300348968</v>
      </c>
    </row>
    <row r="20" spans="1:7" x14ac:dyDescent="0.25">
      <c r="D20" s="1">
        <f>MAX(D16:D19)</f>
        <v>13.800182206191201</v>
      </c>
    </row>
    <row r="21" spans="1:7" x14ac:dyDescent="0.25">
      <c r="D21" s="1"/>
    </row>
    <row r="22" spans="1:7" x14ac:dyDescent="0.25">
      <c r="A22" s="2" t="s">
        <v>8</v>
      </c>
      <c r="B22" s="2">
        <v>2020</v>
      </c>
      <c r="C22" s="2">
        <v>2050</v>
      </c>
      <c r="D22" s="2" t="s">
        <v>4</v>
      </c>
    </row>
    <row r="23" spans="1:7" x14ac:dyDescent="0.25">
      <c r="A23" t="s">
        <v>0</v>
      </c>
      <c r="B23" s="1">
        <v>4.4273235143020981</v>
      </c>
      <c r="C23" s="1">
        <v>4.3768388290327396</v>
      </c>
      <c r="D23" s="1">
        <f>(B23-C23)/B23*100</f>
        <v>1.1402980854295381</v>
      </c>
    </row>
    <row r="24" spans="1:7" x14ac:dyDescent="0.25">
      <c r="A24" t="s">
        <v>1</v>
      </c>
      <c r="B24" s="1">
        <v>10.68454114573186</v>
      </c>
      <c r="C24" s="1">
        <v>10.636465325436591</v>
      </c>
      <c r="D24" s="1">
        <f t="shared" ref="D24:D26" si="3">(B24-C24)/B24*100</f>
        <v>0.44995680806071581</v>
      </c>
    </row>
    <row r="25" spans="1:7" x14ac:dyDescent="0.25">
      <c r="A25" t="s">
        <v>2</v>
      </c>
      <c r="B25" s="1">
        <v>2.4696949547796381</v>
      </c>
      <c r="C25" s="1">
        <v>2.1656333355908419</v>
      </c>
      <c r="D25" s="1">
        <f t="shared" si="3"/>
        <v>12.311707508667865</v>
      </c>
      <c r="E25" s="1">
        <v>7.2053642034551117</v>
      </c>
      <c r="F25" s="1">
        <v>8.0343947305351637</v>
      </c>
    </row>
    <row r="26" spans="1:7" x14ac:dyDescent="0.25">
      <c r="A26" t="s">
        <v>3</v>
      </c>
      <c r="B26" s="1">
        <v>4.8351142208500466</v>
      </c>
      <c r="C26" s="1">
        <v>4.575399858439436</v>
      </c>
      <c r="D26" s="1">
        <f t="shared" si="3"/>
        <v>5.3714214504109696</v>
      </c>
      <c r="E26" s="1">
        <v>4.2665771461814419</v>
      </c>
      <c r="F26" s="1">
        <v>12.011515412098253</v>
      </c>
      <c r="G26" s="3">
        <f>AVERAGE(D25:F26)</f>
        <v>8.2001634085581347</v>
      </c>
    </row>
    <row r="27" spans="1:7" x14ac:dyDescent="0.25">
      <c r="D27" s="1">
        <f>MAX(D23:D26)</f>
        <v>12.311707508667865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B347-D6FC-486B-97D5-152BAE004098}">
  <dimension ref="A1:D27"/>
  <sheetViews>
    <sheetView workbookViewId="0">
      <selection activeCell="D27" activeCellId="1" sqref="D6 D27"/>
    </sheetView>
  </sheetViews>
  <sheetFormatPr defaultRowHeight="15" x14ac:dyDescent="0.25"/>
  <cols>
    <col min="1" max="1" width="106.28515625" bestFit="1" customWidth="1"/>
    <col min="2" max="4" width="12" bestFit="1" customWidth="1"/>
  </cols>
  <sheetData>
    <row r="1" spans="1:4" x14ac:dyDescent="0.25">
      <c r="A1" s="2" t="s">
        <v>5</v>
      </c>
      <c r="B1" s="2" t="s">
        <v>9</v>
      </c>
      <c r="C1" s="2" t="s">
        <v>10</v>
      </c>
      <c r="D1" s="2" t="s">
        <v>4</v>
      </c>
    </row>
    <row r="2" spans="1:4" x14ac:dyDescent="0.25">
      <c r="A2" t="s">
        <v>11</v>
      </c>
      <c r="B2" s="1">
        <v>2.682829785266545</v>
      </c>
      <c r="C2" s="1">
        <v>2.6643247318821719</v>
      </c>
      <c r="D2" s="1">
        <f>(B2-C2)/B2*100</f>
        <v>0.68975875718983115</v>
      </c>
    </row>
    <row r="3" spans="1:4" x14ac:dyDescent="0.25">
      <c r="A3" t="s">
        <v>12</v>
      </c>
      <c r="B3" s="1">
        <v>0.80376774786623395</v>
      </c>
      <c r="C3" s="1">
        <v>0.78216503038029339</v>
      </c>
      <c r="D3" s="1">
        <f t="shared" ref="D3:D5" si="0">(B3-C3)/B3*100</f>
        <v>2.6876815526984501</v>
      </c>
    </row>
    <row r="4" spans="1:4" x14ac:dyDescent="0.25">
      <c r="A4" t="s">
        <v>13</v>
      </c>
      <c r="B4" s="1">
        <v>0.86709766461179671</v>
      </c>
      <c r="C4" s="1">
        <v>0.76039808612911708</v>
      </c>
      <c r="D4" s="1">
        <f t="shared" si="0"/>
        <v>12.305370298794369</v>
      </c>
    </row>
    <row r="5" spans="1:4" x14ac:dyDescent="0.25">
      <c r="A5" t="s">
        <v>14</v>
      </c>
      <c r="B5" s="1">
        <v>1.283641202637307</v>
      </c>
      <c r="C5" s="1">
        <v>1.204063139670142</v>
      </c>
      <c r="D5" s="1">
        <f t="shared" si="0"/>
        <v>6.1994007985773392</v>
      </c>
    </row>
    <row r="6" spans="1:4" x14ac:dyDescent="0.25">
      <c r="D6" s="1">
        <f>MAX(D2:D5)</f>
        <v>12.305370298794369</v>
      </c>
    </row>
    <row r="7" spans="1:4" x14ac:dyDescent="0.25">
      <c r="D7" s="1"/>
    </row>
    <row r="8" spans="1:4" x14ac:dyDescent="0.25">
      <c r="A8" s="2" t="s">
        <v>6</v>
      </c>
      <c r="B8" s="2">
        <v>2020</v>
      </c>
      <c r="C8" s="2">
        <v>2050</v>
      </c>
      <c r="D8" s="2" t="s">
        <v>4</v>
      </c>
    </row>
    <row r="9" spans="1:4" x14ac:dyDescent="0.25">
      <c r="A9" t="s">
        <v>11</v>
      </c>
      <c r="B9" s="1">
        <v>2.6986671761095549</v>
      </c>
      <c r="C9" s="1">
        <v>2.586514474804384</v>
      </c>
      <c r="D9" s="1">
        <f>(B9-C9)/B9*100</f>
        <v>4.1558552420996246</v>
      </c>
    </row>
    <row r="10" spans="1:4" x14ac:dyDescent="0.25">
      <c r="A10" t="s">
        <v>12</v>
      </c>
      <c r="B10" s="1">
        <v>0.84663238138113639</v>
      </c>
      <c r="C10" s="1">
        <v>0.59644501930412153</v>
      </c>
      <c r="D10" s="1">
        <f t="shared" ref="D10:D12" si="1">(B10-C10)/B10*100</f>
        <v>29.55088508059151</v>
      </c>
    </row>
    <row r="11" spans="1:4" x14ac:dyDescent="0.25">
      <c r="A11" t="s">
        <v>13</v>
      </c>
      <c r="B11" s="1">
        <v>0.85955691096259745</v>
      </c>
      <c r="C11" s="1">
        <v>0.29544975401639317</v>
      </c>
      <c r="D11" s="1">
        <f t="shared" si="1"/>
        <v>65.62766813362876</v>
      </c>
    </row>
    <row r="12" spans="1:4" x14ac:dyDescent="0.25">
      <c r="A12" t="s">
        <v>14</v>
      </c>
      <c r="B12" s="1">
        <v>1.151523681699959</v>
      </c>
      <c r="C12" s="1">
        <v>0.38293290736171282</v>
      </c>
      <c r="D12" s="1">
        <f t="shared" si="1"/>
        <v>66.745546492244017</v>
      </c>
    </row>
    <row r="13" spans="1:4" x14ac:dyDescent="0.25">
      <c r="D13" s="1">
        <f>MAX(D9:D12)</f>
        <v>66.745546492244017</v>
      </c>
    </row>
    <row r="14" spans="1:4" x14ac:dyDescent="0.25">
      <c r="D14" s="1"/>
    </row>
    <row r="15" spans="1:4" x14ac:dyDescent="0.25">
      <c r="A15" s="2" t="s">
        <v>7</v>
      </c>
      <c r="B15" s="2">
        <v>2020</v>
      </c>
      <c r="C15" s="2">
        <v>2050</v>
      </c>
      <c r="D15" s="2" t="s">
        <v>4</v>
      </c>
    </row>
    <row r="16" spans="1:4" x14ac:dyDescent="0.25">
      <c r="A16" t="s">
        <v>11</v>
      </c>
      <c r="B16" s="1">
        <v>2.683673612337123</v>
      </c>
      <c r="C16" s="1">
        <v>2.669522156957616</v>
      </c>
      <c r="D16" s="1">
        <f>(B16-C16)/B16*100</f>
        <v>0.52731656019760831</v>
      </c>
    </row>
    <row r="17" spans="1:4" x14ac:dyDescent="0.25">
      <c r="A17" t="s">
        <v>12</v>
      </c>
      <c r="B17" s="1">
        <v>0.80472919483315208</v>
      </c>
      <c r="C17" s="1">
        <v>0.78778053674902282</v>
      </c>
      <c r="D17" s="1">
        <f t="shared" ref="D17:D19" si="2">(B17-C17)/B17*100</f>
        <v>2.1061318755365028</v>
      </c>
    </row>
    <row r="18" spans="1:4" x14ac:dyDescent="0.25">
      <c r="A18" t="s">
        <v>13</v>
      </c>
      <c r="B18" s="1">
        <v>0.87008898343520691</v>
      </c>
      <c r="C18" s="1">
        <v>0.80037787624275702</v>
      </c>
      <c r="D18" s="1">
        <f t="shared" si="2"/>
        <v>8.0119514807810539</v>
      </c>
    </row>
    <row r="19" spans="1:4" x14ac:dyDescent="0.25">
      <c r="A19" t="s">
        <v>14</v>
      </c>
      <c r="B19" s="1">
        <v>1.286059053289712</v>
      </c>
      <c r="C19" s="1">
        <v>1.2253102134730329</v>
      </c>
      <c r="D19" s="1">
        <f t="shared" si="2"/>
        <v>4.7236431065342499</v>
      </c>
    </row>
    <row r="20" spans="1:4" x14ac:dyDescent="0.25">
      <c r="D20" s="1">
        <f>MAX(D16:D19)</f>
        <v>8.0119514807810539</v>
      </c>
    </row>
    <row r="21" spans="1:4" x14ac:dyDescent="0.25">
      <c r="D21" s="1"/>
    </row>
    <row r="22" spans="1:4" x14ac:dyDescent="0.25">
      <c r="A22" s="2" t="s">
        <v>8</v>
      </c>
      <c r="B22" s="2">
        <v>2020</v>
      </c>
      <c r="C22" s="2">
        <v>2050</v>
      </c>
      <c r="D22" s="2" t="s">
        <v>4</v>
      </c>
    </row>
    <row r="23" spans="1:4" x14ac:dyDescent="0.25">
      <c r="A23" t="s">
        <v>11</v>
      </c>
      <c r="B23" s="1">
        <v>2.6838132183299521</v>
      </c>
      <c r="C23" s="1">
        <v>2.6702592663494462</v>
      </c>
      <c r="D23" s="1">
        <f>(B23-C23)/B23*100</f>
        <v>0.5050259044830282</v>
      </c>
    </row>
    <row r="24" spans="1:4" x14ac:dyDescent="0.25">
      <c r="A24" t="s">
        <v>12</v>
      </c>
      <c r="B24" s="1">
        <v>0.80487972214034065</v>
      </c>
      <c r="C24" s="1">
        <v>0.78861923238799903</v>
      </c>
      <c r="D24" s="1">
        <f t="shared" ref="D24:D26" si="3">(B24-C24)/B24*100</f>
        <v>2.0202384660780912</v>
      </c>
    </row>
    <row r="25" spans="1:4" x14ac:dyDescent="0.25">
      <c r="A25" t="s">
        <v>13</v>
      </c>
      <c r="B25" s="1">
        <v>0.87000063672608752</v>
      </c>
      <c r="C25" s="1">
        <v>0.80731392227759446</v>
      </c>
      <c r="D25" s="1">
        <f t="shared" si="3"/>
        <v>7.2053642034551117</v>
      </c>
    </row>
    <row r="26" spans="1:4" x14ac:dyDescent="0.25">
      <c r="A26" t="s">
        <v>14</v>
      </c>
      <c r="B26" s="1">
        <v>1.28631442529864</v>
      </c>
      <c r="C26" s="1">
        <v>1.2314328280008131</v>
      </c>
      <c r="D26" s="1">
        <f t="shared" si="3"/>
        <v>4.2665771461814419</v>
      </c>
    </row>
    <row r="27" spans="1:4" x14ac:dyDescent="0.25">
      <c r="D27" s="1">
        <f>MAX(D23:D26)</f>
        <v>7.2053642034551117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A2CBC-A398-4492-8DAF-BC56A00EF9D6}">
  <dimension ref="A1:D27"/>
  <sheetViews>
    <sheetView workbookViewId="0">
      <selection activeCell="D23" sqref="D23:D24"/>
    </sheetView>
  </sheetViews>
  <sheetFormatPr defaultRowHeight="15" x14ac:dyDescent="0.25"/>
  <cols>
    <col min="1" max="1" width="106.28515625" bestFit="1" customWidth="1"/>
    <col min="2" max="4" width="12" bestFit="1" customWidth="1"/>
  </cols>
  <sheetData>
    <row r="1" spans="1:4" x14ac:dyDescent="0.25">
      <c r="A1" s="2" t="s">
        <v>5</v>
      </c>
      <c r="B1" s="2" t="s">
        <v>9</v>
      </c>
      <c r="C1" s="2" t="s">
        <v>10</v>
      </c>
      <c r="D1" s="2" t="s">
        <v>4</v>
      </c>
    </row>
    <row r="2" spans="1:4" x14ac:dyDescent="0.25">
      <c r="A2" t="s">
        <v>17</v>
      </c>
      <c r="B2" s="1">
        <v>-0.84139120137597845</v>
      </c>
      <c r="C2" s="1">
        <v>-0.95532258486056343</v>
      </c>
      <c r="D2" s="1">
        <f>-(B2-C2)/B2*100</f>
        <v>13.540833716619098</v>
      </c>
    </row>
    <row r="3" spans="1:4" x14ac:dyDescent="0.25">
      <c r="A3" t="s">
        <v>18</v>
      </c>
      <c r="B3" s="1">
        <v>-0.51247445578344908</v>
      </c>
      <c r="C3" s="1">
        <v>-0.6049897811503675</v>
      </c>
      <c r="D3" s="1">
        <f>-(B3-C3)/B3*100</f>
        <v>18.052670591256092</v>
      </c>
    </row>
    <row r="4" spans="1:4" x14ac:dyDescent="0.25">
      <c r="A4" t="s">
        <v>15</v>
      </c>
      <c r="B4" s="1">
        <v>0.7519785918969133</v>
      </c>
      <c r="C4" s="1">
        <v>0.7426601534746422</v>
      </c>
      <c r="D4" s="1">
        <f t="shared" ref="D3:D5" si="0">(B4-C4)/B4*100</f>
        <v>1.2391893230317561</v>
      </c>
    </row>
    <row r="5" spans="1:4" x14ac:dyDescent="0.25">
      <c r="A5" t="s">
        <v>16</v>
      </c>
      <c r="B5" s="1">
        <v>0.39295999884993182</v>
      </c>
      <c r="C5" s="1">
        <v>0.38328582280373502</v>
      </c>
      <c r="D5" s="1">
        <f t="shared" si="0"/>
        <v>2.4618729831306037</v>
      </c>
    </row>
    <row r="6" spans="1:4" x14ac:dyDescent="0.25">
      <c r="D6" s="1">
        <f>MAX(D2:D5)</f>
        <v>18.052670591256092</v>
      </c>
    </row>
    <row r="7" spans="1:4" x14ac:dyDescent="0.25">
      <c r="D7" s="1"/>
    </row>
    <row r="8" spans="1:4" x14ac:dyDescent="0.25">
      <c r="A8" s="2" t="s">
        <v>6</v>
      </c>
      <c r="B8" s="2">
        <v>2020</v>
      </c>
      <c r="C8" s="2">
        <v>2050</v>
      </c>
      <c r="D8" s="2" t="s">
        <v>4</v>
      </c>
    </row>
    <row r="9" spans="1:4" x14ac:dyDescent="0.25">
      <c r="A9" t="s">
        <v>17</v>
      </c>
      <c r="B9" s="1">
        <v>-0.84380134447621702</v>
      </c>
      <c r="C9" s="1">
        <v>-1.320316447490133</v>
      </c>
      <c r="D9" s="1">
        <f>-(B9-C9)/B9*100</f>
        <v>56.472427560507022</v>
      </c>
    </row>
    <row r="10" spans="1:4" x14ac:dyDescent="0.25">
      <c r="A10" t="s">
        <v>18</v>
      </c>
      <c r="B10" s="1">
        <v>-0.61325459177108943</v>
      </c>
      <c r="C10" s="1">
        <v>-1.251236816033366</v>
      </c>
      <c r="D10" s="1">
        <f>-(B10-C10)/B10*100</f>
        <v>104.03219687597827</v>
      </c>
    </row>
    <row r="11" spans="1:4" x14ac:dyDescent="0.25">
      <c r="A11" t="s">
        <v>15</v>
      </c>
      <c r="B11" s="1">
        <v>0.76052625942337648</v>
      </c>
      <c r="C11" s="1">
        <v>0.6788348331737305</v>
      </c>
      <c r="D11" s="1">
        <f t="shared" ref="D11:D12" si="1">(B11-C11)/B11*100</f>
        <v>10.741434005393005</v>
      </c>
    </row>
    <row r="12" spans="1:4" x14ac:dyDescent="0.25">
      <c r="A12" t="s">
        <v>16</v>
      </c>
      <c r="B12" s="1">
        <v>0.41344390173205259</v>
      </c>
      <c r="C12" s="1">
        <v>0.32863288652321537</v>
      </c>
      <c r="D12" s="1">
        <f t="shared" si="1"/>
        <v>20.513306606660773</v>
      </c>
    </row>
    <row r="13" spans="1:4" x14ac:dyDescent="0.25">
      <c r="D13" s="1">
        <f>MAX(D9:D12)</f>
        <v>104.03219687597827</v>
      </c>
    </row>
    <row r="14" spans="1:4" x14ac:dyDescent="0.25">
      <c r="D14" s="1"/>
    </row>
    <row r="15" spans="1:4" x14ac:dyDescent="0.25">
      <c r="A15" s="2" t="s">
        <v>7</v>
      </c>
      <c r="B15" s="2">
        <v>2020</v>
      </c>
      <c r="C15" s="2">
        <v>2050</v>
      </c>
      <c r="D15" s="2" t="s">
        <v>4</v>
      </c>
    </row>
    <row r="16" spans="1:4" x14ac:dyDescent="0.25">
      <c r="A16" t="s">
        <v>17</v>
      </c>
      <c r="B16" s="1">
        <v>-0.83788571287680413</v>
      </c>
      <c r="C16" s="1">
        <v>-0.91236682900582289</v>
      </c>
      <c r="D16" s="1">
        <f>-(B16-C16)/B16*100</f>
        <v>8.8891736646630051</v>
      </c>
    </row>
    <row r="17" spans="1:4" x14ac:dyDescent="0.25">
      <c r="A17" t="s">
        <v>18</v>
      </c>
      <c r="B17" s="1">
        <v>-0.50942179698223</v>
      </c>
      <c r="C17" s="1">
        <v>-0.57682600625939706</v>
      </c>
      <c r="D17" s="1">
        <f>-(B17-C17)/B17*100</f>
        <v>13.231512604380825</v>
      </c>
    </row>
    <row r="18" spans="1:4" x14ac:dyDescent="0.25">
      <c r="A18" t="s">
        <v>15</v>
      </c>
      <c r="B18" s="1">
        <v>0.75236310883191226</v>
      </c>
      <c r="C18" s="1">
        <v>0.74514403540242657</v>
      </c>
      <c r="D18" s="1">
        <f t="shared" ref="D18:D19" si="2">(B18-C18)/B18*100</f>
        <v>0.95951985746532997</v>
      </c>
    </row>
    <row r="19" spans="1:4" x14ac:dyDescent="0.25">
      <c r="A19" t="s">
        <v>16</v>
      </c>
      <c r="B19" s="1">
        <v>0.39336470048411221</v>
      </c>
      <c r="C19" s="1">
        <v>0.38583632528499823</v>
      </c>
      <c r="D19" s="1">
        <f t="shared" si="2"/>
        <v>1.9138410716184855</v>
      </c>
    </row>
    <row r="20" spans="1:4" x14ac:dyDescent="0.25">
      <c r="D20" s="1">
        <f>MAX(D16:D19)</f>
        <v>13.231512604380825</v>
      </c>
    </row>
    <row r="21" spans="1:4" x14ac:dyDescent="0.25">
      <c r="D21" s="1"/>
    </row>
    <row r="22" spans="1:4" x14ac:dyDescent="0.25">
      <c r="A22" s="2" t="s">
        <v>8</v>
      </c>
      <c r="B22" s="2">
        <v>2020</v>
      </c>
      <c r="C22" s="2">
        <v>2050</v>
      </c>
      <c r="D22" s="2" t="s">
        <v>4</v>
      </c>
    </row>
    <row r="23" spans="1:4" x14ac:dyDescent="0.25">
      <c r="A23" t="s">
        <v>17</v>
      </c>
      <c r="B23" s="1">
        <v>-0.83786525456023819</v>
      </c>
      <c r="C23" s="1">
        <v>-0.905182656421611</v>
      </c>
      <c r="D23" s="1">
        <f>-(B23-C23)/B23*100</f>
        <v>8.0343947305351637</v>
      </c>
    </row>
    <row r="24" spans="1:4" x14ac:dyDescent="0.25">
      <c r="A24" t="s">
        <v>18</v>
      </c>
      <c r="B24" s="1">
        <v>-0.50912992683995906</v>
      </c>
      <c r="C24" s="1">
        <v>-0.5702841464699453</v>
      </c>
      <c r="D24" s="1">
        <f>-(B24-C24)/B24*100</f>
        <v>12.011515412098253</v>
      </c>
    </row>
    <row r="25" spans="1:4" x14ac:dyDescent="0.25">
      <c r="A25" t="s">
        <v>15</v>
      </c>
      <c r="B25" s="1">
        <v>0.75240640275184134</v>
      </c>
      <c r="C25" s="1">
        <v>0.74533863766442676</v>
      </c>
      <c r="D25" s="1">
        <f t="shared" ref="D25:D26" si="3">(B25-C25)/B25*100</f>
        <v>0.93935472393177777</v>
      </c>
    </row>
    <row r="26" spans="1:4" x14ac:dyDescent="0.25">
      <c r="A26" t="s">
        <v>16</v>
      </c>
      <c r="B26" s="1">
        <v>0.39340856681246528</v>
      </c>
      <c r="C26" s="1">
        <v>0.3860389805316361</v>
      </c>
      <c r="D26" s="1">
        <f t="shared" si="3"/>
        <v>1.8732653283430403</v>
      </c>
    </row>
    <row r="27" spans="1:4" x14ac:dyDescent="0.25">
      <c r="D27" s="1">
        <f>MAX(D23:D26)</f>
        <v>12.011515412098253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Hydrogen</vt:lpstr>
      <vt:lpstr>Ammonia</vt:lpstr>
      <vt:lpstr>Methanol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Nabera  Abhinandan</dc:creator>
  <cp:lastModifiedBy>Nabera  Abhinandan</cp:lastModifiedBy>
  <dcterms:created xsi:type="dcterms:W3CDTF">2023-12-20T21:22:32Z</dcterms:created>
  <dcterms:modified xsi:type="dcterms:W3CDTF">2023-12-20T22:13:53Z</dcterms:modified>
</cp:coreProperties>
</file>