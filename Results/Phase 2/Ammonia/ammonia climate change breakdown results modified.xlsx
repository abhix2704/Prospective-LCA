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4"/>
  <workbookPr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Phase 2\Ammonia\"/>
    </mc:Choice>
  </mc:AlternateContent>
  <xr:revisionPtr revIDLastSave="0" documentId="13_ncr:1_{20C23DE9-AD05-4869-A0B5-04BC72CD0E65}" xr6:coauthVersionLast="36" xr6:coauthVersionMax="36" xr10:uidLastSave="{00000000-0000-0000-0000-000000000000}"/>
  <bookViews>
    <workbookView xWindow="0" yWindow="0" windowWidth="28800" windowHeight="14025" activeTab="4" xr2:uid="{00000000-000D-0000-FFFF-FFFF00000000}"/>
  </bookViews>
  <sheets>
    <sheet name="ammoniaBAU" sheetId="1" r:id="rId1"/>
    <sheet name="ammoniaBlue" sheetId="2" r:id="rId2"/>
    <sheet name="ammoniaWind" sheetId="3" r:id="rId3"/>
    <sheet name="ammoniaSolar" sheetId="4" r:id="rId4"/>
    <sheet name="heat" sheetId="5" r:id="rId5"/>
  </sheets>
  <calcPr calcId="191029"/>
</workbook>
</file>

<file path=xl/calcChain.xml><?xml version="1.0" encoding="utf-8"?>
<calcChain xmlns="http://schemas.openxmlformats.org/spreadsheetml/2006/main">
  <c r="F11" i="5" l="1"/>
  <c r="F10" i="5"/>
  <c r="F9" i="5"/>
  <c r="F8" i="5"/>
  <c r="F7" i="5"/>
  <c r="F6" i="5"/>
  <c r="F5" i="5"/>
  <c r="F4" i="5"/>
  <c r="F3" i="5"/>
  <c r="F2" i="5"/>
</calcChain>
</file>

<file path=xl/sharedStrings.xml><?xml version="1.0" encoding="utf-8"?>
<sst xmlns="http://schemas.openxmlformats.org/spreadsheetml/2006/main" count="131" uniqueCount="37">
  <si>
    <t>name</t>
  </si>
  <si>
    <t>database</t>
  </si>
  <si>
    <t>ammonia, BAU</t>
  </si>
  <si>
    <t>market for natural gas, high pressure</t>
  </si>
  <si>
    <t>heat production, natural gas, at industrial furnace &gt;100kW</t>
  </si>
  <si>
    <t>market group for electricity, high voltage</t>
  </si>
  <si>
    <t>market for nickel, class 1</t>
  </si>
  <si>
    <t>market for tap water</t>
  </si>
  <si>
    <t>market for solvent, organic</t>
  </si>
  <si>
    <t>market for chemical factory, organics</t>
  </si>
  <si>
    <t>market for municipal solid waste</t>
  </si>
  <si>
    <t>direct emissions</t>
  </si>
  <si>
    <t>lci-Abhi image SSP2-RCP6 2020</t>
  </si>
  <si>
    <t>lci-Abhi image SSP2-RCP6 2030</t>
  </si>
  <si>
    <t>lci-Abhi image SSP2-RCP6 2040</t>
  </si>
  <si>
    <t>lci-Abhi image SSP2-RCP6 2050</t>
  </si>
  <si>
    <t>lci-Abhi image SSP2-RCP19 2030</t>
  </si>
  <si>
    <t>lci-Abhi image SSP2-RCP19 2040</t>
  </si>
  <si>
    <t>lci-Abhi image SSP2-RCP19 2050</t>
  </si>
  <si>
    <t>lci-Abhi image SSP2-RCP26 2030</t>
  </si>
  <si>
    <t>lci-Abhi image SSP2-RCP26 2040</t>
  </si>
  <si>
    <t>lci-Abhi image SSP2-RCP26 2050</t>
  </si>
  <si>
    <t>ammonia, blue</t>
  </si>
  <si>
    <t>natural gas heating, with CCS</t>
  </si>
  <si>
    <t>carbon dioxide storage from natural gas, post, 200km pipeline, storage 1000m</t>
  </si>
  <si>
    <t>ammonia; hydrogen, PEM electrolysis, electricity onshore wind</t>
  </si>
  <si>
    <t>nitrogen gaseous, from cryogenic distillation, without compression</t>
  </si>
  <si>
    <t>ammonia synthesis catalyst</t>
  </si>
  <si>
    <t>treatment of inert waste, inert material landfill</t>
  </si>
  <si>
    <t>hydrogen production, gaseous, 200 bar, from PEM electrolysis, from onshore wind electricity</t>
  </si>
  <si>
    <t>ammonia; hydrogen, PEM electrolysis, electricity solar</t>
  </si>
  <si>
    <t>hydrogen production, gaseous, 200 bar, from PEM electrolysis, from solar electricity</t>
  </si>
  <si>
    <t>% direct</t>
  </si>
  <si>
    <t>BAU modified direct</t>
  </si>
  <si>
    <t>BAU modified heat</t>
  </si>
  <si>
    <t>Blue modified direct</t>
  </si>
  <si>
    <t>Blue modified 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</si>
</sst>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zoomScale="70" zoomScaleNormal="70" workbookViewId="0">
      <selection activeCell="J19" sqref="J19"/>
    </sheetView>
  </sheetViews>
  <sheetFormatPr defaultRowHeight="15" x14ac:dyDescent="0.25"/>
  <cols>
    <col min="2" max="2" width="14.140625" bestFit="1" customWidth="1"/>
    <col min="3" max="3" width="29.42578125" bestFit="1" customWidth="1"/>
    <col min="4" max="4" width="14.28515625" bestFit="1" customWidth="1"/>
    <col min="5" max="5" width="34.140625" bestFit="1" customWidth="1"/>
    <col min="6" max="6" width="53.28515625" bestFit="1" customWidth="1"/>
    <col min="7" max="7" width="38" bestFit="1" customWidth="1"/>
    <col min="8" max="8" width="23" bestFit="1" customWidth="1"/>
    <col min="9" max="9" width="19.42578125" bestFit="1" customWidth="1"/>
    <col min="10" max="10" width="25.140625" bestFit="1" customWidth="1"/>
    <col min="11" max="11" width="34.28515625" bestFit="1" customWidth="1"/>
    <col min="12" max="12" width="30.5703125" bestFit="1" customWidth="1"/>
    <col min="13" max="13" width="15.5703125" bestFit="1" customWidth="1"/>
  </cols>
  <sheetData>
    <row r="1" spans="1:13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1">
        <v>0</v>
      </c>
      <c r="B2" t="s">
        <v>2</v>
      </c>
      <c r="C2" t="s">
        <v>12</v>
      </c>
      <c r="D2">
        <v>2.697755753143285</v>
      </c>
      <c r="E2">
        <v>0.1770046506426656</v>
      </c>
      <c r="F2">
        <v>0.16682105910435796</v>
      </c>
      <c r="G2">
        <v>3.3320285090918E-2</v>
      </c>
      <c r="H2">
        <v>7.1345225715862427E-3</v>
      </c>
      <c r="I2">
        <v>7.4265607576720616E-4</v>
      </c>
      <c r="J2">
        <v>2.3665583909211721E-5</v>
      </c>
      <c r="K2">
        <v>5.6053775798632431E-2</v>
      </c>
      <c r="L2">
        <v>2.3490479871325019E-4</v>
      </c>
      <c r="M2">
        <v>2.2564202334767351</v>
      </c>
    </row>
    <row r="3" spans="1:13" x14ac:dyDescent="0.25">
      <c r="A3" s="1">
        <v>1</v>
      </c>
      <c r="B3" t="s">
        <v>2</v>
      </c>
      <c r="C3" t="s">
        <v>13</v>
      </c>
      <c r="D3">
        <v>2.6872921381347878</v>
      </c>
      <c r="E3">
        <v>0.1753652466821185</v>
      </c>
      <c r="F3">
        <v>0.16385046828336369</v>
      </c>
      <c r="G3">
        <v>3.207727081048773E-2</v>
      </c>
      <c r="H3">
        <v>6.9508454068612233E-3</v>
      </c>
      <c r="I3">
        <v>6.7283227942340233E-4</v>
      </c>
      <c r="J3">
        <v>2.2927031875143031E-5</v>
      </c>
      <c r="K3">
        <v>5.1697534418294819E-2</v>
      </c>
      <c r="L3">
        <v>2.3477945273707671E-4</v>
      </c>
      <c r="M3">
        <v>2.2564202337696262</v>
      </c>
    </row>
    <row r="4" spans="1:13" x14ac:dyDescent="0.25">
      <c r="A4" s="1">
        <v>2</v>
      </c>
      <c r="B4" t="s">
        <v>2</v>
      </c>
      <c r="C4" t="s">
        <v>14</v>
      </c>
      <c r="D4">
        <v>2.6810848277237889</v>
      </c>
      <c r="E4">
        <v>0.17422970254303241</v>
      </c>
      <c r="F4">
        <v>0.16169295478113588</v>
      </c>
      <c r="G4">
        <v>3.041962716113816E-2</v>
      </c>
      <c r="H4">
        <v>6.725871138007343E-3</v>
      </c>
      <c r="I4">
        <v>6.4320793683234469E-4</v>
      </c>
      <c r="J4">
        <v>2.2389789617161501E-5</v>
      </c>
      <c r="K4">
        <v>5.0696276317818013E-2</v>
      </c>
      <c r="L4">
        <v>2.3456408713872539E-4</v>
      </c>
      <c r="M4">
        <v>2.2564202339690684</v>
      </c>
    </row>
    <row r="5" spans="1:13" x14ac:dyDescent="0.25">
      <c r="A5" s="1">
        <v>3</v>
      </c>
      <c r="B5" t="s">
        <v>2</v>
      </c>
      <c r="C5" t="s">
        <v>15</v>
      </c>
      <c r="D5">
        <v>2.6749031256758502</v>
      </c>
      <c r="E5">
        <v>0.17347749469097129</v>
      </c>
      <c r="F5">
        <v>0.15879816340554243</v>
      </c>
      <c r="G5">
        <v>2.7688725934404919E-2</v>
      </c>
      <c r="H5">
        <v>6.5971035347824961E-3</v>
      </c>
      <c r="I5">
        <v>5.8326034375753388E-4</v>
      </c>
      <c r="J5">
        <v>2.2210237843358821E-5</v>
      </c>
      <c r="K5">
        <v>5.1081451984414043E-2</v>
      </c>
      <c r="L5">
        <v>2.3448134129661121E-4</v>
      </c>
      <c r="M5">
        <v>2.2564202342028374</v>
      </c>
    </row>
    <row r="6" spans="1:13" x14ac:dyDescent="0.25">
      <c r="A6" s="1">
        <v>4</v>
      </c>
      <c r="B6" t="s">
        <v>2</v>
      </c>
      <c r="C6" t="s">
        <v>16</v>
      </c>
      <c r="D6">
        <v>2.6124498639415061</v>
      </c>
      <c r="E6">
        <v>0.16544878867935101</v>
      </c>
      <c r="F6">
        <v>0.14470704167423376</v>
      </c>
      <c r="G6">
        <v>8.8032165613517246E-3</v>
      </c>
      <c r="H6">
        <v>5.7557978277495217E-3</v>
      </c>
      <c r="I6">
        <v>2.5936645187853993E-4</v>
      </c>
      <c r="J6">
        <v>1.9702475823602832E-5</v>
      </c>
      <c r="K6">
        <v>3.08013885935732E-2</v>
      </c>
      <c r="L6">
        <v>2.3432578148600459E-4</v>
      </c>
      <c r="M6">
        <v>2.2564202358960586</v>
      </c>
    </row>
    <row r="7" spans="1:13" x14ac:dyDescent="0.25">
      <c r="A7" s="1">
        <v>5</v>
      </c>
      <c r="B7" t="s">
        <v>2</v>
      </c>
      <c r="C7" t="s">
        <v>17</v>
      </c>
      <c r="D7">
        <v>2.5901259341800289</v>
      </c>
      <c r="E7">
        <v>0.1615019614938295</v>
      </c>
      <c r="F7">
        <v>0.13871711424406774</v>
      </c>
      <c r="G7">
        <v>2.6649099531619348E-3</v>
      </c>
      <c r="H7">
        <v>5.1834958198386004E-3</v>
      </c>
      <c r="I7">
        <v>1.351527580920906E-4</v>
      </c>
      <c r="J7">
        <v>1.8377410143558981E-5</v>
      </c>
      <c r="K7">
        <v>2.525078206769123E-2</v>
      </c>
      <c r="L7">
        <v>2.339038671066825E-4</v>
      </c>
      <c r="M7">
        <v>2.2564202365660977</v>
      </c>
    </row>
    <row r="8" spans="1:13" x14ac:dyDescent="0.25">
      <c r="A8" s="1">
        <v>6</v>
      </c>
      <c r="B8" t="s">
        <v>2</v>
      </c>
      <c r="C8" t="s">
        <v>18</v>
      </c>
      <c r="D8">
        <v>2.581879576756648</v>
      </c>
      <c r="E8">
        <v>0.16004012172582929</v>
      </c>
      <c r="F8">
        <v>0.13567307804786255</v>
      </c>
      <c r="G8">
        <v>1.0087389446617359E-3</v>
      </c>
      <c r="H8">
        <v>4.9977591180342057E-3</v>
      </c>
      <c r="I8">
        <v>5.1417592039560293E-5</v>
      </c>
      <c r="J8">
        <v>1.784742985847452E-5</v>
      </c>
      <c r="K8">
        <v>2.343665449195834E-2</v>
      </c>
      <c r="L8">
        <v>2.337225489288062E-4</v>
      </c>
      <c r="M8">
        <v>2.2564202368574748</v>
      </c>
    </row>
    <row r="9" spans="1:13" x14ac:dyDescent="0.25">
      <c r="A9" s="1">
        <v>7</v>
      </c>
      <c r="B9" t="s">
        <v>2</v>
      </c>
      <c r="C9" t="s">
        <v>19</v>
      </c>
      <c r="D9">
        <v>2.6669387675541878</v>
      </c>
      <c r="E9">
        <v>0.17245978517376609</v>
      </c>
      <c r="F9">
        <v>0.15825487208025946</v>
      </c>
      <c r="G9">
        <v>2.602822705092948E-2</v>
      </c>
      <c r="H9">
        <v>6.5350040217610032E-3</v>
      </c>
      <c r="I9">
        <v>5.2314482886651873E-4</v>
      </c>
      <c r="J9">
        <v>2.211240974831636E-5</v>
      </c>
      <c r="K9">
        <v>4.6460753483856969E-2</v>
      </c>
      <c r="L9">
        <v>2.3463412956830799E-4</v>
      </c>
      <c r="M9">
        <v>2.2564202343754318</v>
      </c>
    </row>
    <row r="10" spans="1:13" x14ac:dyDescent="0.25">
      <c r="A10" s="1">
        <v>8</v>
      </c>
      <c r="B10" t="s">
        <v>2</v>
      </c>
      <c r="C10" t="s">
        <v>20</v>
      </c>
      <c r="D10">
        <v>2.6254736439863571</v>
      </c>
      <c r="E10">
        <v>0.16660936083701461</v>
      </c>
      <c r="F10">
        <v>0.14894568979013467</v>
      </c>
      <c r="G10">
        <v>1.1120619155727591E-2</v>
      </c>
      <c r="H10">
        <v>5.8478583277351984E-3</v>
      </c>
      <c r="I10">
        <v>3.0828910402233269E-4</v>
      </c>
      <c r="J10">
        <v>2.0158309407260649E-5</v>
      </c>
      <c r="K10">
        <v>3.5967191127295732E-2</v>
      </c>
      <c r="L10">
        <v>2.3424177420329329E-4</v>
      </c>
      <c r="M10">
        <v>2.2564202355608161</v>
      </c>
    </row>
    <row r="11" spans="1:13" x14ac:dyDescent="0.25">
      <c r="A11" s="1">
        <v>9</v>
      </c>
      <c r="B11" t="s">
        <v>2</v>
      </c>
      <c r="C11" t="s">
        <v>21</v>
      </c>
      <c r="D11">
        <v>2.5955168639584691</v>
      </c>
      <c r="E11">
        <v>0.16272980416796631</v>
      </c>
      <c r="F11">
        <v>0.14085233683709486</v>
      </c>
      <c r="G11">
        <v>1.9161124462686049E-3</v>
      </c>
      <c r="H11">
        <v>5.4193589707098606E-3</v>
      </c>
      <c r="I11">
        <v>1.9677177928808281E-4</v>
      </c>
      <c r="J11">
        <v>1.895508401788379E-5</v>
      </c>
      <c r="K11">
        <v>2.7729237586712571E-2</v>
      </c>
      <c r="L11">
        <v>2.3405070711397271E-4</v>
      </c>
      <c r="M11">
        <v>2.2564202363792973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"/>
  <sheetViews>
    <sheetView workbookViewId="0">
      <selection activeCell="N15" sqref="N15"/>
    </sheetView>
  </sheetViews>
  <sheetFormatPr defaultRowHeight="15" x14ac:dyDescent="0.25"/>
  <sheetData>
    <row r="1" spans="1:14" x14ac:dyDescent="0.25">
      <c r="B1" s="1" t="s">
        <v>0</v>
      </c>
      <c r="C1" s="1" t="s">
        <v>1</v>
      </c>
      <c r="D1" s="1" t="s">
        <v>22</v>
      </c>
      <c r="E1" s="1" t="s">
        <v>3</v>
      </c>
      <c r="F1" s="1" t="s">
        <v>23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24</v>
      </c>
      <c r="N1" s="1" t="s">
        <v>11</v>
      </c>
    </row>
    <row r="2" spans="1:14" x14ac:dyDescent="0.25">
      <c r="A2" s="1">
        <v>0</v>
      </c>
      <c r="B2" t="s">
        <v>22</v>
      </c>
      <c r="C2" t="s">
        <v>12</v>
      </c>
      <c r="D2">
        <v>0.83187953859087282</v>
      </c>
      <c r="E2">
        <v>0.1770046506426656</v>
      </c>
      <c r="F2">
        <v>0.32145189616086728</v>
      </c>
      <c r="G2">
        <v>3.3320285090918E-2</v>
      </c>
      <c r="H2">
        <v>7.1345225715862427E-3</v>
      </c>
      <c r="I2">
        <v>7.4265607576720616E-4</v>
      </c>
      <c r="J2">
        <v>2.3665583909211721E-5</v>
      </c>
      <c r="K2">
        <v>5.6053775798632431E-2</v>
      </c>
      <c r="L2">
        <v>2.3490479871325019E-4</v>
      </c>
      <c r="M2">
        <v>8.5832782672451372E-3</v>
      </c>
      <c r="N2">
        <v>0.22732990360056848</v>
      </c>
    </row>
    <row r="3" spans="1:14" x14ac:dyDescent="0.25">
      <c r="A3" s="1">
        <v>1</v>
      </c>
      <c r="B3" t="s">
        <v>22</v>
      </c>
      <c r="C3" t="s">
        <v>13</v>
      </c>
      <c r="D3">
        <v>0.81524804535974049</v>
      </c>
      <c r="E3">
        <v>0.1753652466821185</v>
      </c>
      <c r="F3">
        <v>0.3126381995602498</v>
      </c>
      <c r="G3">
        <v>3.207727081048773E-2</v>
      </c>
      <c r="H3">
        <v>6.9508454068612233E-3</v>
      </c>
      <c r="I3">
        <v>6.7283227942340233E-4</v>
      </c>
      <c r="J3">
        <v>2.2927031875143031E-5</v>
      </c>
      <c r="K3">
        <v>5.1697534418294819E-2</v>
      </c>
      <c r="L3">
        <v>2.3477945273707671E-4</v>
      </c>
      <c r="M3">
        <v>8.2585056097874369E-3</v>
      </c>
      <c r="N3">
        <v>0.22732990410790538</v>
      </c>
    </row>
    <row r="4" spans="1:14" x14ac:dyDescent="0.25">
      <c r="A4" s="1">
        <v>2</v>
      </c>
      <c r="B4" t="s">
        <v>22</v>
      </c>
      <c r="C4" t="s">
        <v>14</v>
      </c>
      <c r="D4">
        <v>0.79971848754299713</v>
      </c>
      <c r="E4">
        <v>0.17422970254303241</v>
      </c>
      <c r="F4">
        <v>0.30159400439014816</v>
      </c>
      <c r="G4">
        <v>3.041962716113816E-2</v>
      </c>
      <c r="H4">
        <v>6.725871138007343E-3</v>
      </c>
      <c r="I4">
        <v>6.4320793683234469E-4</v>
      </c>
      <c r="J4">
        <v>2.2389789617161501E-5</v>
      </c>
      <c r="K4">
        <v>5.0696276317818013E-2</v>
      </c>
      <c r="L4">
        <v>2.3456408713872539E-4</v>
      </c>
      <c r="M4">
        <v>7.8229394752605281E-3</v>
      </c>
      <c r="N4">
        <v>0.22732990470400433</v>
      </c>
    </row>
    <row r="5" spans="1:14" x14ac:dyDescent="0.25">
      <c r="A5" s="1">
        <v>3</v>
      </c>
      <c r="B5" t="s">
        <v>22</v>
      </c>
      <c r="C5" t="s">
        <v>15</v>
      </c>
      <c r="D5">
        <v>0.77824629019720315</v>
      </c>
      <c r="E5">
        <v>0.17347749469097129</v>
      </c>
      <c r="F5">
        <v>0.28410944139127103</v>
      </c>
      <c r="G5">
        <v>2.7688725934404919E-2</v>
      </c>
      <c r="H5">
        <v>6.5971035347824961E-3</v>
      </c>
      <c r="I5">
        <v>5.8326034375753388E-4</v>
      </c>
      <c r="J5">
        <v>2.2210237843358821E-5</v>
      </c>
      <c r="K5">
        <v>5.1081451984414043E-2</v>
      </c>
      <c r="L5">
        <v>2.3448134129661121E-4</v>
      </c>
      <c r="M5">
        <v>7.1222151018196138E-3</v>
      </c>
      <c r="N5">
        <v>0.22732990563664224</v>
      </c>
    </row>
    <row r="6" spans="1:14" x14ac:dyDescent="0.25">
      <c r="A6" s="1">
        <v>4</v>
      </c>
      <c r="B6" t="s">
        <v>22</v>
      </c>
      <c r="C6" t="s">
        <v>16</v>
      </c>
      <c r="D6">
        <v>0.60380099907699103</v>
      </c>
      <c r="E6">
        <v>0.16544878867935101</v>
      </c>
      <c r="F6">
        <v>0.16284495701298385</v>
      </c>
      <c r="G6">
        <v>8.8032165613517246E-3</v>
      </c>
      <c r="H6">
        <v>5.7557978277495217E-3</v>
      </c>
      <c r="I6">
        <v>2.5936645187853993E-4</v>
      </c>
      <c r="J6">
        <v>1.9702475823602832E-5</v>
      </c>
      <c r="K6">
        <v>3.08013885935732E-2</v>
      </c>
      <c r="L6">
        <v>2.3432578148600459E-4</v>
      </c>
      <c r="M6">
        <v>2.303543398138431E-3</v>
      </c>
      <c r="N6">
        <v>0.22732991229465516</v>
      </c>
    </row>
    <row r="7" spans="1:14" x14ac:dyDescent="0.25">
      <c r="A7" s="1">
        <v>5</v>
      </c>
      <c r="B7" t="s">
        <v>22</v>
      </c>
      <c r="C7" t="s">
        <v>17</v>
      </c>
      <c r="D7">
        <v>0.54562710420856886</v>
      </c>
      <c r="E7">
        <v>0.1615019614938295</v>
      </c>
      <c r="F7">
        <v>0.12260248912663135</v>
      </c>
      <c r="G7">
        <v>2.6649099531619348E-3</v>
      </c>
      <c r="H7">
        <v>5.1834958198386004E-3</v>
      </c>
      <c r="I7">
        <v>1.351527580920906E-4</v>
      </c>
      <c r="J7">
        <v>1.8377410143558981E-5</v>
      </c>
      <c r="K7">
        <v>2.525078206769123E-2</v>
      </c>
      <c r="L7">
        <v>2.339038671066825E-4</v>
      </c>
      <c r="M7">
        <v>7.0611722853358456E-4</v>
      </c>
      <c r="N7">
        <v>0.22732991448354031</v>
      </c>
    </row>
    <row r="8" spans="1:14" x14ac:dyDescent="0.25">
      <c r="A8" s="1">
        <v>6</v>
      </c>
      <c r="B8" t="s">
        <v>22</v>
      </c>
      <c r="C8" t="s">
        <v>18</v>
      </c>
      <c r="D8">
        <v>0.52891413909471952</v>
      </c>
      <c r="E8">
        <v>0.16004012172582929</v>
      </c>
      <c r="F8">
        <v>0.11153771499438864</v>
      </c>
      <c r="G8">
        <v>1.0087389446617359E-3</v>
      </c>
      <c r="H8">
        <v>4.9977591180342057E-3</v>
      </c>
      <c r="I8">
        <v>5.1417592039560293E-5</v>
      </c>
      <c r="J8">
        <v>1.784742985847452E-5</v>
      </c>
      <c r="K8">
        <v>2.343665449195834E-2</v>
      </c>
      <c r="L8">
        <v>2.337225489288062E-4</v>
      </c>
      <c r="M8">
        <v>2.6024716308735668E-4</v>
      </c>
      <c r="N8">
        <v>0.22732991508593314</v>
      </c>
    </row>
    <row r="9" spans="1:14" x14ac:dyDescent="0.25">
      <c r="A9" s="1">
        <v>7</v>
      </c>
      <c r="B9" t="s">
        <v>22</v>
      </c>
      <c r="C9" t="s">
        <v>19</v>
      </c>
      <c r="D9">
        <v>0.75945350335203443</v>
      </c>
      <c r="E9">
        <v>0.17245978517376609</v>
      </c>
      <c r="F9">
        <v>0.27315404096324064</v>
      </c>
      <c r="G9">
        <v>2.602822705092948E-2</v>
      </c>
      <c r="H9">
        <v>6.5350040217610032E-3</v>
      </c>
      <c r="I9">
        <v>5.2314482886651873E-4</v>
      </c>
      <c r="J9">
        <v>2.211240974831636E-5</v>
      </c>
      <c r="K9">
        <v>4.6460753483856969E-2</v>
      </c>
      <c r="L9">
        <v>2.3463412956830799E-4</v>
      </c>
      <c r="M9">
        <v>6.7058950243798626E-3</v>
      </c>
      <c r="N9">
        <v>0.22732990626591718</v>
      </c>
    </row>
    <row r="10" spans="1:14" x14ac:dyDescent="0.25">
      <c r="A10" s="1">
        <v>8</v>
      </c>
      <c r="B10" t="s">
        <v>22</v>
      </c>
      <c r="C10" t="s">
        <v>20</v>
      </c>
      <c r="D10">
        <v>0.62809422247219182</v>
      </c>
      <c r="E10">
        <v>0.16660936083701461</v>
      </c>
      <c r="F10">
        <v>0.17776204914569982</v>
      </c>
      <c r="G10">
        <v>1.1120619155727591E-2</v>
      </c>
      <c r="H10">
        <v>5.8478583277351984E-3</v>
      </c>
      <c r="I10">
        <v>3.0828910402233269E-4</v>
      </c>
      <c r="J10">
        <v>2.0158309407260649E-5</v>
      </c>
      <c r="K10">
        <v>3.5967191127295732E-2</v>
      </c>
      <c r="L10">
        <v>2.3424177420329329E-4</v>
      </c>
      <c r="M10">
        <v>2.8945432382055198E-3</v>
      </c>
      <c r="N10">
        <v>0.22732991145288048</v>
      </c>
    </row>
    <row r="11" spans="1:14" x14ac:dyDescent="0.25">
      <c r="A11" s="1">
        <v>9</v>
      </c>
      <c r="B11" t="s">
        <v>22</v>
      </c>
      <c r="C11" t="s">
        <v>21</v>
      </c>
      <c r="D11">
        <v>0.54502595451390135</v>
      </c>
      <c r="E11">
        <v>0.16272980416796631</v>
      </c>
      <c r="F11">
        <v>0.11889851912889865</v>
      </c>
      <c r="G11">
        <v>1.9161124462686049E-3</v>
      </c>
      <c r="H11">
        <v>5.4193589707098606E-3</v>
      </c>
      <c r="I11">
        <v>1.9677177928808281E-4</v>
      </c>
      <c r="J11">
        <v>1.895508401788379E-5</v>
      </c>
      <c r="K11">
        <v>2.7729237586712571E-2</v>
      </c>
      <c r="L11">
        <v>2.3405070711397271E-4</v>
      </c>
      <c r="M11">
        <v>5.5322997839469569E-4</v>
      </c>
      <c r="N11">
        <v>0.22732991466453067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"/>
  <sheetViews>
    <sheetView topLeftCell="A7" workbookViewId="0">
      <selection activeCell="E27" sqref="E27"/>
    </sheetView>
  </sheetViews>
  <sheetFormatPr defaultRowHeight="15" x14ac:dyDescent="0.25"/>
  <sheetData>
    <row r="1" spans="1:11" x14ac:dyDescent="0.25">
      <c r="B1" s="1" t="s">
        <v>0</v>
      </c>
      <c r="C1" s="1" t="s">
        <v>1</v>
      </c>
      <c r="D1" s="1" t="s">
        <v>25</v>
      </c>
      <c r="E1" s="1" t="s">
        <v>26</v>
      </c>
      <c r="F1" s="1" t="s">
        <v>27</v>
      </c>
      <c r="G1" s="1" t="s">
        <v>9</v>
      </c>
      <c r="H1" s="1" t="s">
        <v>5</v>
      </c>
      <c r="I1" s="1" t="s">
        <v>28</v>
      </c>
      <c r="J1" s="1" t="s">
        <v>29</v>
      </c>
      <c r="K1" s="1" t="s">
        <v>11</v>
      </c>
    </row>
    <row r="2" spans="1:11" x14ac:dyDescent="0.25">
      <c r="A2" s="1">
        <v>0</v>
      </c>
      <c r="B2" t="s">
        <v>25</v>
      </c>
      <c r="C2" t="s">
        <v>12</v>
      </c>
      <c r="D2">
        <v>0.85375564711232865</v>
      </c>
      <c r="E2">
        <v>3.0923618733686022E-4</v>
      </c>
      <c r="F2">
        <v>1.2745865810924321E-4</v>
      </c>
      <c r="G2">
        <v>4.634287500342419E-2</v>
      </c>
      <c r="H2">
        <v>0.37630156220649957</v>
      </c>
      <c r="I2">
        <v>2.87180036450661E-7</v>
      </c>
      <c r="J2">
        <v>0.42223723467778351</v>
      </c>
      <c r="K2">
        <v>8.4369931991388203E-3</v>
      </c>
    </row>
    <row r="3" spans="1:11" x14ac:dyDescent="0.25">
      <c r="A3" s="1">
        <v>1</v>
      </c>
      <c r="B3" t="s">
        <v>25</v>
      </c>
      <c r="C3" t="s">
        <v>13</v>
      </c>
      <c r="D3">
        <v>0.79258943837661888</v>
      </c>
      <c r="E3">
        <v>2.8788843786415859E-4</v>
      </c>
      <c r="F3">
        <v>1.211983546970561E-4</v>
      </c>
      <c r="G3">
        <v>4.274132012335749E-2</v>
      </c>
      <c r="H3">
        <v>0.36226362062543049</v>
      </c>
      <c r="I3">
        <v>2.6583052547515779E-7</v>
      </c>
      <c r="J3">
        <v>0.37873815135888972</v>
      </c>
      <c r="K3">
        <v>8.4369936458544847E-3</v>
      </c>
    </row>
    <row r="4" spans="1:11" x14ac:dyDescent="0.25">
      <c r="A4" s="1">
        <v>2</v>
      </c>
      <c r="B4" t="s">
        <v>25</v>
      </c>
      <c r="C4" t="s">
        <v>14</v>
      </c>
      <c r="D4">
        <v>0.7358395778613146</v>
      </c>
      <c r="E4">
        <v>2.8130577920459059E-4</v>
      </c>
      <c r="F4">
        <v>1.165917847242302E-4</v>
      </c>
      <c r="G4">
        <v>4.1913522560473322E-2</v>
      </c>
      <c r="H4">
        <v>0.34354307567421188</v>
      </c>
      <c r="I4">
        <v>2.2869272424252599E-7</v>
      </c>
      <c r="J4">
        <v>0.34154785931471282</v>
      </c>
      <c r="K4">
        <v>8.436994055263547E-3</v>
      </c>
    </row>
    <row r="5" spans="1:11" x14ac:dyDescent="0.25">
      <c r="A5" s="1">
        <v>3</v>
      </c>
      <c r="B5" t="s">
        <v>25</v>
      </c>
      <c r="C5" t="s">
        <v>15</v>
      </c>
      <c r="D5">
        <v>0.69764693455946902</v>
      </c>
      <c r="E5">
        <v>2.7553966771225451E-4</v>
      </c>
      <c r="F5">
        <v>1.0942724609162471E-4</v>
      </c>
      <c r="G5">
        <v>4.2231969400442652E-2</v>
      </c>
      <c r="H5">
        <v>0.31270173097841097</v>
      </c>
      <c r="I5">
        <v>2.075700053810011E-7</v>
      </c>
      <c r="J5">
        <v>0.33389106528867851</v>
      </c>
      <c r="K5">
        <v>8.4369944081276183E-3</v>
      </c>
    </row>
    <row r="6" spans="1:11" x14ac:dyDescent="0.25">
      <c r="A6" s="1">
        <v>4</v>
      </c>
      <c r="B6" t="s">
        <v>25</v>
      </c>
      <c r="C6" t="s">
        <v>16</v>
      </c>
      <c r="D6">
        <v>0.40426805126189219</v>
      </c>
      <c r="E6">
        <v>1.6151587637629709E-4</v>
      </c>
      <c r="F6">
        <v>4.9552669869518852E-5</v>
      </c>
      <c r="G6">
        <v>2.5465276534657411E-2</v>
      </c>
      <c r="H6">
        <v>9.9418841568726657E-2</v>
      </c>
      <c r="I6">
        <v>1.676303901886784E-7</v>
      </c>
      <c r="J6">
        <v>0.27073569972738992</v>
      </c>
      <c r="K6">
        <v>8.4369972544822147E-3</v>
      </c>
    </row>
    <row r="7" spans="1:11" x14ac:dyDescent="0.25">
      <c r="A7" s="1">
        <v>5</v>
      </c>
      <c r="B7" t="s">
        <v>25</v>
      </c>
      <c r="C7" t="s">
        <v>17</v>
      </c>
      <c r="D7">
        <v>0.27693551200412181</v>
      </c>
      <c r="E7">
        <v>1.3272553740275339E-4</v>
      </c>
      <c r="F7">
        <v>3.1291180515734362E-5</v>
      </c>
      <c r="G7">
        <v>2.0876271409539401E-2</v>
      </c>
      <c r="H7">
        <v>3.0096074381663181E-2</v>
      </c>
      <c r="I7">
        <v>7.9795815280314065E-8</v>
      </c>
      <c r="J7">
        <v>0.2173620713574963</v>
      </c>
      <c r="K7">
        <v>8.4369983416890948E-3</v>
      </c>
    </row>
    <row r="8" spans="1:11" x14ac:dyDescent="0.25">
      <c r="A8" s="1">
        <v>6</v>
      </c>
      <c r="B8" t="s">
        <v>25</v>
      </c>
      <c r="C8" t="s">
        <v>18</v>
      </c>
      <c r="D8">
        <v>0.2424674618526505</v>
      </c>
      <c r="E8">
        <v>1.21642994895939E-4</v>
      </c>
      <c r="F8">
        <v>2.5405931780788091E-5</v>
      </c>
      <c r="G8">
        <v>1.9376427977323949E-2</v>
      </c>
      <c r="H8">
        <v>1.13921606522572E-2</v>
      </c>
      <c r="I8">
        <v>3.4440426696988048E-8</v>
      </c>
      <c r="J8">
        <v>0.20311479121694079</v>
      </c>
      <c r="K8">
        <v>8.436998639025084E-3</v>
      </c>
    </row>
    <row r="9" spans="1:11" x14ac:dyDescent="0.25">
      <c r="A9" s="1">
        <v>7</v>
      </c>
      <c r="B9" t="s">
        <v>25</v>
      </c>
      <c r="C9" t="s">
        <v>19</v>
      </c>
      <c r="D9">
        <v>0.68579502943551118</v>
      </c>
      <c r="E9">
        <v>2.5823998158285851E-4</v>
      </c>
      <c r="F9">
        <v>1.0372434849136111E-4</v>
      </c>
      <c r="G9">
        <v>3.8411772634232039E-2</v>
      </c>
      <c r="H9">
        <v>0.29394894053292148</v>
      </c>
      <c r="I9">
        <v>2.352387166130071E-7</v>
      </c>
      <c r="J9">
        <v>0.34463512208607788</v>
      </c>
      <c r="K9">
        <v>8.4369946134889018E-3</v>
      </c>
    </row>
    <row r="10" spans="1:11" x14ac:dyDescent="0.25">
      <c r="A10" s="1">
        <v>8</v>
      </c>
      <c r="B10" t="s">
        <v>25</v>
      </c>
      <c r="C10" t="s">
        <v>20</v>
      </c>
      <c r="D10">
        <v>0.43173081771763677</v>
      </c>
      <c r="E10">
        <v>2.006880166748548E-4</v>
      </c>
      <c r="F10">
        <v>6.324602195601296E-5</v>
      </c>
      <c r="G10">
        <v>2.9736142104403961E-2</v>
      </c>
      <c r="H10">
        <v>0.12559035283117789</v>
      </c>
      <c r="I10">
        <v>1.5672693042373539E-7</v>
      </c>
      <c r="J10">
        <v>0.26770323509373389</v>
      </c>
      <c r="K10">
        <v>8.4369969227596764E-3</v>
      </c>
    </row>
    <row r="11" spans="1:11" x14ac:dyDescent="0.25">
      <c r="A11" s="1">
        <v>9</v>
      </c>
      <c r="B11" t="s">
        <v>25</v>
      </c>
      <c r="C11" t="s">
        <v>21</v>
      </c>
      <c r="D11">
        <v>0.28589805137132751</v>
      </c>
      <c r="E11">
        <v>1.4032146661666431E-4</v>
      </c>
      <c r="F11">
        <v>3.1258045183345507E-5</v>
      </c>
      <c r="G11">
        <v>2.292535289750498E-2</v>
      </c>
      <c r="H11">
        <v>2.1639553951197241E-2</v>
      </c>
      <c r="I11">
        <v>1.115077974106278E-7</v>
      </c>
      <c r="J11">
        <v>0.23272445519547369</v>
      </c>
      <c r="K11">
        <v>8.4369983075540667E-3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topLeftCell="A7" workbookViewId="0">
      <selection activeCell="J15" sqref="J15"/>
    </sheetView>
  </sheetViews>
  <sheetFormatPr defaultRowHeight="15" x14ac:dyDescent="0.25"/>
  <sheetData>
    <row r="1" spans="1:11" x14ac:dyDescent="0.25">
      <c r="B1" s="1" t="s">
        <v>0</v>
      </c>
      <c r="C1" s="1" t="s">
        <v>1</v>
      </c>
      <c r="D1" s="1" t="s">
        <v>30</v>
      </c>
      <c r="E1" s="1" t="s">
        <v>26</v>
      </c>
      <c r="F1" s="1" t="s">
        <v>27</v>
      </c>
      <c r="G1" s="1" t="s">
        <v>9</v>
      </c>
      <c r="H1" s="1" t="s">
        <v>5</v>
      </c>
      <c r="I1" s="1" t="s">
        <v>28</v>
      </c>
      <c r="J1" s="1" t="s">
        <v>31</v>
      </c>
      <c r="K1" s="1" t="s">
        <v>11</v>
      </c>
    </row>
    <row r="2" spans="1:11" x14ac:dyDescent="0.25">
      <c r="A2" s="1">
        <v>0</v>
      </c>
      <c r="B2" t="s">
        <v>30</v>
      </c>
      <c r="C2" t="s">
        <v>12</v>
      </c>
      <c r="D2">
        <v>1.146704692771251</v>
      </c>
      <c r="E2">
        <v>3.0923618733686022E-4</v>
      </c>
      <c r="F2">
        <v>1.2745865810924321E-4</v>
      </c>
      <c r="G2">
        <v>4.634287500342419E-2</v>
      </c>
      <c r="H2">
        <v>0.37630156220649957</v>
      </c>
      <c r="I2">
        <v>2.87180036450661E-7</v>
      </c>
      <c r="J2">
        <v>0.7151862819240824</v>
      </c>
      <c r="K2">
        <v>8.4369916117625898E-3</v>
      </c>
    </row>
    <row r="3" spans="1:11" x14ac:dyDescent="0.25">
      <c r="A3" s="1">
        <v>1</v>
      </c>
      <c r="B3" t="s">
        <v>30</v>
      </c>
      <c r="C3" t="s">
        <v>13</v>
      </c>
      <c r="D3">
        <v>1.0052006074226889</v>
      </c>
      <c r="E3">
        <v>2.8788843786415859E-4</v>
      </c>
      <c r="F3">
        <v>1.211983546970561E-4</v>
      </c>
      <c r="G3">
        <v>4.274132012335749E-2</v>
      </c>
      <c r="H3">
        <v>0.36226362062543049</v>
      </c>
      <c r="I3">
        <v>2.6583052547515779E-7</v>
      </c>
      <c r="J3">
        <v>0.59134932155701503</v>
      </c>
      <c r="K3">
        <v>8.4369924937991447E-3</v>
      </c>
    </row>
    <row r="4" spans="1:11" x14ac:dyDescent="0.25">
      <c r="A4" s="1">
        <v>2</v>
      </c>
      <c r="B4" t="s">
        <v>30</v>
      </c>
      <c r="C4" t="s">
        <v>14</v>
      </c>
      <c r="D4">
        <v>0.90837852763370297</v>
      </c>
      <c r="E4">
        <v>2.8130577920459059E-4</v>
      </c>
      <c r="F4">
        <v>1.165917847242302E-4</v>
      </c>
      <c r="G4">
        <v>4.1913522560473322E-2</v>
      </c>
      <c r="H4">
        <v>0.34354307567421188</v>
      </c>
      <c r="I4">
        <v>2.2869272424252599E-7</v>
      </c>
      <c r="J4">
        <v>0.51408681002202039</v>
      </c>
      <c r="K4">
        <v>8.4369931203442938E-3</v>
      </c>
    </row>
    <row r="5" spans="1:11" x14ac:dyDescent="0.25">
      <c r="A5" s="1">
        <v>3</v>
      </c>
      <c r="B5" t="s">
        <v>30</v>
      </c>
      <c r="C5" t="s">
        <v>15</v>
      </c>
      <c r="D5">
        <v>0.84577935351094191</v>
      </c>
      <c r="E5">
        <v>2.7553966771225451E-4</v>
      </c>
      <c r="F5">
        <v>1.0942724609162471E-4</v>
      </c>
      <c r="G5">
        <v>4.2231969400442652E-2</v>
      </c>
      <c r="H5">
        <v>0.31270173097841097</v>
      </c>
      <c r="I5">
        <v>2.075700053810011E-7</v>
      </c>
      <c r="J5">
        <v>0.4820234850428235</v>
      </c>
      <c r="K5">
        <v>8.4369936054554673E-3</v>
      </c>
    </row>
    <row r="6" spans="1:11" x14ac:dyDescent="0.25">
      <c r="A6" s="1">
        <v>4</v>
      </c>
      <c r="B6" t="s">
        <v>30</v>
      </c>
      <c r="C6" t="s">
        <v>16</v>
      </c>
      <c r="D6">
        <v>0.53746897456624965</v>
      </c>
      <c r="E6">
        <v>1.6151587637629709E-4</v>
      </c>
      <c r="F6">
        <v>4.9552669869518852E-5</v>
      </c>
      <c r="G6">
        <v>2.5465276534657411E-2</v>
      </c>
      <c r="H6">
        <v>9.9418841568726657E-2</v>
      </c>
      <c r="I6">
        <v>1.676303901886784E-7</v>
      </c>
      <c r="J6">
        <v>0.40393662375351108</v>
      </c>
      <c r="K6">
        <v>8.4369965327185659E-3</v>
      </c>
    </row>
    <row r="7" spans="1:11" x14ac:dyDescent="0.25">
      <c r="A7" s="1">
        <v>5</v>
      </c>
      <c r="B7" t="s">
        <v>30</v>
      </c>
      <c r="C7" t="s">
        <v>17</v>
      </c>
      <c r="D7">
        <v>0.38262453041147521</v>
      </c>
      <c r="E7">
        <v>1.3272553740275339E-4</v>
      </c>
      <c r="F7">
        <v>3.1291180515734362E-5</v>
      </c>
      <c r="G7">
        <v>2.0876271409539401E-2</v>
      </c>
      <c r="H7">
        <v>3.0096074381663181E-2</v>
      </c>
      <c r="I7">
        <v>7.9795815280314065E-8</v>
      </c>
      <c r="J7">
        <v>0.32305109033753793</v>
      </c>
      <c r="K7">
        <v>8.4369977690009201E-3</v>
      </c>
    </row>
    <row r="8" spans="1:11" x14ac:dyDescent="0.25">
      <c r="A8" s="1">
        <v>6</v>
      </c>
      <c r="B8" t="s">
        <v>30</v>
      </c>
      <c r="C8" t="s">
        <v>18</v>
      </c>
      <c r="D8">
        <v>0.3345958313526991</v>
      </c>
      <c r="E8">
        <v>1.21642994895939E-4</v>
      </c>
      <c r="F8">
        <v>2.5405931780788091E-5</v>
      </c>
      <c r="G8">
        <v>1.9376427977323949E-2</v>
      </c>
      <c r="H8">
        <v>1.13921606522572E-2</v>
      </c>
      <c r="I8">
        <v>3.4440426696988048E-8</v>
      </c>
      <c r="J8">
        <v>0.29524316121619743</v>
      </c>
      <c r="K8">
        <v>8.4369981398171312E-3</v>
      </c>
    </row>
    <row r="9" spans="1:11" x14ac:dyDescent="0.25">
      <c r="A9" s="1">
        <v>7</v>
      </c>
      <c r="B9" t="s">
        <v>30</v>
      </c>
      <c r="C9" t="s">
        <v>19</v>
      </c>
      <c r="D9">
        <v>0.88971909759059031</v>
      </c>
      <c r="E9">
        <v>2.5823998158285851E-4</v>
      </c>
      <c r="F9">
        <v>1.0372434849136111E-4</v>
      </c>
      <c r="G9">
        <v>3.8411772634232039E-2</v>
      </c>
      <c r="H9">
        <v>0.29394894053292148</v>
      </c>
      <c r="I9">
        <v>2.352387166130071E-7</v>
      </c>
      <c r="J9">
        <v>0.54855919134614017</v>
      </c>
      <c r="K9">
        <v>8.4369935085056857E-3</v>
      </c>
    </row>
    <row r="10" spans="1:11" x14ac:dyDescent="0.25">
      <c r="A10" s="1">
        <v>8</v>
      </c>
      <c r="B10" t="s">
        <v>30</v>
      </c>
      <c r="C10" t="s">
        <v>20</v>
      </c>
      <c r="D10">
        <v>0.58283533107439556</v>
      </c>
      <c r="E10">
        <v>2.006880166748548E-4</v>
      </c>
      <c r="F10">
        <v>6.324602195601296E-5</v>
      </c>
      <c r="G10">
        <v>2.9736142104403961E-2</v>
      </c>
      <c r="H10">
        <v>0.12559035283117789</v>
      </c>
      <c r="I10">
        <v>1.5672693042373539E-7</v>
      </c>
      <c r="J10">
        <v>0.41880774926926823</v>
      </c>
      <c r="K10">
        <v>8.4369961039841845E-3</v>
      </c>
    </row>
    <row r="11" spans="1:11" x14ac:dyDescent="0.25">
      <c r="A11" s="1">
        <v>9</v>
      </c>
      <c r="B11" t="s">
        <v>30</v>
      </c>
      <c r="C11" t="s">
        <v>21</v>
      </c>
      <c r="D11">
        <v>0.37883209916837801</v>
      </c>
      <c r="E11">
        <v>1.4032146661666431E-4</v>
      </c>
      <c r="F11">
        <v>3.1258045183345507E-5</v>
      </c>
      <c r="G11">
        <v>2.292535289750498E-2</v>
      </c>
      <c r="H11">
        <v>2.1639553951197241E-2</v>
      </c>
      <c r="I11">
        <v>1.115077974106278E-7</v>
      </c>
      <c r="J11">
        <v>0.32565850349609637</v>
      </c>
      <c r="K11">
        <v>8.4369978039818827E-3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CF8C1-21AF-4D66-904B-A039E1BF57B6}">
  <dimension ref="A1:F11"/>
  <sheetViews>
    <sheetView tabSelected="1" zoomScale="145" zoomScaleNormal="145" workbookViewId="0">
      <selection activeCell="I7" sqref="I7"/>
    </sheetView>
  </sheetViews>
  <sheetFormatPr defaultRowHeight="15" x14ac:dyDescent="0.25"/>
  <cols>
    <col min="1" max="1" width="8.140625" bestFit="1" customWidth="1"/>
    <col min="2" max="2" width="19.28515625" bestFit="1" customWidth="1"/>
    <col min="3" max="3" width="18.140625" bestFit="1" customWidth="1"/>
    <col min="4" max="4" width="8.140625" bestFit="1" customWidth="1"/>
    <col min="5" max="5" width="19.42578125" bestFit="1" customWidth="1"/>
    <col min="6" max="6" width="18.28515625" bestFit="1" customWidth="1"/>
  </cols>
  <sheetData>
    <row r="1" spans="1:6" x14ac:dyDescent="0.25">
      <c r="A1" s="2" t="s">
        <v>32</v>
      </c>
      <c r="B1" s="2" t="s">
        <v>33</v>
      </c>
      <c r="C1" s="2" t="s">
        <v>34</v>
      </c>
      <c r="D1" s="2" t="s">
        <v>32</v>
      </c>
      <c r="E1" s="2" t="s">
        <v>35</v>
      </c>
      <c r="F1" s="2" t="s">
        <v>36</v>
      </c>
    </row>
    <row r="2" spans="1:6" x14ac:dyDescent="0.25">
      <c r="A2" s="3">
        <v>83.160296400402231</v>
      </c>
      <c r="B2" s="3">
        <v>2.2564202334767351</v>
      </c>
      <c r="C2" s="3">
        <v>0.16682105910435796</v>
      </c>
      <c r="D2" s="3">
        <v>20.645191775075549</v>
      </c>
      <c r="E2" s="3">
        <v>0.22732990360056848</v>
      </c>
      <c r="F2" s="3">
        <f>ammoniaBlue!D2-ammoniaBlue!E2-SUM(ammoniaBlue!G2:N2)</f>
        <v>0.32145189616086728</v>
      </c>
    </row>
    <row r="3" spans="1:6" x14ac:dyDescent="0.25">
      <c r="A3" s="3">
        <v>83.410415404273692</v>
      </c>
      <c r="B3" s="3">
        <v>2.2564202337696262</v>
      </c>
      <c r="C3" s="3">
        <v>0.16385046828336369</v>
      </c>
      <c r="D3" s="3">
        <v>21.104377013300091</v>
      </c>
      <c r="E3" s="3">
        <v>0.22732990410790538</v>
      </c>
      <c r="F3" s="3">
        <f>ammoniaBlue!D3-ammoniaBlue!E3-SUM(ammoniaBlue!G3:N3)</f>
        <v>0.3126381995602498</v>
      </c>
    </row>
    <row r="4" spans="1:6" x14ac:dyDescent="0.25">
      <c r="A4" s="3">
        <v>83.593019857077081</v>
      </c>
      <c r="B4" s="3">
        <v>2.2564202339690684</v>
      </c>
      <c r="C4" s="3">
        <v>0.16169295478113588</v>
      </c>
      <c r="D4" s="3">
        <v>21.709429982325378</v>
      </c>
      <c r="E4" s="3">
        <v>0.22732990470400433</v>
      </c>
      <c r="F4" s="3">
        <f>ammoniaBlue!D4-ammoniaBlue!E4-SUM(ammoniaBlue!G4:N4)</f>
        <v>0.30159400439014816</v>
      </c>
    </row>
    <row r="5" spans="1:6" x14ac:dyDescent="0.25">
      <c r="A5" s="3">
        <v>83.839284686069931</v>
      </c>
      <c r="B5" s="3">
        <v>2.2564202342028374</v>
      </c>
      <c r="C5" s="3">
        <v>0.15879816340554243</v>
      </c>
      <c r="D5" s="3">
        <v>22.741628248636093</v>
      </c>
      <c r="E5" s="3">
        <v>0.22732990563664224</v>
      </c>
      <c r="F5" s="3">
        <f>ammoniaBlue!D5-ammoniaBlue!E5-SUM(ammoniaBlue!G5:N5)</f>
        <v>0.28410944139127103</v>
      </c>
    </row>
    <row r="6" spans="1:6" x14ac:dyDescent="0.25">
      <c r="A6" s="3">
        <v>85.059064024584131</v>
      </c>
      <c r="B6" s="3">
        <v>2.2564202358960586</v>
      </c>
      <c r="C6" s="3">
        <v>0.14470704167423376</v>
      </c>
      <c r="D6" s="3">
        <v>33.930403606813606</v>
      </c>
      <c r="E6" s="3">
        <v>0.22732991229465516</v>
      </c>
      <c r="F6" s="3">
        <f>ammoniaBlue!D6-ammoniaBlue!E6-SUM(ammoniaBlue!G6:N6)</f>
        <v>0.16284495701298385</v>
      </c>
    </row>
    <row r="7" spans="1:6" x14ac:dyDescent="0.25">
      <c r="A7" s="3">
        <v>85.588391659223575</v>
      </c>
      <c r="B7" s="3">
        <v>2.2564202365660977</v>
      </c>
      <c r="C7" s="3">
        <v>0.13871711424406774</v>
      </c>
      <c r="D7" s="3">
        <v>40.551299081297714</v>
      </c>
      <c r="E7" s="3">
        <v>0.22732991448354031</v>
      </c>
      <c r="F7" s="3">
        <f>ammoniaBlue!D7-ammoniaBlue!E7-SUM(ammoniaBlue!G7:N7)</f>
        <v>0.12260248912663135</v>
      </c>
    </row>
    <row r="8" spans="1:6" x14ac:dyDescent="0.25">
      <c r="A8" s="3">
        <v>85.859924725244994</v>
      </c>
      <c r="B8" s="3">
        <v>2.2564202368574748</v>
      </c>
      <c r="C8" s="3">
        <v>0.13567307804786255</v>
      </c>
      <c r="D8" s="3">
        <v>42.850302059491028</v>
      </c>
      <c r="E8" s="3">
        <v>0.22732991508593314</v>
      </c>
      <c r="F8" s="3">
        <f>ammoniaBlue!D8-ammoniaBlue!E8-SUM(ammoniaBlue!G8:N8)</f>
        <v>0.11153771499438864</v>
      </c>
    </row>
    <row r="9" spans="1:6" x14ac:dyDescent="0.25">
      <c r="A9" s="3">
        <v>83.885665208153142</v>
      </c>
      <c r="B9" s="3">
        <v>2.2564202343754318</v>
      </c>
      <c r="C9" s="3">
        <v>0.15825487208025946</v>
      </c>
      <c r="D9" s="3">
        <v>23.439932239616919</v>
      </c>
      <c r="E9" s="3">
        <v>0.22732990626591718</v>
      </c>
      <c r="F9" s="3">
        <f>ammoniaBlue!D9-ammoniaBlue!E9-SUM(ammoniaBlue!G9:N9)</f>
        <v>0.27315404096324064</v>
      </c>
    </row>
    <row r="10" spans="1:6" x14ac:dyDescent="0.25">
      <c r="A10" s="3">
        <v>84.688434842286568</v>
      </c>
      <c r="B10" s="3">
        <v>2.2564202355608161</v>
      </c>
      <c r="C10" s="3">
        <v>0.14894568979013467</v>
      </c>
      <c r="D10" s="3">
        <v>31.994066467249699</v>
      </c>
      <c r="E10" s="3">
        <v>0.22732991145288048</v>
      </c>
      <c r="F10" s="3">
        <f>ammoniaBlue!D10-ammoniaBlue!E10-SUM(ammoniaBlue!G10:N10)</f>
        <v>0.17776204914569982</v>
      </c>
    </row>
    <row r="11" spans="1:6" x14ac:dyDescent="0.25">
      <c r="A11" s="3">
        <v>85.398948865406865</v>
      </c>
      <c r="B11" s="3">
        <v>2.2564202363792973</v>
      </c>
      <c r="C11" s="3">
        <v>0.14085233683709486</v>
      </c>
      <c r="D11" s="3">
        <v>41.292927282832906</v>
      </c>
      <c r="E11" s="3">
        <v>0.22732991466453067</v>
      </c>
      <c r="F11" s="3">
        <f>ammoniaBlue!D11-ammoniaBlue!E11-SUM(ammoniaBlue!G11:N11)</f>
        <v>0.11889851912889865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ammoniaBAU</vt:lpstr>
      <vt:lpstr>ammoniaBlue</vt:lpstr>
      <vt:lpstr>ammoniaWind</vt:lpstr>
      <vt:lpstr>ammoniaSolar</vt:lpstr>
      <vt:lpstr>heat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Nabera  Abhinandan</cp:lastModifiedBy>
  <dcterms:created xsi:type="dcterms:W3CDTF">2023-09-14T15:22:50Z</dcterms:created>
  <dcterms:modified xsi:type="dcterms:W3CDTF">2023-12-17T14:54:14Z</dcterms:modified>
</cp:coreProperties>
</file>