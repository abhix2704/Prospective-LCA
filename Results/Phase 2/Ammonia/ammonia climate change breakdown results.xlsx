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3"/>
  <workbookPr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Phase 2\Ammonia\"/>
    </mc:Choice>
  </mc:AlternateContent>
  <xr:revisionPtr revIDLastSave="0" documentId="13_ncr:1_{66D10C80-288A-4E48-A78E-01F203747E70}" xr6:coauthVersionLast="36" xr6:coauthVersionMax="36" xr10:uidLastSave="{00000000-0000-0000-0000-000000000000}"/>
  <bookViews>
    <workbookView xWindow="0" yWindow="0" windowWidth="28800" windowHeight="14025" xr2:uid="{00000000-000D-0000-FFFF-FFFF00000000}"/>
  </bookViews>
  <sheets>
    <sheet name="ammoniaBAU" sheetId="1" r:id="rId1"/>
    <sheet name="ammoniaBlue" sheetId="2" r:id="rId2"/>
    <sheet name="ammoniaWind" sheetId="3" r:id="rId3"/>
    <sheet name="ammoniaSolar" sheetId="4" r:id="rId4"/>
  </sheets>
  <calcPr calcId="191029"/>
</workbook>
</file>

<file path=xl/calcChain.xml><?xml version="1.0" encoding="utf-8"?>
<calcChain xmlns="http://schemas.openxmlformats.org/spreadsheetml/2006/main">
  <c r="K23" i="4" l="1"/>
  <c r="J23" i="4"/>
  <c r="I23" i="4"/>
  <c r="H23" i="4"/>
  <c r="G23" i="4"/>
  <c r="F23" i="4"/>
  <c r="E23" i="4"/>
  <c r="D23" i="4"/>
  <c r="K22" i="4"/>
  <c r="J22" i="4"/>
  <c r="I22" i="4"/>
  <c r="H22" i="4"/>
  <c r="G22" i="4"/>
  <c r="F22" i="4"/>
  <c r="E22" i="4"/>
  <c r="D22" i="4"/>
  <c r="K21" i="4"/>
  <c r="J21" i="4"/>
  <c r="I21" i="4"/>
  <c r="H21" i="4"/>
  <c r="G21" i="4"/>
  <c r="F21" i="4"/>
  <c r="E21" i="4"/>
  <c r="D21" i="4"/>
  <c r="K20" i="4"/>
  <c r="J20" i="4"/>
  <c r="I20" i="4"/>
  <c r="H20" i="4"/>
  <c r="G20" i="4"/>
  <c r="F20" i="4"/>
  <c r="E20" i="4"/>
  <c r="D20" i="4"/>
  <c r="K19" i="4"/>
  <c r="J19" i="4"/>
  <c r="I19" i="4"/>
  <c r="H19" i="4"/>
  <c r="G19" i="4"/>
  <c r="F19" i="4"/>
  <c r="E19" i="4"/>
  <c r="D19" i="4"/>
  <c r="K18" i="4"/>
  <c r="J18" i="4"/>
  <c r="I18" i="4"/>
  <c r="H18" i="4"/>
  <c r="G18" i="4"/>
  <c r="F18" i="4"/>
  <c r="E18" i="4"/>
  <c r="D18" i="4"/>
  <c r="K17" i="4"/>
  <c r="J17" i="4"/>
  <c r="I17" i="4"/>
  <c r="H17" i="4"/>
  <c r="G17" i="4"/>
  <c r="F17" i="4"/>
  <c r="E17" i="4"/>
  <c r="D17" i="4"/>
  <c r="K16" i="4"/>
  <c r="J16" i="4"/>
  <c r="I16" i="4"/>
  <c r="H16" i="4"/>
  <c r="G16" i="4"/>
  <c r="F16" i="4"/>
  <c r="E16" i="4"/>
  <c r="D16" i="4"/>
  <c r="K15" i="4"/>
  <c r="J15" i="4"/>
  <c r="I15" i="4"/>
  <c r="H15" i="4"/>
  <c r="G15" i="4"/>
  <c r="F15" i="4"/>
  <c r="E15" i="4"/>
  <c r="D15" i="4"/>
  <c r="K14" i="4"/>
  <c r="J14" i="4"/>
  <c r="I14" i="4"/>
  <c r="H14" i="4"/>
  <c r="G14" i="4"/>
  <c r="F14" i="4"/>
  <c r="E14" i="4"/>
  <c r="K23" i="3"/>
  <c r="J23" i="3"/>
  <c r="I23" i="3"/>
  <c r="H23" i="3"/>
  <c r="G23" i="3"/>
  <c r="F23" i="3"/>
  <c r="E23" i="3"/>
  <c r="D23" i="3"/>
  <c r="K22" i="3"/>
  <c r="J22" i="3"/>
  <c r="I22" i="3"/>
  <c r="H22" i="3"/>
  <c r="G22" i="3"/>
  <c r="F22" i="3"/>
  <c r="E22" i="3"/>
  <c r="D22" i="3"/>
  <c r="K21" i="3"/>
  <c r="J21" i="3"/>
  <c r="I21" i="3"/>
  <c r="H21" i="3"/>
  <c r="G21" i="3"/>
  <c r="F21" i="3"/>
  <c r="E21" i="3"/>
  <c r="D21" i="3"/>
  <c r="K20" i="3"/>
  <c r="J20" i="3"/>
  <c r="I20" i="3"/>
  <c r="H20" i="3"/>
  <c r="G20" i="3"/>
  <c r="F20" i="3"/>
  <c r="E20" i="3"/>
  <c r="D20" i="3"/>
  <c r="K19" i="3"/>
  <c r="J19" i="3"/>
  <c r="I19" i="3"/>
  <c r="H19" i="3"/>
  <c r="G19" i="3"/>
  <c r="F19" i="3"/>
  <c r="E19" i="3"/>
  <c r="D19" i="3"/>
  <c r="K18" i="3"/>
  <c r="J18" i="3"/>
  <c r="I18" i="3"/>
  <c r="H18" i="3"/>
  <c r="G18" i="3"/>
  <c r="F18" i="3"/>
  <c r="E18" i="3"/>
  <c r="D18" i="3"/>
  <c r="K17" i="3"/>
  <c r="J17" i="3"/>
  <c r="I17" i="3"/>
  <c r="H17" i="3"/>
  <c r="G17" i="3"/>
  <c r="F17" i="3"/>
  <c r="E17" i="3"/>
  <c r="D17" i="3"/>
  <c r="K16" i="3"/>
  <c r="J16" i="3"/>
  <c r="I16" i="3"/>
  <c r="H16" i="3"/>
  <c r="G16" i="3"/>
  <c r="F16" i="3"/>
  <c r="E16" i="3"/>
  <c r="D16" i="3"/>
  <c r="K15" i="3"/>
  <c r="J15" i="3"/>
  <c r="I15" i="3"/>
  <c r="H15" i="3"/>
  <c r="G15" i="3"/>
  <c r="F15" i="3"/>
  <c r="E15" i="3"/>
  <c r="D15" i="3"/>
  <c r="K14" i="3"/>
  <c r="J14" i="3"/>
  <c r="I14" i="3"/>
  <c r="H14" i="3"/>
  <c r="G14" i="3"/>
  <c r="F14" i="3"/>
  <c r="E14" i="3"/>
  <c r="M23" i="2"/>
  <c r="L23" i="2"/>
  <c r="K23" i="2"/>
  <c r="J23" i="2"/>
  <c r="I23" i="2"/>
  <c r="H23" i="2"/>
  <c r="G23" i="2"/>
  <c r="F23" i="2"/>
  <c r="E23" i="2"/>
  <c r="D23" i="2"/>
  <c r="M22" i="2"/>
  <c r="L22" i="2"/>
  <c r="K22" i="2"/>
  <c r="J22" i="2"/>
  <c r="I22" i="2"/>
  <c r="H22" i="2"/>
  <c r="G22" i="2"/>
  <c r="F22" i="2"/>
  <c r="E22" i="2"/>
  <c r="D22" i="2"/>
  <c r="M21" i="2"/>
  <c r="L21" i="2"/>
  <c r="K21" i="2"/>
  <c r="J21" i="2"/>
  <c r="I21" i="2"/>
  <c r="H21" i="2"/>
  <c r="G21" i="2"/>
  <c r="F21" i="2"/>
  <c r="E21" i="2"/>
  <c r="D21" i="2"/>
  <c r="M20" i="2"/>
  <c r="L20" i="2"/>
  <c r="K20" i="2"/>
  <c r="J20" i="2"/>
  <c r="I20" i="2"/>
  <c r="H20" i="2"/>
  <c r="G20" i="2"/>
  <c r="F20" i="2"/>
  <c r="E20" i="2"/>
  <c r="D20" i="2"/>
  <c r="M19" i="2"/>
  <c r="L19" i="2"/>
  <c r="K19" i="2"/>
  <c r="J19" i="2"/>
  <c r="I19" i="2"/>
  <c r="H19" i="2"/>
  <c r="G19" i="2"/>
  <c r="F19" i="2"/>
  <c r="E19" i="2"/>
  <c r="D19" i="2"/>
  <c r="M18" i="2"/>
  <c r="L18" i="2"/>
  <c r="K18" i="2"/>
  <c r="J18" i="2"/>
  <c r="I18" i="2"/>
  <c r="H18" i="2"/>
  <c r="G18" i="2"/>
  <c r="F18" i="2"/>
  <c r="E18" i="2"/>
  <c r="D18" i="2"/>
  <c r="M17" i="2"/>
  <c r="L17" i="2"/>
  <c r="K17" i="2"/>
  <c r="J17" i="2"/>
  <c r="I17" i="2"/>
  <c r="H17" i="2"/>
  <c r="G17" i="2"/>
  <c r="F17" i="2"/>
  <c r="E17" i="2"/>
  <c r="D17" i="2"/>
  <c r="M16" i="2"/>
  <c r="L16" i="2"/>
  <c r="K16" i="2"/>
  <c r="J16" i="2"/>
  <c r="I16" i="2"/>
  <c r="H16" i="2"/>
  <c r="G16" i="2"/>
  <c r="F16" i="2"/>
  <c r="E16" i="2"/>
  <c r="D16" i="2"/>
  <c r="M15" i="2"/>
  <c r="L15" i="2"/>
  <c r="K15" i="2"/>
  <c r="J15" i="2"/>
  <c r="I15" i="2"/>
  <c r="H15" i="2"/>
  <c r="G15" i="2"/>
  <c r="F15" i="2"/>
  <c r="E15" i="2"/>
  <c r="D15" i="2"/>
  <c r="M14" i="2"/>
  <c r="L14" i="2"/>
  <c r="K14" i="2"/>
  <c r="J14" i="2"/>
  <c r="I14" i="2"/>
  <c r="H14" i="2"/>
  <c r="G14" i="2"/>
  <c r="F14" i="2"/>
  <c r="E14" i="2"/>
  <c r="M23" i="1"/>
  <c r="L23" i="1"/>
  <c r="K23" i="1"/>
  <c r="J23" i="1"/>
  <c r="I23" i="1"/>
  <c r="H23" i="1"/>
  <c r="G23" i="1"/>
  <c r="F23" i="1"/>
  <c r="E23" i="1"/>
  <c r="M22" i="1"/>
  <c r="L22" i="1"/>
  <c r="K22" i="1"/>
  <c r="J22" i="1"/>
  <c r="I22" i="1"/>
  <c r="H22" i="1"/>
  <c r="G22" i="1"/>
  <c r="F22" i="1"/>
  <c r="E22" i="1"/>
  <c r="M21" i="1"/>
  <c r="L21" i="1"/>
  <c r="K21" i="1"/>
  <c r="J21" i="1"/>
  <c r="I21" i="1"/>
  <c r="H21" i="1"/>
  <c r="G21" i="1"/>
  <c r="F21" i="1"/>
  <c r="E21" i="1"/>
  <c r="M20" i="1"/>
  <c r="L20" i="1"/>
  <c r="K20" i="1"/>
  <c r="J20" i="1"/>
  <c r="I20" i="1"/>
  <c r="H20" i="1"/>
  <c r="G20" i="1"/>
  <c r="F20" i="1"/>
  <c r="E20" i="1"/>
  <c r="M19" i="1"/>
  <c r="L19" i="1"/>
  <c r="K19" i="1"/>
  <c r="J19" i="1"/>
  <c r="I19" i="1"/>
  <c r="H19" i="1"/>
  <c r="G19" i="1"/>
  <c r="F19" i="1"/>
  <c r="E19" i="1"/>
  <c r="M18" i="1"/>
  <c r="L18" i="1"/>
  <c r="K18" i="1"/>
  <c r="J18" i="1"/>
  <c r="I18" i="1"/>
  <c r="H18" i="1"/>
  <c r="G18" i="1"/>
  <c r="F18" i="1"/>
  <c r="E18" i="1"/>
  <c r="M17" i="1"/>
  <c r="L17" i="1"/>
  <c r="K17" i="1"/>
  <c r="J17" i="1"/>
  <c r="I17" i="1"/>
  <c r="H17" i="1"/>
  <c r="G17" i="1"/>
  <c r="F17" i="1"/>
  <c r="E17" i="1"/>
  <c r="M16" i="1"/>
  <c r="L16" i="1"/>
  <c r="K16" i="1"/>
  <c r="J16" i="1"/>
  <c r="I16" i="1"/>
  <c r="H16" i="1"/>
  <c r="G16" i="1"/>
  <c r="F16" i="1"/>
  <c r="E16" i="1"/>
  <c r="M15" i="1"/>
  <c r="L15" i="1"/>
  <c r="K15" i="1"/>
  <c r="J15" i="1"/>
  <c r="I15" i="1"/>
  <c r="H15" i="1"/>
  <c r="G15" i="1"/>
  <c r="F15" i="1"/>
  <c r="E15" i="1"/>
  <c r="M14" i="1"/>
  <c r="L14" i="1"/>
  <c r="K14" i="1"/>
  <c r="J14" i="1"/>
  <c r="I14" i="1"/>
  <c r="H14" i="1"/>
  <c r="G14" i="1"/>
  <c r="F14" i="1"/>
  <c r="E14" i="1"/>
  <c r="D23" i="1"/>
  <c r="D22" i="1"/>
  <c r="D21" i="1"/>
  <c r="D20" i="1"/>
  <c r="D19" i="1"/>
  <c r="D18" i="1"/>
  <c r="D17" i="1"/>
  <c r="D16" i="1"/>
  <c r="D15" i="1"/>
</calcChain>
</file>

<file path=xl/sharedStrings.xml><?xml version="1.0" encoding="utf-8"?>
<sst xmlns="http://schemas.openxmlformats.org/spreadsheetml/2006/main" count="125" uniqueCount="32">
  <si>
    <t>name</t>
  </si>
  <si>
    <t>database</t>
  </si>
  <si>
    <t>ammonia, BAU</t>
  </si>
  <si>
    <t>market for natural gas, high pressure</t>
  </si>
  <si>
    <t>heat production, natural gas, at industrial furnace &gt;100kW</t>
  </si>
  <si>
    <t>market group for electricity, high voltage</t>
  </si>
  <si>
    <t>market for nickel, class 1</t>
  </si>
  <si>
    <t>market for tap water</t>
  </si>
  <si>
    <t>market for solvent, organic</t>
  </si>
  <si>
    <t>market for chemical factory, organics</t>
  </si>
  <si>
    <t>market for municipal solid waste</t>
  </si>
  <si>
    <t>direct emissions</t>
  </si>
  <si>
    <t>lci-Abhi image SSP2-RCP6 2020</t>
  </si>
  <si>
    <t>lci-Abhi image SSP2-RCP6 2030</t>
  </si>
  <si>
    <t>lci-Abhi image SSP2-RCP6 2040</t>
  </si>
  <si>
    <t>lci-Abhi image SSP2-RCP6 2050</t>
  </si>
  <si>
    <t>lci-Abhi image SSP2-RCP19 2030</t>
  </si>
  <si>
    <t>lci-Abhi image SSP2-RCP19 2040</t>
  </si>
  <si>
    <t>lci-Abhi image SSP2-RCP19 2050</t>
  </si>
  <si>
    <t>lci-Abhi image SSP2-RCP26 2030</t>
  </si>
  <si>
    <t>lci-Abhi image SSP2-RCP26 2040</t>
  </si>
  <si>
    <t>lci-Abhi image SSP2-RCP26 2050</t>
  </si>
  <si>
    <t>ammonia, blue</t>
  </si>
  <si>
    <t>natural gas heating, with CCS</t>
  </si>
  <si>
    <t>carbon dioxide storage from natural gas, post, 200km pipeline, storage 1000m</t>
  </si>
  <si>
    <t>ammonia; hydrogen, PEM electrolysis, electricity onshore wind</t>
  </si>
  <si>
    <t>nitrogen gaseous, from cryogenic distillation, without compression</t>
  </si>
  <si>
    <t>ammonia synthesis catalyst</t>
  </si>
  <si>
    <t>treatment of inert waste, inert material landfill</t>
  </si>
  <si>
    <t>hydrogen production, gaseous, 200 bar, from PEM electrolysis, from onshore wind electricity</t>
  </si>
  <si>
    <t>ammonia; hydrogen, PEM electrolysis, electricity solar</t>
  </si>
  <si>
    <t>hydrogen production, gaseous, 200 bar, from PEM electrolysis, from solar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</si>
</sst>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3"/>
  <sheetViews>
    <sheetView tabSelected="1" topLeftCell="F1" workbookViewId="0">
      <selection activeCell="G18" sqref="G18"/>
    </sheetView>
  </sheetViews>
  <sheetFormatPr defaultRowHeight="15" x14ac:dyDescent="0.25"/>
  <cols>
    <col min="2" max="2" width="14.140625" bestFit="1" customWidth="1"/>
    <col min="3" max="3" width="29.42578125" bestFit="1" customWidth="1"/>
    <col min="4" max="4" width="14.28515625" bestFit="1" customWidth="1"/>
    <col min="5" max="5" width="34.140625" bestFit="1" customWidth="1"/>
    <col min="6" max="6" width="53.28515625" bestFit="1" customWidth="1"/>
    <col min="7" max="7" width="38" bestFit="1" customWidth="1"/>
    <col min="8" max="8" width="23" bestFit="1" customWidth="1"/>
    <col min="9" max="9" width="19.42578125" bestFit="1" customWidth="1"/>
    <col min="10" max="10" width="25.140625" bestFit="1" customWidth="1"/>
    <col min="11" max="11" width="34.28515625" bestFit="1" customWidth="1"/>
    <col min="12" max="12" width="30.5703125" bestFit="1" customWidth="1"/>
    <col min="13" max="13" width="15.5703125" bestFit="1" customWidth="1"/>
  </cols>
  <sheetData>
    <row r="1" spans="1:13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1">
        <v>0</v>
      </c>
      <c r="B2" t="s">
        <v>2</v>
      </c>
      <c r="C2" t="s">
        <v>12</v>
      </c>
      <c r="D2">
        <v>2.697755753143285</v>
      </c>
      <c r="E2">
        <v>0.1770046506426656</v>
      </c>
      <c r="F2">
        <v>0.99064130266724193</v>
      </c>
      <c r="G2">
        <v>3.3320285090918E-2</v>
      </c>
      <c r="H2">
        <v>7.1345225715862427E-3</v>
      </c>
      <c r="I2">
        <v>7.4265607576720616E-4</v>
      </c>
      <c r="J2">
        <v>2.3665583909211721E-5</v>
      </c>
      <c r="K2">
        <v>5.6053775798632431E-2</v>
      </c>
      <c r="L2">
        <v>2.3490479871325019E-4</v>
      </c>
      <c r="M2">
        <v>1.4325999899138511</v>
      </c>
    </row>
    <row r="3" spans="1:13" x14ac:dyDescent="0.25">
      <c r="A3" s="1">
        <v>1</v>
      </c>
      <c r="B3" t="s">
        <v>2</v>
      </c>
      <c r="C3" t="s">
        <v>13</v>
      </c>
      <c r="D3">
        <v>2.6872921381347878</v>
      </c>
      <c r="E3">
        <v>0.1753652466821185</v>
      </c>
      <c r="F3">
        <v>0.98767071193315781</v>
      </c>
      <c r="G3">
        <v>3.207727081048773E-2</v>
      </c>
      <c r="H3">
        <v>6.9508454068612233E-3</v>
      </c>
      <c r="I3">
        <v>6.7283227942340233E-4</v>
      </c>
      <c r="J3">
        <v>2.2927031875143031E-5</v>
      </c>
      <c r="K3">
        <v>5.1697534418294819E-2</v>
      </c>
      <c r="L3">
        <v>2.3477945273707671E-4</v>
      </c>
      <c r="M3">
        <v>1.4325999901198321</v>
      </c>
    </row>
    <row r="4" spans="1:13" x14ac:dyDescent="0.25">
      <c r="A4" s="1">
        <v>2</v>
      </c>
      <c r="B4" t="s">
        <v>2</v>
      </c>
      <c r="C4" t="s">
        <v>14</v>
      </c>
      <c r="D4">
        <v>2.6810848277237889</v>
      </c>
      <c r="E4">
        <v>0.17422970254303241</v>
      </c>
      <c r="F4">
        <v>0.98551319848389451</v>
      </c>
      <c r="G4">
        <v>3.041962716113816E-2</v>
      </c>
      <c r="H4">
        <v>6.725871138007343E-3</v>
      </c>
      <c r="I4">
        <v>6.4320793683234469E-4</v>
      </c>
      <c r="J4">
        <v>2.2389789617161501E-5</v>
      </c>
      <c r="K4">
        <v>5.0696276317818013E-2</v>
      </c>
      <c r="L4">
        <v>2.3456408713872539E-4</v>
      </c>
      <c r="M4">
        <v>1.4325999902663109</v>
      </c>
    </row>
    <row r="5" spans="1:13" x14ac:dyDescent="0.25">
      <c r="A5" s="1">
        <v>3</v>
      </c>
      <c r="B5" t="s">
        <v>2</v>
      </c>
      <c r="C5" t="s">
        <v>15</v>
      </c>
      <c r="D5">
        <v>2.6749031256758502</v>
      </c>
      <c r="E5">
        <v>0.17347749469097129</v>
      </c>
      <c r="F5">
        <v>0.98261840717324589</v>
      </c>
      <c r="G5">
        <v>2.7688725934404919E-2</v>
      </c>
      <c r="H5">
        <v>6.5971035347824961E-3</v>
      </c>
      <c r="I5">
        <v>5.8326034375753388E-4</v>
      </c>
      <c r="J5">
        <v>2.2210237843358821E-5</v>
      </c>
      <c r="K5">
        <v>5.1081451984414043E-2</v>
      </c>
      <c r="L5">
        <v>2.3448134129661121E-4</v>
      </c>
      <c r="M5">
        <v>1.4325999904351341</v>
      </c>
    </row>
    <row r="6" spans="1:13" x14ac:dyDescent="0.25">
      <c r="A6" s="1">
        <v>4</v>
      </c>
      <c r="B6" t="s">
        <v>2</v>
      </c>
      <c r="C6" t="s">
        <v>16</v>
      </c>
      <c r="D6">
        <v>2.6124498639415061</v>
      </c>
      <c r="E6">
        <v>0.16544878867935101</v>
      </c>
      <c r="F6">
        <v>0.96852728578944891</v>
      </c>
      <c r="G6">
        <v>8.8032165613517246E-3</v>
      </c>
      <c r="H6">
        <v>5.7557978277495217E-3</v>
      </c>
      <c r="I6">
        <v>2.5936645187853993E-4</v>
      </c>
      <c r="J6">
        <v>1.9702475823602832E-5</v>
      </c>
      <c r="K6">
        <v>3.08013885935732E-2</v>
      </c>
      <c r="L6">
        <v>2.3432578148600459E-4</v>
      </c>
      <c r="M6">
        <v>1.4325999917808441</v>
      </c>
    </row>
    <row r="7" spans="1:13" x14ac:dyDescent="0.25">
      <c r="A7" s="1">
        <v>5</v>
      </c>
      <c r="B7" t="s">
        <v>2</v>
      </c>
      <c r="C7" t="s">
        <v>17</v>
      </c>
      <c r="D7">
        <v>2.5901259341800289</v>
      </c>
      <c r="E7">
        <v>0.1615019614938295</v>
      </c>
      <c r="F7">
        <v>0.96253735852353484</v>
      </c>
      <c r="G7">
        <v>2.6649099531619348E-3</v>
      </c>
      <c r="H7">
        <v>5.1834958198386004E-3</v>
      </c>
      <c r="I7">
        <v>1.351527580920906E-4</v>
      </c>
      <c r="J7">
        <v>1.8377410143558981E-5</v>
      </c>
      <c r="K7">
        <v>2.525078206769123E-2</v>
      </c>
      <c r="L7">
        <v>2.339038671066825E-4</v>
      </c>
      <c r="M7">
        <v>1.4325999922866299</v>
      </c>
    </row>
    <row r="8" spans="1:13" x14ac:dyDescent="0.25">
      <c r="A8" s="1">
        <v>6</v>
      </c>
      <c r="B8" t="s">
        <v>2</v>
      </c>
      <c r="C8" t="s">
        <v>18</v>
      </c>
      <c r="D8">
        <v>2.581879576756648</v>
      </c>
      <c r="E8">
        <v>0.16004012172582929</v>
      </c>
      <c r="F8">
        <v>0.95949332243009011</v>
      </c>
      <c r="G8">
        <v>1.0087389446617359E-3</v>
      </c>
      <c r="H8">
        <v>4.9977591180342057E-3</v>
      </c>
      <c r="I8">
        <v>5.1417592039560293E-5</v>
      </c>
      <c r="J8">
        <v>1.784742985847452E-5</v>
      </c>
      <c r="K8">
        <v>2.343665449195834E-2</v>
      </c>
      <c r="L8">
        <v>2.337225489288062E-4</v>
      </c>
      <c r="M8">
        <v>1.4325999924752471</v>
      </c>
    </row>
    <row r="9" spans="1:13" x14ac:dyDescent="0.25">
      <c r="A9" s="1">
        <v>7</v>
      </c>
      <c r="B9" t="s">
        <v>2</v>
      </c>
      <c r="C9" t="s">
        <v>19</v>
      </c>
      <c r="D9">
        <v>2.6669387675541878</v>
      </c>
      <c r="E9">
        <v>0.17245978517376609</v>
      </c>
      <c r="F9">
        <v>0.98207511587961649</v>
      </c>
      <c r="G9">
        <v>2.602822705092948E-2</v>
      </c>
      <c r="H9">
        <v>6.5350040217610032E-3</v>
      </c>
      <c r="I9">
        <v>5.2314482886651873E-4</v>
      </c>
      <c r="J9">
        <v>2.211240974831636E-5</v>
      </c>
      <c r="K9">
        <v>4.6460753483856969E-2</v>
      </c>
      <c r="L9">
        <v>2.3463412956830799E-4</v>
      </c>
      <c r="M9">
        <v>1.4325999905760749</v>
      </c>
    </row>
    <row r="10" spans="1:13" x14ac:dyDescent="0.25">
      <c r="A10" s="1">
        <v>8</v>
      </c>
      <c r="B10" t="s">
        <v>2</v>
      </c>
      <c r="C10" t="s">
        <v>20</v>
      </c>
      <c r="D10">
        <v>2.6254736439863571</v>
      </c>
      <c r="E10">
        <v>0.16660936083701461</v>
      </c>
      <c r="F10">
        <v>0.97276593382813803</v>
      </c>
      <c r="G10">
        <v>1.1120619155727591E-2</v>
      </c>
      <c r="H10">
        <v>5.8478583277351984E-3</v>
      </c>
      <c r="I10">
        <v>3.0828910402233269E-4</v>
      </c>
      <c r="J10">
        <v>2.0158309407260649E-5</v>
      </c>
      <c r="K10">
        <v>3.5967191127295732E-2</v>
      </c>
      <c r="L10">
        <v>2.3424177420329329E-4</v>
      </c>
      <c r="M10">
        <v>1.4325999915228129</v>
      </c>
    </row>
    <row r="11" spans="1:13" x14ac:dyDescent="0.25">
      <c r="A11" s="1">
        <v>9</v>
      </c>
      <c r="B11" t="s">
        <v>2</v>
      </c>
      <c r="C11" t="s">
        <v>21</v>
      </c>
      <c r="D11">
        <v>2.5955168639584691</v>
      </c>
      <c r="E11">
        <v>0.16272980416796631</v>
      </c>
      <c r="F11">
        <v>0.96467258102660913</v>
      </c>
      <c r="G11">
        <v>1.9161124462686049E-3</v>
      </c>
      <c r="H11">
        <v>5.4193589707098606E-3</v>
      </c>
      <c r="I11">
        <v>1.9677177928808281E-4</v>
      </c>
      <c r="J11">
        <v>1.895508401788379E-5</v>
      </c>
      <c r="K11">
        <v>2.7729237586712571E-2</v>
      </c>
      <c r="L11">
        <v>2.3405070711397271E-4</v>
      </c>
      <c r="M11">
        <v>1.432599992189783</v>
      </c>
    </row>
    <row r="14" spans="1:13" x14ac:dyDescent="0.25">
      <c r="E14">
        <f>E2/$D2*100</f>
        <v>6.5611814722822475</v>
      </c>
      <c r="F14">
        <f t="shared" ref="F14:M14" si="0">F2/$D2*100</f>
        <v>36.720941156848539</v>
      </c>
      <c r="G14">
        <f t="shared" si="0"/>
        <v>1.2351112606133796</v>
      </c>
      <c r="H14">
        <f t="shared" si="0"/>
        <v>0.26446139771079968</v>
      </c>
      <c r="I14">
        <f t="shared" si="0"/>
        <v>2.752866247813212E-2</v>
      </c>
      <c r="J14">
        <f t="shared" si="0"/>
        <v>8.7723226543536459E-4</v>
      </c>
      <c r="K14">
        <f t="shared" si="0"/>
        <v>2.0777928370024412</v>
      </c>
      <c r="L14">
        <f t="shared" si="0"/>
        <v>8.7074153558768727E-3</v>
      </c>
      <c r="M14">
        <f t="shared" si="0"/>
        <v>53.103398565443136</v>
      </c>
    </row>
    <row r="15" spans="1:13" x14ac:dyDescent="0.25">
      <c r="D15">
        <f>($D$2-D3)/$D$2*100</f>
        <v>0.38786368989503472</v>
      </c>
      <c r="E15">
        <f t="shared" ref="E15:M15" si="1">E3/$D3*100</f>
        <v>6.5257232064034945</v>
      </c>
      <c r="F15">
        <f t="shared" si="1"/>
        <v>36.753380770082046</v>
      </c>
      <c r="G15">
        <f t="shared" si="1"/>
        <v>1.1936651901475854</v>
      </c>
      <c r="H15">
        <f t="shared" si="1"/>
        <v>0.25865611364775953</v>
      </c>
      <c r="I15">
        <f t="shared" si="1"/>
        <v>2.5037556202966674E-2</v>
      </c>
      <c r="J15">
        <f t="shared" si="1"/>
        <v>8.5316484760962258E-4</v>
      </c>
      <c r="K15">
        <f t="shared" si="1"/>
        <v>1.9237779802451012</v>
      </c>
      <c r="L15">
        <f t="shared" si="1"/>
        <v>8.7366553641627463E-3</v>
      </c>
      <c r="M15">
        <f t="shared" si="1"/>
        <v>53.310169363059266</v>
      </c>
    </row>
    <row r="16" spans="1:13" x14ac:dyDescent="0.25">
      <c r="D16">
        <f>($D$2-D4)/$D$2*100</f>
        <v>0.6179553282417064</v>
      </c>
      <c r="E16">
        <f t="shared" ref="E16:M16" si="2">E4/$D4*100</f>
        <v>6.4984778079905618</v>
      </c>
      <c r="F16">
        <f t="shared" si="2"/>
        <v>36.758001399030114</v>
      </c>
      <c r="G16">
        <f t="shared" si="2"/>
        <v>1.134601443661299</v>
      </c>
      <c r="H16">
        <f t="shared" si="2"/>
        <v>0.25086379470199505</v>
      </c>
      <c r="I16">
        <f t="shared" si="2"/>
        <v>2.399058508635182E-2</v>
      </c>
      <c r="J16">
        <f t="shared" si="2"/>
        <v>8.3510187315371815E-4</v>
      </c>
      <c r="K16">
        <f t="shared" si="2"/>
        <v>1.8908866960714028</v>
      </c>
      <c r="L16">
        <f t="shared" si="2"/>
        <v>8.7488498951324746E-3</v>
      </c>
      <c r="M16">
        <f t="shared" si="2"/>
        <v>53.433594321690016</v>
      </c>
    </row>
    <row r="17" spans="4:13" x14ac:dyDescent="0.25">
      <c r="D17">
        <f>($D$2-D5)/$D$2*100</f>
        <v>0.84709771968081526</v>
      </c>
      <c r="E17">
        <f t="shared" ref="E17:M17" si="3">E5/$D5*100</f>
        <v>6.4853748543562624</v>
      </c>
      <c r="F17">
        <f t="shared" si="3"/>
        <v>36.734728736203266</v>
      </c>
      <c r="G17">
        <f t="shared" si="3"/>
        <v>1.0351300452201979</v>
      </c>
      <c r="H17">
        <f t="shared" si="3"/>
        <v>0.24662962450708004</v>
      </c>
      <c r="I17">
        <f t="shared" si="3"/>
        <v>2.1804914658737979E-2</v>
      </c>
      <c r="J17">
        <f t="shared" si="3"/>
        <v>8.3031933493842339E-4</v>
      </c>
      <c r="K17">
        <f t="shared" si="3"/>
        <v>1.9096561476972227</v>
      </c>
      <c r="L17">
        <f t="shared" si="3"/>
        <v>8.7659750757278863E-3</v>
      </c>
      <c r="M17">
        <f t="shared" si="3"/>
        <v>53.557079382946569</v>
      </c>
    </row>
    <row r="18" spans="4:13" x14ac:dyDescent="0.25">
      <c r="D18">
        <f>($D$2-D6)/$D$2*100</f>
        <v>3.1621057281551472</v>
      </c>
      <c r="E18">
        <f t="shared" ref="E18:M18" si="4">E6/$D6*100</f>
        <v>6.3330895250074546</v>
      </c>
      <c r="F18">
        <f t="shared" si="4"/>
        <v>37.073526239014349</v>
      </c>
      <c r="G18">
        <f t="shared" si="4"/>
        <v>0.33697169399721855</v>
      </c>
      <c r="H18">
        <f t="shared" si="4"/>
        <v>0.22032184836135085</v>
      </c>
      <c r="I18">
        <f t="shared" si="4"/>
        <v>9.9280929926526332E-3</v>
      </c>
      <c r="J18">
        <f t="shared" si="4"/>
        <v>7.5417622728563786E-4</v>
      </c>
      <c r="K18">
        <f t="shared" si="4"/>
        <v>1.1790231467677597</v>
      </c>
      <c r="L18">
        <f t="shared" si="4"/>
        <v>8.96958003750809E-3</v>
      </c>
      <c r="M18">
        <f t="shared" si="4"/>
        <v>54.837415697594437</v>
      </c>
    </row>
    <row r="19" spans="4:13" x14ac:dyDescent="0.25">
      <c r="D19">
        <f>($D$2-D7)/$D$2*100</f>
        <v>3.9896057616725087</v>
      </c>
      <c r="E19">
        <f t="shared" ref="E19:M19" si="5">E7/$D7*100</f>
        <v>6.2352937887152233</v>
      </c>
      <c r="F19">
        <f t="shared" si="5"/>
        <v>37.161797649358348</v>
      </c>
      <c r="G19">
        <f t="shared" si="5"/>
        <v>0.1028872734717272</v>
      </c>
      <c r="H19">
        <f t="shared" si="5"/>
        <v>0.20012524300211565</v>
      </c>
      <c r="I19">
        <f t="shared" si="5"/>
        <v>5.2179994921705102E-3</v>
      </c>
      <c r="J19">
        <f t="shared" si="5"/>
        <v>7.095180161337145E-4</v>
      </c>
      <c r="K19">
        <f t="shared" si="5"/>
        <v>0.97488626844258119</v>
      </c>
      <c r="L19">
        <f t="shared" si="5"/>
        <v>9.0305982431209773E-3</v>
      </c>
      <c r="M19">
        <f t="shared" si="5"/>
        <v>55.310051661258562</v>
      </c>
    </row>
    <row r="20" spans="4:13" x14ac:dyDescent="0.25">
      <c r="D20">
        <f>($D$2-D8)/$D$2*100</f>
        <v>4.2952804845888677</v>
      </c>
      <c r="E20">
        <f t="shared" ref="E20:M20" si="6">E8/$D8*100</f>
        <v>6.1985897083113137</v>
      </c>
      <c r="F20">
        <f t="shared" si="6"/>
        <v>37.162590039749404</v>
      </c>
      <c r="G20">
        <f t="shared" si="6"/>
        <v>3.9069945544435956E-2</v>
      </c>
      <c r="H20">
        <f t="shared" si="6"/>
        <v>0.19357057405103226</v>
      </c>
      <c r="I20">
        <f t="shared" si="6"/>
        <v>1.9914790954019229E-3</v>
      </c>
      <c r="J20">
        <f t="shared" si="6"/>
        <v>6.9125725379083809E-4</v>
      </c>
      <c r="K20">
        <f t="shared" si="6"/>
        <v>0.90773615868635582</v>
      </c>
      <c r="L20">
        <f t="shared" si="6"/>
        <v>9.0524186733142685E-3</v>
      </c>
      <c r="M20">
        <f t="shared" si="6"/>
        <v>55.486708418634933</v>
      </c>
    </row>
    <row r="21" spans="4:13" x14ac:dyDescent="0.25">
      <c r="D21">
        <f>($D$2-D9)/$D$2*100</f>
        <v>1.1423193353657324</v>
      </c>
      <c r="E21">
        <f t="shared" ref="E21:M21" si="7">E9/$D9*100</f>
        <v>6.4665821079921733</v>
      </c>
      <c r="F21">
        <f t="shared" si="7"/>
        <v>36.824059398268965</v>
      </c>
      <c r="G21">
        <f t="shared" si="7"/>
        <v>0.9759589296757496</v>
      </c>
      <c r="H21">
        <f t="shared" si="7"/>
        <v>0.24503764770550632</v>
      </c>
      <c r="I21">
        <f t="shared" si="7"/>
        <v>1.9615929515557927E-2</v>
      </c>
      <c r="J21">
        <f t="shared" si="7"/>
        <v>8.2913076285569688E-4</v>
      </c>
      <c r="K21">
        <f t="shared" si="7"/>
        <v>1.7421004954855217</v>
      </c>
      <c r="L21">
        <f t="shared" si="7"/>
        <v>8.7978821419843721E-3</v>
      </c>
      <c r="M21">
        <f t="shared" si="7"/>
        <v>53.717018478451692</v>
      </c>
    </row>
    <row r="22" spans="4:13" x14ac:dyDescent="0.25">
      <c r="D22">
        <f>($D$2-D10)/$D$2*100</f>
        <v>2.6793422300261445</v>
      </c>
      <c r="E22">
        <f t="shared" ref="E22:M22" si="8">E10/$D10*100</f>
        <v>6.3458782463359729</v>
      </c>
      <c r="F22">
        <f t="shared" si="8"/>
        <v>37.051064521491455</v>
      </c>
      <c r="G22">
        <f t="shared" si="8"/>
        <v>0.42356620799448325</v>
      </c>
      <c r="H22">
        <f t="shared" si="8"/>
        <v>0.22273536590739382</v>
      </c>
      <c r="I22">
        <f t="shared" si="8"/>
        <v>1.1742228101526303E-2</v>
      </c>
      <c r="J22">
        <f t="shared" si="8"/>
        <v>7.6779705838728271E-4</v>
      </c>
      <c r="K22">
        <f t="shared" si="8"/>
        <v>1.3699315249146959</v>
      </c>
      <c r="L22">
        <f t="shared" si="8"/>
        <v>8.921886332388964E-3</v>
      </c>
      <c r="M22">
        <f t="shared" si="8"/>
        <v>54.565392221863696</v>
      </c>
    </row>
    <row r="23" spans="4:13" x14ac:dyDescent="0.25">
      <c r="D23">
        <f>($D$2-D11)/$D$2*100</f>
        <v>3.7897755964635564</v>
      </c>
      <c r="E23">
        <f t="shared" ref="E23:M23" si="9">E11/$D11*100</f>
        <v>6.2696492720831012</v>
      </c>
      <c r="F23">
        <f t="shared" si="9"/>
        <v>37.166877796947531</v>
      </c>
      <c r="G23">
        <f t="shared" si="9"/>
        <v>7.3823925896066331E-2</v>
      </c>
      <c r="H23">
        <f t="shared" si="9"/>
        <v>0.20879690846796117</v>
      </c>
      <c r="I23">
        <f t="shared" si="9"/>
        <v>7.5812175224314535E-3</v>
      </c>
      <c r="J23">
        <f t="shared" si="9"/>
        <v>7.3030093855660995E-4</v>
      </c>
      <c r="K23">
        <f t="shared" si="9"/>
        <v>1.0683512779964071</v>
      </c>
      <c r="L23">
        <f t="shared" si="9"/>
        <v>9.0174989946710579E-3</v>
      </c>
      <c r="M23">
        <f t="shared" si="9"/>
        <v>55.195171801153286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3"/>
  <sheetViews>
    <sheetView workbookViewId="0">
      <selection activeCell="D19" sqref="D19"/>
    </sheetView>
  </sheetViews>
  <sheetFormatPr defaultRowHeight="15" x14ac:dyDescent="0.25"/>
  <sheetData>
    <row r="1" spans="1:14" x14ac:dyDescent="0.25">
      <c r="B1" s="1" t="s">
        <v>0</v>
      </c>
      <c r="C1" s="1" t="s">
        <v>1</v>
      </c>
      <c r="D1" s="1" t="s">
        <v>22</v>
      </c>
      <c r="E1" s="1" t="s">
        <v>3</v>
      </c>
      <c r="F1" s="1" t="s">
        <v>23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24</v>
      </c>
      <c r="N1" s="1" t="s">
        <v>11</v>
      </c>
    </row>
    <row r="2" spans="1:14" x14ac:dyDescent="0.25">
      <c r="A2" s="1">
        <v>0</v>
      </c>
      <c r="B2" t="s">
        <v>22</v>
      </c>
      <c r="C2" t="s">
        <v>12</v>
      </c>
      <c r="D2">
        <v>0.83187953859087282</v>
      </c>
      <c r="E2">
        <v>0.1770046506426656</v>
      </c>
      <c r="F2">
        <v>0.40508181337889337</v>
      </c>
      <c r="G2">
        <v>3.3320285090918E-2</v>
      </c>
      <c r="H2">
        <v>7.1345225715862427E-3</v>
      </c>
      <c r="I2">
        <v>7.4265607576720616E-4</v>
      </c>
      <c r="J2">
        <v>2.3665583909211721E-5</v>
      </c>
      <c r="K2">
        <v>5.6053775798632431E-2</v>
      </c>
      <c r="L2">
        <v>2.3490479871325019E-4</v>
      </c>
      <c r="M2">
        <v>8.5832782672451372E-3</v>
      </c>
      <c r="N2">
        <v>0.14369998638254231</v>
      </c>
    </row>
    <row r="3" spans="1:14" x14ac:dyDescent="0.25">
      <c r="A3" s="1">
        <v>1</v>
      </c>
      <c r="B3" t="s">
        <v>22</v>
      </c>
      <c r="C3" t="s">
        <v>13</v>
      </c>
      <c r="D3">
        <v>0.81524804535974049</v>
      </c>
      <c r="E3">
        <v>0.1753652466821185</v>
      </c>
      <c r="F3">
        <v>0.39626811694351388</v>
      </c>
      <c r="G3">
        <v>3.207727081048773E-2</v>
      </c>
      <c r="H3">
        <v>6.9508454068612233E-3</v>
      </c>
      <c r="I3">
        <v>6.7283227942340233E-4</v>
      </c>
      <c r="J3">
        <v>2.2927031875143031E-5</v>
      </c>
      <c r="K3">
        <v>5.1697534418294819E-2</v>
      </c>
      <c r="L3">
        <v>2.3477945273707671E-4</v>
      </c>
      <c r="M3">
        <v>8.2585056097874369E-3</v>
      </c>
      <c r="N3">
        <v>0.14369998672464129</v>
      </c>
    </row>
    <row r="4" spans="1:14" x14ac:dyDescent="0.25">
      <c r="A4" s="1">
        <v>2</v>
      </c>
      <c r="B4" t="s">
        <v>22</v>
      </c>
      <c r="C4" t="s">
        <v>14</v>
      </c>
      <c r="D4">
        <v>0.79971848754299713</v>
      </c>
      <c r="E4">
        <v>0.17422970254303241</v>
      </c>
      <c r="F4">
        <v>0.38522392201520722</v>
      </c>
      <c r="G4">
        <v>3.041962716113816E-2</v>
      </c>
      <c r="H4">
        <v>6.725871138007343E-3</v>
      </c>
      <c r="I4">
        <v>6.4320793683234469E-4</v>
      </c>
      <c r="J4">
        <v>2.2389789617161501E-5</v>
      </c>
      <c r="K4">
        <v>5.0696276317818013E-2</v>
      </c>
      <c r="L4">
        <v>2.3456408713872539E-4</v>
      </c>
      <c r="M4">
        <v>7.8229394752605281E-3</v>
      </c>
      <c r="N4">
        <v>0.14369998707894521</v>
      </c>
    </row>
    <row r="5" spans="1:14" x14ac:dyDescent="0.25">
      <c r="A5" s="1">
        <v>3</v>
      </c>
      <c r="B5" t="s">
        <v>22</v>
      </c>
      <c r="C5" t="s">
        <v>15</v>
      </c>
      <c r="D5">
        <v>0.77824629019720315</v>
      </c>
      <c r="E5">
        <v>0.17347749469097129</v>
      </c>
      <c r="F5">
        <v>0.36773935943874619</v>
      </c>
      <c r="G5">
        <v>2.7688725934404919E-2</v>
      </c>
      <c r="H5">
        <v>6.5971035347824961E-3</v>
      </c>
      <c r="I5">
        <v>5.8326034375753388E-4</v>
      </c>
      <c r="J5">
        <v>2.2210237843358821E-5</v>
      </c>
      <c r="K5">
        <v>5.1081451984414043E-2</v>
      </c>
      <c r="L5">
        <v>2.3448134129661121E-4</v>
      </c>
      <c r="M5">
        <v>7.1222151018196138E-3</v>
      </c>
      <c r="N5">
        <v>0.14369998758916691</v>
      </c>
    </row>
    <row r="6" spans="1:14" x14ac:dyDescent="0.25">
      <c r="A6" s="1">
        <v>4</v>
      </c>
      <c r="B6" t="s">
        <v>22</v>
      </c>
      <c r="C6" t="s">
        <v>16</v>
      </c>
      <c r="D6">
        <v>0.60380099907699103</v>
      </c>
      <c r="E6">
        <v>0.16544878867935101</v>
      </c>
      <c r="F6">
        <v>0.2464748778604279</v>
      </c>
      <c r="G6">
        <v>8.8032165613517246E-3</v>
      </c>
      <c r="H6">
        <v>5.7557978277495217E-3</v>
      </c>
      <c r="I6">
        <v>2.5936645187853993E-4</v>
      </c>
      <c r="J6">
        <v>1.9702475823602832E-5</v>
      </c>
      <c r="K6">
        <v>3.08013885935732E-2</v>
      </c>
      <c r="L6">
        <v>2.3432578148600459E-4</v>
      </c>
      <c r="M6">
        <v>2.303543398138431E-3</v>
      </c>
      <c r="N6">
        <v>0.1436999914472111</v>
      </c>
    </row>
    <row r="7" spans="1:14" x14ac:dyDescent="0.25">
      <c r="A7" s="1">
        <v>5</v>
      </c>
      <c r="B7" t="s">
        <v>22</v>
      </c>
      <c r="C7" t="s">
        <v>17</v>
      </c>
      <c r="D7">
        <v>0.54562710420856886</v>
      </c>
      <c r="E7">
        <v>0.1615019614938295</v>
      </c>
      <c r="F7">
        <v>0.20623241085502211</v>
      </c>
      <c r="G7">
        <v>2.6649099531619348E-3</v>
      </c>
      <c r="H7">
        <v>5.1834958198386004E-3</v>
      </c>
      <c r="I7">
        <v>1.351527580920906E-4</v>
      </c>
      <c r="J7">
        <v>1.8377410143558981E-5</v>
      </c>
      <c r="K7">
        <v>2.525078206769123E-2</v>
      </c>
      <c r="L7">
        <v>2.339038671066825E-4</v>
      </c>
      <c r="M7">
        <v>7.0611722853358456E-4</v>
      </c>
      <c r="N7">
        <v>0.14369999275514961</v>
      </c>
    </row>
    <row r="8" spans="1:14" x14ac:dyDescent="0.25">
      <c r="A8" s="1">
        <v>6</v>
      </c>
      <c r="B8" t="s">
        <v>22</v>
      </c>
      <c r="C8" t="s">
        <v>18</v>
      </c>
      <c r="D8">
        <v>0.52891413909471952</v>
      </c>
      <c r="E8">
        <v>0.16004012172582929</v>
      </c>
      <c r="F8">
        <v>0.1951676369497102</v>
      </c>
      <c r="G8">
        <v>1.0087389446617359E-3</v>
      </c>
      <c r="H8">
        <v>4.9977591180342057E-3</v>
      </c>
      <c r="I8">
        <v>5.1417592039560293E-5</v>
      </c>
      <c r="J8">
        <v>1.784742985847452E-5</v>
      </c>
      <c r="K8">
        <v>2.343665449195834E-2</v>
      </c>
      <c r="L8">
        <v>2.337225489288062E-4</v>
      </c>
      <c r="M8">
        <v>2.6024716308735668E-4</v>
      </c>
      <c r="N8">
        <v>0.14369999313061149</v>
      </c>
    </row>
    <row r="9" spans="1:14" x14ac:dyDescent="0.25">
      <c r="A9" s="1">
        <v>7</v>
      </c>
      <c r="B9" t="s">
        <v>22</v>
      </c>
      <c r="C9" t="s">
        <v>19</v>
      </c>
      <c r="D9">
        <v>0.75945350335203443</v>
      </c>
      <c r="E9">
        <v>0.17245978517376609</v>
      </c>
      <c r="F9">
        <v>0.3567839592542621</v>
      </c>
      <c r="G9">
        <v>2.602822705092948E-2</v>
      </c>
      <c r="H9">
        <v>6.5350040217610032E-3</v>
      </c>
      <c r="I9">
        <v>5.2314482886651873E-4</v>
      </c>
      <c r="J9">
        <v>2.211240974831636E-5</v>
      </c>
      <c r="K9">
        <v>4.6460753483856969E-2</v>
      </c>
      <c r="L9">
        <v>2.3463412956830799E-4</v>
      </c>
      <c r="M9">
        <v>6.7058950243798626E-3</v>
      </c>
      <c r="N9">
        <v>0.14369998797489569</v>
      </c>
    </row>
    <row r="10" spans="1:14" x14ac:dyDescent="0.25">
      <c r="A10" s="1">
        <v>8</v>
      </c>
      <c r="B10" t="s">
        <v>22</v>
      </c>
      <c r="C10" t="s">
        <v>20</v>
      </c>
      <c r="D10">
        <v>0.62809422247219182</v>
      </c>
      <c r="E10">
        <v>0.16660936083701461</v>
      </c>
      <c r="F10">
        <v>0.26139196965819628</v>
      </c>
      <c r="G10">
        <v>1.1120619155727591E-2</v>
      </c>
      <c r="H10">
        <v>5.8478583277351984E-3</v>
      </c>
      <c r="I10">
        <v>3.0828910402233269E-4</v>
      </c>
      <c r="J10">
        <v>2.0158309407260649E-5</v>
      </c>
      <c r="K10">
        <v>3.5967191127295732E-2</v>
      </c>
      <c r="L10">
        <v>2.3424177420329329E-4</v>
      </c>
      <c r="M10">
        <v>2.8945432382055198E-3</v>
      </c>
      <c r="N10">
        <v>0.14369999094038399</v>
      </c>
    </row>
    <row r="11" spans="1:14" x14ac:dyDescent="0.25">
      <c r="A11" s="1">
        <v>9</v>
      </c>
      <c r="B11" t="s">
        <v>22</v>
      </c>
      <c r="C11" t="s">
        <v>21</v>
      </c>
      <c r="D11">
        <v>0.54502595451390135</v>
      </c>
      <c r="E11">
        <v>0.16272980416796631</v>
      </c>
      <c r="F11">
        <v>0.20252844099673609</v>
      </c>
      <c r="G11">
        <v>1.9161124462686049E-3</v>
      </c>
      <c r="H11">
        <v>5.4193589707098606E-3</v>
      </c>
      <c r="I11">
        <v>1.9677177928808281E-4</v>
      </c>
      <c r="J11">
        <v>1.895508401788379E-5</v>
      </c>
      <c r="K11">
        <v>2.7729237586712571E-2</v>
      </c>
      <c r="L11">
        <v>2.3405070711397271E-4</v>
      </c>
      <c r="M11">
        <v>5.5322997839469569E-4</v>
      </c>
      <c r="N11">
        <v>0.14369999279669329</v>
      </c>
    </row>
    <row r="14" spans="1:14" x14ac:dyDescent="0.25">
      <c r="E14">
        <f>E2/$D2*100</f>
        <v>21.277678129034783</v>
      </c>
      <c r="F14">
        <f t="shared" ref="F14:M14" si="0">F2/$D2*100</f>
        <v>48.694768243135847</v>
      </c>
      <c r="G14">
        <f t="shared" si="0"/>
        <v>4.0054218844424865</v>
      </c>
      <c r="H14">
        <f t="shared" si="0"/>
        <v>0.85763890570880796</v>
      </c>
      <c r="I14">
        <f t="shared" si="0"/>
        <v>8.9274473203800275E-2</v>
      </c>
      <c r="J14">
        <f t="shared" si="0"/>
        <v>2.8448330330733988E-3</v>
      </c>
      <c r="K14">
        <f t="shared" si="0"/>
        <v>6.7382082619296488</v>
      </c>
      <c r="L14">
        <f t="shared" si="0"/>
        <v>2.8237838270569467E-2</v>
      </c>
      <c r="M14">
        <f t="shared" si="0"/>
        <v>1.0317934110730045</v>
      </c>
    </row>
    <row r="15" spans="1:14" x14ac:dyDescent="0.25">
      <c r="D15">
        <f>($D$2-D3)/$D$2*100</f>
        <v>1.9992670163885204</v>
      </c>
      <c r="E15">
        <f t="shared" ref="E15:M23" si="1">E3/$D3*100</f>
        <v>21.510661409158725</v>
      </c>
      <c r="F15">
        <f t="shared" si="1"/>
        <v>48.607061274051212</v>
      </c>
      <c r="G15">
        <f t="shared" si="1"/>
        <v>3.934663933641589</v>
      </c>
      <c r="H15">
        <f t="shared" si="1"/>
        <v>0.85260497666008606</v>
      </c>
      <c r="I15">
        <f t="shared" si="1"/>
        <v>8.2530989586918291E-2</v>
      </c>
      <c r="J15">
        <f t="shared" si="1"/>
        <v>2.8122768285848672E-3</v>
      </c>
      <c r="K15">
        <f t="shared" si="1"/>
        <v>6.3413257734929616</v>
      </c>
      <c r="L15">
        <f t="shared" si="1"/>
        <v>2.8798529977888718E-2</v>
      </c>
      <c r="M15">
        <f t="shared" si="1"/>
        <v>1.0130052634647222</v>
      </c>
    </row>
    <row r="16" spans="1:14" x14ac:dyDescent="0.25">
      <c r="D16">
        <f>($D$2-D4)/$D$2*100</f>
        <v>3.866070693643163</v>
      </c>
      <c r="E16">
        <f t="shared" si="1"/>
        <v>21.786379239315121</v>
      </c>
      <c r="F16">
        <f t="shared" si="1"/>
        <v>48.169940799886227</v>
      </c>
      <c r="G16">
        <f t="shared" si="1"/>
        <v>3.8037919136516947</v>
      </c>
      <c r="H16">
        <f t="shared" si="1"/>
        <v>0.84102984272271497</v>
      </c>
      <c r="I16">
        <f t="shared" si="1"/>
        <v>8.0429294414400096E-2</v>
      </c>
      <c r="J16">
        <f t="shared" si="1"/>
        <v>2.7997088933069971E-3</v>
      </c>
      <c r="K16">
        <f t="shared" si="1"/>
        <v>6.3392652674035261</v>
      </c>
      <c r="L16">
        <f t="shared" si="1"/>
        <v>2.9330832135616221E-2</v>
      </c>
      <c r="M16">
        <f t="shared" si="1"/>
        <v>0.97821165786665965</v>
      </c>
    </row>
    <row r="17" spans="4:13" x14ac:dyDescent="0.25">
      <c r="D17">
        <f>($D$2-D5)/$D$2*100</f>
        <v>6.4472373589714032</v>
      </c>
      <c r="E17">
        <f t="shared" si="1"/>
        <v>22.290821925667398</v>
      </c>
      <c r="F17">
        <f t="shared" si="1"/>
        <v>47.252311263258726</v>
      </c>
      <c r="G17">
        <f t="shared" si="1"/>
        <v>3.5578359040283702</v>
      </c>
      <c r="H17">
        <f t="shared" si="1"/>
        <v>0.84768840120147926</v>
      </c>
      <c r="I17">
        <f t="shared" si="1"/>
        <v>7.4945470489777608E-2</v>
      </c>
      <c r="J17">
        <f t="shared" si="1"/>
        <v>2.8538829061081515E-3</v>
      </c>
      <c r="K17">
        <f t="shared" si="1"/>
        <v>6.563661481954548</v>
      </c>
      <c r="L17">
        <f t="shared" si="1"/>
        <v>3.0129451852214419E-2</v>
      </c>
      <c r="M17">
        <f t="shared" si="1"/>
        <v>0.91516210119226971</v>
      </c>
    </row>
    <row r="18" spans="4:13" x14ac:dyDescent="0.25">
      <c r="D18">
        <f>($D$2-D6)/$D$2*100</f>
        <v>27.417255616146758</v>
      </c>
      <c r="E18">
        <f t="shared" si="1"/>
        <v>27.40121148064787</v>
      </c>
      <c r="F18">
        <f t="shared" si="1"/>
        <v>40.820548200020404</v>
      </c>
      <c r="G18">
        <f t="shared" si="1"/>
        <v>1.4579665444093148</v>
      </c>
      <c r="H18">
        <f t="shared" si="1"/>
        <v>0.95326073268315292</v>
      </c>
      <c r="I18">
        <f t="shared" si="1"/>
        <v>4.2955618204511777E-2</v>
      </c>
      <c r="J18">
        <f t="shared" si="1"/>
        <v>3.2630743993006476E-3</v>
      </c>
      <c r="K18">
        <f t="shared" si="1"/>
        <v>5.1012483650504352</v>
      </c>
      <c r="L18">
        <f t="shared" si="1"/>
        <v>3.8808445471970071E-2</v>
      </c>
      <c r="M18">
        <f t="shared" si="1"/>
        <v>0.38150705309527072</v>
      </c>
    </row>
    <row r="19" spans="4:13" x14ac:dyDescent="0.25">
      <c r="D19">
        <f>($D$2-D7)/$D$2*100</f>
        <v>34.4103227814918</v>
      </c>
      <c r="E19">
        <f t="shared" si="1"/>
        <v>29.599328964437682</v>
      </c>
      <c r="F19">
        <f t="shared" si="1"/>
        <v>37.797317850285658</v>
      </c>
      <c r="G19">
        <f t="shared" si="1"/>
        <v>0.48841231174308719</v>
      </c>
      <c r="H19">
        <f t="shared" si="1"/>
        <v>0.95000702491809896</v>
      </c>
      <c r="I19">
        <f t="shared" si="1"/>
        <v>2.4770169416002425E-2</v>
      </c>
      <c r="J19">
        <f t="shared" si="1"/>
        <v>3.3681263269014802E-3</v>
      </c>
      <c r="K19">
        <f t="shared" si="1"/>
        <v>4.6278459909570371</v>
      </c>
      <c r="L19">
        <f t="shared" si="1"/>
        <v>4.2868813756230022E-2</v>
      </c>
      <c r="M19">
        <f t="shared" si="1"/>
        <v>0.12941388415038624</v>
      </c>
    </row>
    <row r="20" spans="4:13" x14ac:dyDescent="0.25">
      <c r="D20">
        <f>($D$2-D8)/$D$2*100</f>
        <v>36.419383509462051</v>
      </c>
      <c r="E20">
        <f t="shared" si="1"/>
        <v>30.258242292359828</v>
      </c>
      <c r="F20">
        <f t="shared" si="1"/>
        <v>36.899682296970887</v>
      </c>
      <c r="G20">
        <f t="shared" si="1"/>
        <v>0.19071884642529624</v>
      </c>
      <c r="H20">
        <f t="shared" si="1"/>
        <v>0.94490934324204034</v>
      </c>
      <c r="I20">
        <f t="shared" si="1"/>
        <v>9.7213495043951305E-3</v>
      </c>
      <c r="J20">
        <f t="shared" si="1"/>
        <v>3.374352950560535E-3</v>
      </c>
      <c r="K20">
        <f t="shared" si="1"/>
        <v>4.431088670095324</v>
      </c>
      <c r="L20">
        <f t="shared" si="1"/>
        <v>4.4189128566092369E-2</v>
      </c>
      <c r="M20">
        <f t="shared" si="1"/>
        <v>4.9204047283135849E-2</v>
      </c>
    </row>
    <row r="21" spans="4:13" x14ac:dyDescent="0.25">
      <c r="D21">
        <f>($D$2-D9)/$D$2*100</f>
        <v>8.7063128588931775</v>
      </c>
      <c r="E21">
        <f t="shared" si="1"/>
        <v>22.708406033097813</v>
      </c>
      <c r="F21">
        <f t="shared" si="1"/>
        <v>46.979039227485096</v>
      </c>
      <c r="G21">
        <f t="shared" si="1"/>
        <v>3.4272311518805969</v>
      </c>
      <c r="H21">
        <f t="shared" si="1"/>
        <v>0.86048770502962446</v>
      </c>
      <c r="I21">
        <f t="shared" si="1"/>
        <v>6.8884378906343927E-2</v>
      </c>
      <c r="J21">
        <f t="shared" si="1"/>
        <v>2.9116212711795797E-3</v>
      </c>
      <c r="K21">
        <f t="shared" si="1"/>
        <v>6.1176560880674105</v>
      </c>
      <c r="L21">
        <f t="shared" si="1"/>
        <v>3.0895127684933004E-2</v>
      </c>
      <c r="M21">
        <f t="shared" si="1"/>
        <v>0.88298954376821603</v>
      </c>
    </row>
    <row r="22" spans="4:13" x14ac:dyDescent="0.25">
      <c r="D22">
        <f>($D$2-D10)/$D$2*100</f>
        <v>24.496974221036201</v>
      </c>
      <c r="E22">
        <f t="shared" si="1"/>
        <v>26.526173124350155</v>
      </c>
      <c r="F22">
        <f t="shared" si="1"/>
        <v>41.616681113440606</v>
      </c>
      <c r="G22">
        <f t="shared" si="1"/>
        <v>1.7705335852249371</v>
      </c>
      <c r="H22">
        <f t="shared" si="1"/>
        <v>0.93104794129739121</v>
      </c>
      <c r="I22">
        <f t="shared" si="1"/>
        <v>4.9083257414612155E-2</v>
      </c>
      <c r="J22">
        <f t="shared" si="1"/>
        <v>3.2094403492388653E-3</v>
      </c>
      <c r="K22">
        <f t="shared" si="1"/>
        <v>5.7264005686484625</v>
      </c>
      <c r="L22">
        <f t="shared" si="1"/>
        <v>3.729405013173228E-2</v>
      </c>
      <c r="M22">
        <f t="shared" si="1"/>
        <v>0.46084538507813971</v>
      </c>
    </row>
    <row r="23" spans="4:13" x14ac:dyDescent="0.25">
      <c r="D23">
        <f>($D$2-D11)/$D$2*100</f>
        <v>34.482586813335374</v>
      </c>
      <c r="E23">
        <f t="shared" si="1"/>
        <v>29.857257772815981</v>
      </c>
      <c r="F23">
        <f t="shared" si="1"/>
        <v>37.159412193015193</v>
      </c>
      <c r="G23">
        <f t="shared" si="1"/>
        <v>0.3515635228743465</v>
      </c>
      <c r="H23">
        <f t="shared" si="1"/>
        <v>0.99433043983075764</v>
      </c>
      <c r="I23">
        <f t="shared" si="1"/>
        <v>3.6103194289816891E-2</v>
      </c>
      <c r="J23">
        <f t="shared" si="1"/>
        <v>3.4778314428694471E-3</v>
      </c>
      <c r="K23">
        <f t="shared" si="1"/>
        <v>5.0876912112275043</v>
      </c>
      <c r="L23">
        <f t="shared" si="1"/>
        <v>4.2943038799449149E-2</v>
      </c>
      <c r="M23">
        <f t="shared" si="1"/>
        <v>0.10150525379807121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workbookViewId="0">
      <selection activeCell="H33" sqref="H33"/>
    </sheetView>
  </sheetViews>
  <sheetFormatPr defaultRowHeight="15" x14ac:dyDescent="0.25"/>
  <sheetData>
    <row r="1" spans="1:11" x14ac:dyDescent="0.25">
      <c r="B1" s="1" t="s">
        <v>0</v>
      </c>
      <c r="C1" s="1" t="s">
        <v>1</v>
      </c>
      <c r="D1" s="1" t="s">
        <v>25</v>
      </c>
      <c r="E1" s="1" t="s">
        <v>26</v>
      </c>
      <c r="F1" s="1" t="s">
        <v>27</v>
      </c>
      <c r="G1" s="1" t="s">
        <v>9</v>
      </c>
      <c r="H1" s="1" t="s">
        <v>5</v>
      </c>
      <c r="I1" s="1" t="s">
        <v>28</v>
      </c>
      <c r="J1" s="1" t="s">
        <v>29</v>
      </c>
      <c r="K1" s="1" t="s">
        <v>11</v>
      </c>
    </row>
    <row r="2" spans="1:11" x14ac:dyDescent="0.25">
      <c r="A2" s="1">
        <v>0</v>
      </c>
      <c r="B2" t="s">
        <v>25</v>
      </c>
      <c r="C2" t="s">
        <v>12</v>
      </c>
      <c r="D2">
        <v>0.85375564711232865</v>
      </c>
      <c r="E2">
        <v>3.0923618733686022E-4</v>
      </c>
      <c r="F2">
        <v>1.2745865810924321E-4</v>
      </c>
      <c r="G2">
        <v>4.634287500342419E-2</v>
      </c>
      <c r="H2">
        <v>0.37630156220649957</v>
      </c>
      <c r="I2">
        <v>2.87180036450661E-7</v>
      </c>
      <c r="J2">
        <v>0.42223723467778351</v>
      </c>
      <c r="K2">
        <v>8.4369931991388203E-3</v>
      </c>
    </row>
    <row r="3" spans="1:11" x14ac:dyDescent="0.25">
      <c r="A3" s="1">
        <v>1</v>
      </c>
      <c r="B3" t="s">
        <v>25</v>
      </c>
      <c r="C3" t="s">
        <v>13</v>
      </c>
      <c r="D3">
        <v>0.79258943837661888</v>
      </c>
      <c r="E3">
        <v>2.8788843786415859E-4</v>
      </c>
      <c r="F3">
        <v>1.211983546970561E-4</v>
      </c>
      <c r="G3">
        <v>4.274132012335749E-2</v>
      </c>
      <c r="H3">
        <v>0.36226362062543049</v>
      </c>
      <c r="I3">
        <v>2.6583052547515779E-7</v>
      </c>
      <c r="J3">
        <v>0.37873815135888972</v>
      </c>
      <c r="K3">
        <v>8.4369936458544847E-3</v>
      </c>
    </row>
    <row r="4" spans="1:11" x14ac:dyDescent="0.25">
      <c r="A4" s="1">
        <v>2</v>
      </c>
      <c r="B4" t="s">
        <v>25</v>
      </c>
      <c r="C4" t="s">
        <v>14</v>
      </c>
      <c r="D4">
        <v>0.7358395778613146</v>
      </c>
      <c r="E4">
        <v>2.8130577920459059E-4</v>
      </c>
      <c r="F4">
        <v>1.165917847242302E-4</v>
      </c>
      <c r="G4">
        <v>4.1913522560473322E-2</v>
      </c>
      <c r="H4">
        <v>0.34354307567421188</v>
      </c>
      <c r="I4">
        <v>2.2869272424252599E-7</v>
      </c>
      <c r="J4">
        <v>0.34154785931471282</v>
      </c>
      <c r="K4">
        <v>8.436994055263547E-3</v>
      </c>
    </row>
    <row r="5" spans="1:11" x14ac:dyDescent="0.25">
      <c r="A5" s="1">
        <v>3</v>
      </c>
      <c r="B5" t="s">
        <v>25</v>
      </c>
      <c r="C5" t="s">
        <v>15</v>
      </c>
      <c r="D5">
        <v>0.69764693455946902</v>
      </c>
      <c r="E5">
        <v>2.7553966771225451E-4</v>
      </c>
      <c r="F5">
        <v>1.0942724609162471E-4</v>
      </c>
      <c r="G5">
        <v>4.2231969400442652E-2</v>
      </c>
      <c r="H5">
        <v>0.31270173097841097</v>
      </c>
      <c r="I5">
        <v>2.075700053810011E-7</v>
      </c>
      <c r="J5">
        <v>0.33389106528867851</v>
      </c>
      <c r="K5">
        <v>8.4369944081276183E-3</v>
      </c>
    </row>
    <row r="6" spans="1:11" x14ac:dyDescent="0.25">
      <c r="A6" s="1">
        <v>4</v>
      </c>
      <c r="B6" t="s">
        <v>25</v>
      </c>
      <c r="C6" t="s">
        <v>16</v>
      </c>
      <c r="D6">
        <v>0.40426805126189219</v>
      </c>
      <c r="E6">
        <v>1.6151587637629709E-4</v>
      </c>
      <c r="F6">
        <v>4.9552669869518852E-5</v>
      </c>
      <c r="G6">
        <v>2.5465276534657411E-2</v>
      </c>
      <c r="H6">
        <v>9.9418841568726657E-2</v>
      </c>
      <c r="I6">
        <v>1.676303901886784E-7</v>
      </c>
      <c r="J6">
        <v>0.27073569972738992</v>
      </c>
      <c r="K6">
        <v>8.4369972544822147E-3</v>
      </c>
    </row>
    <row r="7" spans="1:11" x14ac:dyDescent="0.25">
      <c r="A7" s="1">
        <v>5</v>
      </c>
      <c r="B7" t="s">
        <v>25</v>
      </c>
      <c r="C7" t="s">
        <v>17</v>
      </c>
      <c r="D7">
        <v>0.27693551200412181</v>
      </c>
      <c r="E7">
        <v>1.3272553740275339E-4</v>
      </c>
      <c r="F7">
        <v>3.1291180515734362E-5</v>
      </c>
      <c r="G7">
        <v>2.0876271409539401E-2</v>
      </c>
      <c r="H7">
        <v>3.0096074381663181E-2</v>
      </c>
      <c r="I7">
        <v>7.9795815280314065E-8</v>
      </c>
      <c r="J7">
        <v>0.2173620713574963</v>
      </c>
      <c r="K7">
        <v>8.4369983416890948E-3</v>
      </c>
    </row>
    <row r="8" spans="1:11" x14ac:dyDescent="0.25">
      <c r="A8" s="1">
        <v>6</v>
      </c>
      <c r="B8" t="s">
        <v>25</v>
      </c>
      <c r="C8" t="s">
        <v>18</v>
      </c>
      <c r="D8">
        <v>0.2424674618526505</v>
      </c>
      <c r="E8">
        <v>1.21642994895939E-4</v>
      </c>
      <c r="F8">
        <v>2.5405931780788091E-5</v>
      </c>
      <c r="G8">
        <v>1.9376427977323949E-2</v>
      </c>
      <c r="H8">
        <v>1.13921606522572E-2</v>
      </c>
      <c r="I8">
        <v>3.4440426696988048E-8</v>
      </c>
      <c r="J8">
        <v>0.20311479121694079</v>
      </c>
      <c r="K8">
        <v>8.436998639025084E-3</v>
      </c>
    </row>
    <row r="9" spans="1:11" x14ac:dyDescent="0.25">
      <c r="A9" s="1">
        <v>7</v>
      </c>
      <c r="B9" t="s">
        <v>25</v>
      </c>
      <c r="C9" t="s">
        <v>19</v>
      </c>
      <c r="D9">
        <v>0.68579502943551118</v>
      </c>
      <c r="E9">
        <v>2.5823998158285851E-4</v>
      </c>
      <c r="F9">
        <v>1.0372434849136111E-4</v>
      </c>
      <c r="G9">
        <v>3.8411772634232039E-2</v>
      </c>
      <c r="H9">
        <v>0.29394894053292148</v>
      </c>
      <c r="I9">
        <v>2.352387166130071E-7</v>
      </c>
      <c r="J9">
        <v>0.34463512208607788</v>
      </c>
      <c r="K9">
        <v>8.4369946134889018E-3</v>
      </c>
    </row>
    <row r="10" spans="1:11" x14ac:dyDescent="0.25">
      <c r="A10" s="1">
        <v>8</v>
      </c>
      <c r="B10" t="s">
        <v>25</v>
      </c>
      <c r="C10" t="s">
        <v>20</v>
      </c>
      <c r="D10">
        <v>0.43173081771763677</v>
      </c>
      <c r="E10">
        <v>2.006880166748548E-4</v>
      </c>
      <c r="F10">
        <v>6.324602195601296E-5</v>
      </c>
      <c r="G10">
        <v>2.9736142104403961E-2</v>
      </c>
      <c r="H10">
        <v>0.12559035283117789</v>
      </c>
      <c r="I10">
        <v>1.5672693042373539E-7</v>
      </c>
      <c r="J10">
        <v>0.26770323509373389</v>
      </c>
      <c r="K10">
        <v>8.4369969227596764E-3</v>
      </c>
    </row>
    <row r="11" spans="1:11" x14ac:dyDescent="0.25">
      <c r="A11" s="1">
        <v>9</v>
      </c>
      <c r="B11" t="s">
        <v>25</v>
      </c>
      <c r="C11" t="s">
        <v>21</v>
      </c>
      <c r="D11">
        <v>0.28589805137132751</v>
      </c>
      <c r="E11">
        <v>1.4032146661666431E-4</v>
      </c>
      <c r="F11">
        <v>3.1258045183345507E-5</v>
      </c>
      <c r="G11">
        <v>2.292535289750498E-2</v>
      </c>
      <c r="H11">
        <v>2.1639553951197241E-2</v>
      </c>
      <c r="I11">
        <v>1.115077974106278E-7</v>
      </c>
      <c r="J11">
        <v>0.23272445519547369</v>
      </c>
      <c r="K11">
        <v>8.4369983075540667E-3</v>
      </c>
    </row>
    <row r="14" spans="1:11" x14ac:dyDescent="0.25">
      <c r="E14">
        <f>E2/$D2*100</f>
        <v>3.6220690121675295E-2</v>
      </c>
      <c r="F14">
        <f t="shared" ref="F14:M14" si="0">F2/$D2*100</f>
        <v>1.4929173064957011E-2</v>
      </c>
      <c r="G14">
        <f t="shared" si="0"/>
        <v>5.4281192938717808</v>
      </c>
      <c r="H14">
        <f t="shared" si="0"/>
        <v>44.07602614158634</v>
      </c>
      <c r="I14">
        <f t="shared" si="0"/>
        <v>3.3637263474858952E-5</v>
      </c>
      <c r="J14">
        <f t="shared" si="0"/>
        <v>49.456449993147714</v>
      </c>
      <c r="K14">
        <f t="shared" si="0"/>
        <v>0.98822107094405731</v>
      </c>
    </row>
    <row r="15" spans="1:11" x14ac:dyDescent="0.25">
      <c r="D15">
        <f>($D$2-D3)/$D$2*100</f>
        <v>7.164369447229217</v>
      </c>
      <c r="E15">
        <f t="shared" ref="E15:M23" si="1">E3/$D3*100</f>
        <v>3.6322517551307713E-2</v>
      </c>
      <c r="F15">
        <f t="shared" si="1"/>
        <v>1.5291442054198259E-2</v>
      </c>
      <c r="G15">
        <f t="shared" si="1"/>
        <v>5.3926179247228214</v>
      </c>
      <c r="H15">
        <f t="shared" si="1"/>
        <v>45.706339636245794</v>
      </c>
      <c r="I15">
        <f t="shared" si="1"/>
        <v>3.3539498838090964E-5</v>
      </c>
      <c r="J15">
        <f t="shared" si="1"/>
        <v>47.784910196964134</v>
      </c>
      <c r="K15">
        <f t="shared" si="1"/>
        <v>1.0644847429629052</v>
      </c>
    </row>
    <row r="16" spans="1:11" x14ac:dyDescent="0.25">
      <c r="D16">
        <f>($D$2-D4)/$D$2*100</f>
        <v>13.811454091090756</v>
      </c>
      <c r="E16">
        <f t="shared" si="1"/>
        <v>3.8229226541767906E-2</v>
      </c>
      <c r="F16">
        <f t="shared" si="1"/>
        <v>1.5844728692509188E-2</v>
      </c>
      <c r="G16">
        <f t="shared" si="1"/>
        <v>5.6960136178449572</v>
      </c>
      <c r="H16">
        <f t="shared" si="1"/>
        <v>46.687224499761854</v>
      </c>
      <c r="I16">
        <f t="shared" si="1"/>
        <v>3.1079155174992266E-5</v>
      </c>
      <c r="J16">
        <f t="shared" si="1"/>
        <v>46.416076219684548</v>
      </c>
      <c r="K16">
        <f t="shared" si="1"/>
        <v>1.1465806283191915</v>
      </c>
    </row>
    <row r="17" spans="4:11" x14ac:dyDescent="0.25">
      <c r="D17">
        <f>($D$2-D5)/$D$2*100</f>
        <v>18.284940554228672</v>
      </c>
      <c r="E17">
        <f t="shared" si="1"/>
        <v>3.9495574919460479E-2</v>
      </c>
      <c r="F17">
        <f t="shared" si="1"/>
        <v>1.5685189839001131E-2</v>
      </c>
      <c r="G17">
        <f t="shared" si="1"/>
        <v>6.0534874172578625</v>
      </c>
      <c r="H17">
        <f t="shared" si="1"/>
        <v>44.822347162733152</v>
      </c>
      <c r="I17">
        <f t="shared" si="1"/>
        <v>2.9752872849942601E-5</v>
      </c>
      <c r="J17">
        <f t="shared" si="1"/>
        <v>47.859604729649519</v>
      </c>
      <c r="K17">
        <f t="shared" si="1"/>
        <v>1.2093501727281553</v>
      </c>
    </row>
    <row r="18" spans="4:11" x14ac:dyDescent="0.25">
      <c r="D18">
        <f>($D$2-D6)/$D$2*100</f>
        <v>52.64827206364555</v>
      </c>
      <c r="E18">
        <f t="shared" si="1"/>
        <v>3.9952668995765925E-2</v>
      </c>
      <c r="F18">
        <f t="shared" si="1"/>
        <v>1.2257379655613134E-2</v>
      </c>
      <c r="G18">
        <f t="shared" si="1"/>
        <v>6.2991068562478461</v>
      </c>
      <c r="H18">
        <f t="shared" si="1"/>
        <v>24.592307321441368</v>
      </c>
      <c r="I18">
        <f t="shared" si="1"/>
        <v>4.1465158986823913E-5</v>
      </c>
      <c r="J18">
        <f t="shared" si="1"/>
        <v>66.96935334917238</v>
      </c>
      <c r="K18">
        <f t="shared" si="1"/>
        <v>2.0869809593280411</v>
      </c>
    </row>
    <row r="19" spans="4:11" x14ac:dyDescent="0.25">
      <c r="D19">
        <f>($D$2-D7)/$D$2*100</f>
        <v>67.562672886462863</v>
      </c>
      <c r="E19">
        <f t="shared" si="1"/>
        <v>4.7926514170121295E-2</v>
      </c>
      <c r="F19">
        <f t="shared" si="1"/>
        <v>1.1299085584686097E-2</v>
      </c>
      <c r="G19">
        <f t="shared" si="1"/>
        <v>7.5383150605938489</v>
      </c>
      <c r="H19">
        <f t="shared" si="1"/>
        <v>10.867538859088336</v>
      </c>
      <c r="I19">
        <f t="shared" si="1"/>
        <v>2.8813861647012756E-5</v>
      </c>
      <c r="J19">
        <f t="shared" si="1"/>
        <v>78.488334625088157</v>
      </c>
      <c r="K19">
        <f t="shared" si="1"/>
        <v>3.0465570416131831</v>
      </c>
    </row>
    <row r="20" spans="4:11" x14ac:dyDescent="0.25">
      <c r="D20">
        <f>($D$2-D8)/$D$2*100</f>
        <v>71.599899494339851</v>
      </c>
      <c r="E20">
        <f t="shared" si="1"/>
        <v>5.0168791295329543E-2</v>
      </c>
      <c r="F20">
        <f t="shared" si="1"/>
        <v>1.0478078826192146E-2</v>
      </c>
      <c r="G20">
        <f t="shared" si="1"/>
        <v>7.9913518413036249</v>
      </c>
      <c r="H20">
        <f t="shared" si="1"/>
        <v>4.6984286325314493</v>
      </c>
      <c r="I20">
        <f t="shared" si="1"/>
        <v>1.4204143695749901E-5</v>
      </c>
      <c r="J20">
        <f t="shared" si="1"/>
        <v>83.769916864298821</v>
      </c>
      <c r="K20">
        <f t="shared" si="1"/>
        <v>3.4796415876008622</v>
      </c>
    </row>
    <row r="21" spans="4:11" x14ac:dyDescent="0.25">
      <c r="D21">
        <f>($D$2-D9)/$D$2*100</f>
        <v>19.673148663193427</v>
      </c>
      <c r="E21">
        <f t="shared" si="1"/>
        <v>3.7655563324134902E-2</v>
      </c>
      <c r="F21">
        <f t="shared" si="1"/>
        <v>1.5124686537424785E-2</v>
      </c>
      <c r="G21">
        <f t="shared" si="1"/>
        <v>5.6010573109358024</v>
      </c>
      <c r="H21">
        <f t="shared" si="1"/>
        <v>42.86250671354027</v>
      </c>
      <c r="I21">
        <f t="shared" si="1"/>
        <v>3.4301607115268217E-5</v>
      </c>
      <c r="J21">
        <f t="shared" si="1"/>
        <v>50.253371239764242</v>
      </c>
      <c r="K21">
        <f t="shared" si="1"/>
        <v>1.2302501842910012</v>
      </c>
    </row>
    <row r="22" spans="4:11" x14ac:dyDescent="0.25">
      <c r="D22">
        <f>($D$2-D10)/$D$2*100</f>
        <v>49.431571061592763</v>
      </c>
      <c r="E22">
        <f t="shared" si="1"/>
        <v>4.648452425421018E-2</v>
      </c>
      <c r="F22">
        <f t="shared" si="1"/>
        <v>1.4649411012715221E-2</v>
      </c>
      <c r="G22">
        <f t="shared" si="1"/>
        <v>6.887657976700698</v>
      </c>
      <c r="H22">
        <f t="shared" si="1"/>
        <v>29.089967099202369</v>
      </c>
      <c r="I22">
        <f t="shared" si="1"/>
        <v>3.6302002079045207E-5</v>
      </c>
      <c r="J22">
        <f t="shared" si="1"/>
        <v>62.006978447579527</v>
      </c>
      <c r="K22">
        <f t="shared" si="1"/>
        <v>1.9542262392483856</v>
      </c>
    </row>
    <row r="23" spans="4:11" x14ac:dyDescent="0.25">
      <c r="D23">
        <f>($D$2-D11)/$D$2*100</f>
        <v>66.512894838432388</v>
      </c>
      <c r="E23">
        <f t="shared" si="1"/>
        <v>4.908094544317592E-2</v>
      </c>
      <c r="F23">
        <f t="shared" si="1"/>
        <v>1.0933283746921107E-2</v>
      </c>
      <c r="G23">
        <f t="shared" si="1"/>
        <v>8.0187160379520321</v>
      </c>
      <c r="H23">
        <f t="shared" si="1"/>
        <v>7.56897567066365</v>
      </c>
      <c r="I23">
        <f t="shared" si="1"/>
        <v>3.9002643381364024E-5</v>
      </c>
      <c r="J23">
        <f t="shared" si="1"/>
        <v>81.401203708523568</v>
      </c>
      <c r="K23">
        <f t="shared" si="1"/>
        <v>2.9510513510272238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3"/>
  <sheetViews>
    <sheetView workbookViewId="0">
      <selection activeCell="L14" sqref="L14:N31"/>
    </sheetView>
  </sheetViews>
  <sheetFormatPr defaultRowHeight="15" x14ac:dyDescent="0.25"/>
  <sheetData>
    <row r="1" spans="1:11" x14ac:dyDescent="0.25">
      <c r="B1" s="1" t="s">
        <v>0</v>
      </c>
      <c r="C1" s="1" t="s">
        <v>1</v>
      </c>
      <c r="D1" s="1" t="s">
        <v>30</v>
      </c>
      <c r="E1" s="1" t="s">
        <v>26</v>
      </c>
      <c r="F1" s="1" t="s">
        <v>27</v>
      </c>
      <c r="G1" s="1" t="s">
        <v>9</v>
      </c>
      <c r="H1" s="1" t="s">
        <v>5</v>
      </c>
      <c r="I1" s="1" t="s">
        <v>28</v>
      </c>
      <c r="J1" s="1" t="s">
        <v>31</v>
      </c>
      <c r="K1" s="1" t="s">
        <v>11</v>
      </c>
    </row>
    <row r="2" spans="1:11" x14ac:dyDescent="0.25">
      <c r="A2" s="1">
        <v>0</v>
      </c>
      <c r="B2" t="s">
        <v>30</v>
      </c>
      <c r="C2" t="s">
        <v>12</v>
      </c>
      <c r="D2">
        <v>1.146704692771251</v>
      </c>
      <c r="E2">
        <v>3.0923618733686022E-4</v>
      </c>
      <c r="F2">
        <v>1.2745865810924321E-4</v>
      </c>
      <c r="G2">
        <v>4.634287500342419E-2</v>
      </c>
      <c r="H2">
        <v>0.37630156220649957</v>
      </c>
      <c r="I2">
        <v>2.87180036450661E-7</v>
      </c>
      <c r="J2">
        <v>0.7151862819240824</v>
      </c>
      <c r="K2">
        <v>8.4369916117625898E-3</v>
      </c>
    </row>
    <row r="3" spans="1:11" x14ac:dyDescent="0.25">
      <c r="A3" s="1">
        <v>1</v>
      </c>
      <c r="B3" t="s">
        <v>30</v>
      </c>
      <c r="C3" t="s">
        <v>13</v>
      </c>
      <c r="D3">
        <v>1.0052006074226889</v>
      </c>
      <c r="E3">
        <v>2.8788843786415859E-4</v>
      </c>
      <c r="F3">
        <v>1.211983546970561E-4</v>
      </c>
      <c r="G3">
        <v>4.274132012335749E-2</v>
      </c>
      <c r="H3">
        <v>0.36226362062543049</v>
      </c>
      <c r="I3">
        <v>2.6583052547515779E-7</v>
      </c>
      <c r="J3">
        <v>0.59134932155701503</v>
      </c>
      <c r="K3">
        <v>8.4369924937991447E-3</v>
      </c>
    </row>
    <row r="4" spans="1:11" x14ac:dyDescent="0.25">
      <c r="A4" s="1">
        <v>2</v>
      </c>
      <c r="B4" t="s">
        <v>30</v>
      </c>
      <c r="C4" t="s">
        <v>14</v>
      </c>
      <c r="D4">
        <v>0.90837852763370297</v>
      </c>
      <c r="E4">
        <v>2.8130577920459059E-4</v>
      </c>
      <c r="F4">
        <v>1.165917847242302E-4</v>
      </c>
      <c r="G4">
        <v>4.1913522560473322E-2</v>
      </c>
      <c r="H4">
        <v>0.34354307567421188</v>
      </c>
      <c r="I4">
        <v>2.2869272424252599E-7</v>
      </c>
      <c r="J4">
        <v>0.51408681002202039</v>
      </c>
      <c r="K4">
        <v>8.4369931203442938E-3</v>
      </c>
    </row>
    <row r="5" spans="1:11" x14ac:dyDescent="0.25">
      <c r="A5" s="1">
        <v>3</v>
      </c>
      <c r="B5" t="s">
        <v>30</v>
      </c>
      <c r="C5" t="s">
        <v>15</v>
      </c>
      <c r="D5">
        <v>0.84577935351094191</v>
      </c>
      <c r="E5">
        <v>2.7553966771225451E-4</v>
      </c>
      <c r="F5">
        <v>1.0942724609162471E-4</v>
      </c>
      <c r="G5">
        <v>4.2231969400442652E-2</v>
      </c>
      <c r="H5">
        <v>0.31270173097841097</v>
      </c>
      <c r="I5">
        <v>2.075700053810011E-7</v>
      </c>
      <c r="J5">
        <v>0.4820234850428235</v>
      </c>
      <c r="K5">
        <v>8.4369936054554673E-3</v>
      </c>
    </row>
    <row r="6" spans="1:11" x14ac:dyDescent="0.25">
      <c r="A6" s="1">
        <v>4</v>
      </c>
      <c r="B6" t="s">
        <v>30</v>
      </c>
      <c r="C6" t="s">
        <v>16</v>
      </c>
      <c r="D6">
        <v>0.53746897456624965</v>
      </c>
      <c r="E6">
        <v>1.6151587637629709E-4</v>
      </c>
      <c r="F6">
        <v>4.9552669869518852E-5</v>
      </c>
      <c r="G6">
        <v>2.5465276534657411E-2</v>
      </c>
      <c r="H6">
        <v>9.9418841568726657E-2</v>
      </c>
      <c r="I6">
        <v>1.676303901886784E-7</v>
      </c>
      <c r="J6">
        <v>0.40393662375351108</v>
      </c>
      <c r="K6">
        <v>8.4369965327185659E-3</v>
      </c>
    </row>
    <row r="7" spans="1:11" x14ac:dyDescent="0.25">
      <c r="A7" s="1">
        <v>5</v>
      </c>
      <c r="B7" t="s">
        <v>30</v>
      </c>
      <c r="C7" t="s">
        <v>17</v>
      </c>
      <c r="D7">
        <v>0.38262453041147521</v>
      </c>
      <c r="E7">
        <v>1.3272553740275339E-4</v>
      </c>
      <c r="F7">
        <v>3.1291180515734362E-5</v>
      </c>
      <c r="G7">
        <v>2.0876271409539401E-2</v>
      </c>
      <c r="H7">
        <v>3.0096074381663181E-2</v>
      </c>
      <c r="I7">
        <v>7.9795815280314065E-8</v>
      </c>
      <c r="J7">
        <v>0.32305109033753793</v>
      </c>
      <c r="K7">
        <v>8.4369977690009201E-3</v>
      </c>
    </row>
    <row r="8" spans="1:11" x14ac:dyDescent="0.25">
      <c r="A8" s="1">
        <v>6</v>
      </c>
      <c r="B8" t="s">
        <v>30</v>
      </c>
      <c r="C8" t="s">
        <v>18</v>
      </c>
      <c r="D8">
        <v>0.3345958313526991</v>
      </c>
      <c r="E8">
        <v>1.21642994895939E-4</v>
      </c>
      <c r="F8">
        <v>2.5405931780788091E-5</v>
      </c>
      <c r="G8">
        <v>1.9376427977323949E-2</v>
      </c>
      <c r="H8">
        <v>1.13921606522572E-2</v>
      </c>
      <c r="I8">
        <v>3.4440426696988048E-8</v>
      </c>
      <c r="J8">
        <v>0.29524316121619743</v>
      </c>
      <c r="K8">
        <v>8.4369981398171312E-3</v>
      </c>
    </row>
    <row r="9" spans="1:11" x14ac:dyDescent="0.25">
      <c r="A9" s="1">
        <v>7</v>
      </c>
      <c r="B9" t="s">
        <v>30</v>
      </c>
      <c r="C9" t="s">
        <v>19</v>
      </c>
      <c r="D9">
        <v>0.88971909759059031</v>
      </c>
      <c r="E9">
        <v>2.5823998158285851E-4</v>
      </c>
      <c r="F9">
        <v>1.0372434849136111E-4</v>
      </c>
      <c r="G9">
        <v>3.8411772634232039E-2</v>
      </c>
      <c r="H9">
        <v>0.29394894053292148</v>
      </c>
      <c r="I9">
        <v>2.352387166130071E-7</v>
      </c>
      <c r="J9">
        <v>0.54855919134614017</v>
      </c>
      <c r="K9">
        <v>8.4369935085056857E-3</v>
      </c>
    </row>
    <row r="10" spans="1:11" x14ac:dyDescent="0.25">
      <c r="A10" s="1">
        <v>8</v>
      </c>
      <c r="B10" t="s">
        <v>30</v>
      </c>
      <c r="C10" t="s">
        <v>20</v>
      </c>
      <c r="D10">
        <v>0.58283533107439556</v>
      </c>
      <c r="E10">
        <v>2.006880166748548E-4</v>
      </c>
      <c r="F10">
        <v>6.324602195601296E-5</v>
      </c>
      <c r="G10">
        <v>2.9736142104403961E-2</v>
      </c>
      <c r="H10">
        <v>0.12559035283117789</v>
      </c>
      <c r="I10">
        <v>1.5672693042373539E-7</v>
      </c>
      <c r="J10">
        <v>0.41880774926926823</v>
      </c>
      <c r="K10">
        <v>8.4369961039841845E-3</v>
      </c>
    </row>
    <row r="11" spans="1:11" x14ac:dyDescent="0.25">
      <c r="A11" s="1">
        <v>9</v>
      </c>
      <c r="B11" t="s">
        <v>30</v>
      </c>
      <c r="C11" t="s">
        <v>21</v>
      </c>
      <c r="D11">
        <v>0.37883209916837801</v>
      </c>
      <c r="E11">
        <v>1.4032146661666431E-4</v>
      </c>
      <c r="F11">
        <v>3.1258045183345507E-5</v>
      </c>
      <c r="G11">
        <v>2.292535289750498E-2</v>
      </c>
      <c r="H11">
        <v>2.1639553951197241E-2</v>
      </c>
      <c r="I11">
        <v>1.115077974106278E-7</v>
      </c>
      <c r="J11">
        <v>0.32565850349609637</v>
      </c>
      <c r="K11">
        <v>8.4369978039818827E-3</v>
      </c>
    </row>
    <row r="14" spans="1:11" x14ac:dyDescent="0.25">
      <c r="E14">
        <f>E2/$D2*100</f>
        <v>2.6967377851182108E-2</v>
      </c>
      <c r="F14">
        <f t="shared" ref="F14:M14" si="0">F2/$D2*100</f>
        <v>1.1115212043059909E-2</v>
      </c>
      <c r="G14">
        <f t="shared" si="0"/>
        <v>4.0413957748290859</v>
      </c>
      <c r="H14">
        <f t="shared" si="0"/>
        <v>32.815908453037579</v>
      </c>
      <c r="I14">
        <f t="shared" si="0"/>
        <v>2.5043940106029442E-5</v>
      </c>
      <c r="J14">
        <f t="shared" si="0"/>
        <v>62.368828385596444</v>
      </c>
      <c r="K14">
        <f t="shared" si="0"/>
        <v>0.73575975270257599</v>
      </c>
    </row>
    <row r="15" spans="1:11" x14ac:dyDescent="0.25">
      <c r="D15">
        <f>($D$2-D3)/$D$2*100</f>
        <v>12.340063334579014</v>
      </c>
      <c r="E15">
        <f t="shared" ref="E15:M23" si="1">E3/$D3*100</f>
        <v>2.863989891553069E-2</v>
      </c>
      <c r="F15">
        <f t="shared" si="1"/>
        <v>1.2057131064395781E-2</v>
      </c>
      <c r="G15">
        <f t="shared" si="1"/>
        <v>4.2520189311211469</v>
      </c>
      <c r="H15">
        <f t="shared" si="1"/>
        <v>36.038937695657189</v>
      </c>
      <c r="I15">
        <f t="shared" si="1"/>
        <v>2.6445519781045606E-5</v>
      </c>
      <c r="J15">
        <f t="shared" si="1"/>
        <v>58.828985696021519</v>
      </c>
      <c r="K15">
        <f t="shared" si="1"/>
        <v>0.8393342017004346</v>
      </c>
    </row>
    <row r="16" spans="1:11" x14ac:dyDescent="0.25">
      <c r="D16">
        <f>($D$2-D4)/$D$2*100</f>
        <v>20.783569356604197</v>
      </c>
      <c r="E16">
        <f t="shared" si="1"/>
        <v>3.0967902768175633E-2</v>
      </c>
      <c r="F16">
        <f t="shared" si="1"/>
        <v>1.2835154198101542E-2</v>
      </c>
      <c r="G16">
        <f t="shared" si="1"/>
        <v>4.6141031833564705</v>
      </c>
      <c r="H16">
        <f t="shared" si="1"/>
        <v>37.819374327256568</v>
      </c>
      <c r="I16">
        <f t="shared" si="1"/>
        <v>2.5175928017394161E-5</v>
      </c>
      <c r="J16">
        <f t="shared" si="1"/>
        <v>56.593897189666087</v>
      </c>
      <c r="K16">
        <f t="shared" si="1"/>
        <v>0.92879706682657848</v>
      </c>
    </row>
    <row r="17" spans="4:11" x14ac:dyDescent="0.25">
      <c r="D17">
        <f>($D$2-D5)/$D$2*100</f>
        <v>26.242618623375495</v>
      </c>
      <c r="E17">
        <f t="shared" si="1"/>
        <v>3.2578197442211486E-2</v>
      </c>
      <c r="F17">
        <f t="shared" si="1"/>
        <v>1.2938037046822878E-2</v>
      </c>
      <c r="G17">
        <f t="shared" si="1"/>
        <v>4.993260857590359</v>
      </c>
      <c r="H17">
        <f t="shared" si="1"/>
        <v>36.972022275117588</v>
      </c>
      <c r="I17">
        <f t="shared" si="1"/>
        <v>2.4541862427753829E-5</v>
      </c>
      <c r="J17">
        <f t="shared" si="1"/>
        <v>56.99163535287073</v>
      </c>
      <c r="K17">
        <f t="shared" si="1"/>
        <v>0.99754073806985133</v>
      </c>
    </row>
    <row r="18" spans="4:11" x14ac:dyDescent="0.25">
      <c r="D18">
        <f>($D$2-D6)/$D$2*100</f>
        <v>53.12926004799511</v>
      </c>
      <c r="E18">
        <f t="shared" si="1"/>
        <v>3.005119997980242E-2</v>
      </c>
      <c r="F18">
        <f t="shared" si="1"/>
        <v>9.2196335443378939E-3</v>
      </c>
      <c r="G18">
        <f t="shared" si="1"/>
        <v>4.7379993524665309</v>
      </c>
      <c r="H18">
        <f t="shared" si="1"/>
        <v>18.497596377346255</v>
      </c>
      <c r="I18">
        <f t="shared" si="1"/>
        <v>3.1188849612009727E-5</v>
      </c>
      <c r="J18">
        <f t="shared" si="1"/>
        <v>75.155337864757243</v>
      </c>
      <c r="K18">
        <f t="shared" si="1"/>
        <v>1.569764383056236</v>
      </c>
    </row>
    <row r="19" spans="4:11" x14ac:dyDescent="0.25">
      <c r="D19">
        <f>($D$2-D7)/$D$2*100</f>
        <v>66.632688186983586</v>
      </c>
      <c r="E19">
        <f t="shared" si="1"/>
        <v>3.4688193477825396E-2</v>
      </c>
      <c r="F19">
        <f t="shared" si="1"/>
        <v>8.1780382669359337E-3</v>
      </c>
      <c r="G19">
        <f t="shared" si="1"/>
        <v>5.4560724026473197</v>
      </c>
      <c r="H19">
        <f t="shared" si="1"/>
        <v>7.8656939086727657</v>
      </c>
      <c r="I19">
        <f t="shared" si="1"/>
        <v>2.0854861342659206E-5</v>
      </c>
      <c r="J19">
        <f t="shared" si="1"/>
        <v>84.430313443345653</v>
      </c>
      <c r="K19">
        <f t="shared" si="1"/>
        <v>2.2050331587281544</v>
      </c>
    </row>
    <row r="20" spans="4:11" x14ac:dyDescent="0.25">
      <c r="D20">
        <f>($D$2-D8)/$D$2*100</f>
        <v>70.821098626179108</v>
      </c>
      <c r="E20">
        <f t="shared" si="1"/>
        <v>3.6355203352104681E-2</v>
      </c>
      <c r="F20">
        <f t="shared" si="1"/>
        <v>7.5930210122694486E-3</v>
      </c>
      <c r="G20">
        <f t="shared" si="1"/>
        <v>5.7909950339157579</v>
      </c>
      <c r="H20">
        <f t="shared" si="1"/>
        <v>3.4047527149998076</v>
      </c>
      <c r="I20">
        <f t="shared" si="1"/>
        <v>1.0293142791932822E-5</v>
      </c>
      <c r="J20">
        <f t="shared" si="1"/>
        <v>88.238744643826777</v>
      </c>
      <c r="K20">
        <f t="shared" si="1"/>
        <v>2.5215490897505086</v>
      </c>
    </row>
    <row r="21" spans="4:11" x14ac:dyDescent="0.25">
      <c r="D21">
        <f>($D$2-D9)/$D$2*100</f>
        <v>22.410791270034956</v>
      </c>
      <c r="E21">
        <f t="shared" si="1"/>
        <v>2.9024889123116161E-2</v>
      </c>
      <c r="F21">
        <f t="shared" si="1"/>
        <v>1.1658100716535422E-2</v>
      </c>
      <c r="G21">
        <f t="shared" si="1"/>
        <v>4.3172921361644701</v>
      </c>
      <c r="H21">
        <f t="shared" si="1"/>
        <v>33.038398448336324</v>
      </c>
      <c r="I21">
        <f t="shared" si="1"/>
        <v>2.6439661377399548E-5</v>
      </c>
      <c r="J21">
        <f t="shared" si="1"/>
        <v>61.655323891739485</v>
      </c>
      <c r="K21">
        <f t="shared" si="1"/>
        <v>0.94827609425868697</v>
      </c>
    </row>
    <row r="22" spans="4:11" x14ac:dyDescent="0.25">
      <c r="D22">
        <f>($D$2-D10)/$D$2*100</f>
        <v>49.173022945789782</v>
      </c>
      <c r="E22">
        <f t="shared" si="1"/>
        <v>3.4433056126660609E-2</v>
      </c>
      <c r="F22">
        <f t="shared" si="1"/>
        <v>1.0851439263200736E-2</v>
      </c>
      <c r="G22">
        <f t="shared" si="1"/>
        <v>5.101980013735357</v>
      </c>
      <c r="H22">
        <f t="shared" si="1"/>
        <v>21.548170835777114</v>
      </c>
      <c r="I22">
        <f t="shared" si="1"/>
        <v>2.689043063584114E-5</v>
      </c>
      <c r="J22">
        <f t="shared" si="1"/>
        <v>71.856959751777623</v>
      </c>
      <c r="K22">
        <f t="shared" si="1"/>
        <v>1.447578012889416</v>
      </c>
    </row>
    <row r="23" spans="4:11" x14ac:dyDescent="0.25">
      <c r="D23">
        <f>($D$2-D11)/$D$2*100</f>
        <v>66.9634125022327</v>
      </c>
      <c r="E23">
        <f t="shared" si="1"/>
        <v>3.7040543006968421E-2</v>
      </c>
      <c r="F23">
        <f t="shared" si="1"/>
        <v>8.2511606730168788E-3</v>
      </c>
      <c r="G23">
        <f t="shared" si="1"/>
        <v>6.0515866917907184</v>
      </c>
      <c r="H23">
        <f t="shared" si="1"/>
        <v>5.7121753934529167</v>
      </c>
      <c r="I23">
        <f t="shared" si="1"/>
        <v>2.9434622265487161E-5</v>
      </c>
      <c r="J23">
        <f t="shared" si="1"/>
        <v>85.963809352742373</v>
      </c>
      <c r="K23">
        <f t="shared" si="1"/>
        <v>2.2271074237117174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ammoniaBAU</vt:lpstr>
      <vt:lpstr>ammoniaBlue</vt:lpstr>
      <vt:lpstr>ammoniaWind</vt:lpstr>
      <vt:lpstr>ammoniaSolar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Nabera  Abhinandan</cp:lastModifiedBy>
  <dcterms:created xsi:type="dcterms:W3CDTF">2023-09-14T15:22:50Z</dcterms:created>
  <dcterms:modified xsi:type="dcterms:W3CDTF">2023-11-03T10:18:37Z</dcterms:modified>
</cp:coreProperties>
</file>