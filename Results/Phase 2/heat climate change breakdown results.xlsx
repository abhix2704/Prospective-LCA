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"/>
    </mc:Choice>
  </mc:AlternateContent>
  <xr:revisionPtr revIDLastSave="0" documentId="13_ncr:1_{0662A00B-DB91-4A8C-AE73-137DFD8A88EE}" xr6:coauthVersionLast="36" xr6:coauthVersionMax="36" xr10:uidLastSave="{00000000-0000-0000-0000-000000000000}"/>
  <bookViews>
    <workbookView xWindow="0" yWindow="0" windowWidth="21570" windowHeight="9330" activeTab="1" xr2:uid="{00000000-000D-0000-FFFF-FFFF00000000}"/>
  </bookViews>
  <sheets>
    <sheet name="heat" sheetId="1" r:id="rId1"/>
    <sheet name="heatCCS" sheetId="2" r:id="rId2"/>
  </sheets>
  <calcPr calcId="191029"/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2" i="2"/>
  <c r="U3" i="1"/>
  <c r="U4" i="1"/>
  <c r="U5" i="1"/>
  <c r="U6" i="1"/>
  <c r="U7" i="1"/>
  <c r="U8" i="1"/>
  <c r="U9" i="1"/>
  <c r="U10" i="1"/>
  <c r="U11" i="1"/>
  <c r="U2" i="1"/>
</calcChain>
</file>

<file path=xl/sharedStrings.xml><?xml version="1.0" encoding="utf-8"?>
<sst xmlns="http://schemas.openxmlformats.org/spreadsheetml/2006/main" count="67" uniqueCount="33">
  <si>
    <t>name</t>
  </si>
  <si>
    <t>database</t>
  </si>
  <si>
    <t>heat production, natural gas, at industrial furnace &gt;100kW</t>
  </si>
  <si>
    <t>market for industrial furnace, natural gas</t>
  </si>
  <si>
    <t>market for natural gas, high pressure</t>
  </si>
  <si>
    <t>natural gas, high pressure, at consumer</t>
  </si>
  <si>
    <t>market for electricity, low voltage</t>
  </si>
  <si>
    <t>market group for electricity, low voltage</t>
  </si>
  <si>
    <t>direct emissions</t>
  </si>
  <si>
    <t>ecoinvent 3.8 cutoff image SSP2-RCP6 2020</t>
  </si>
  <si>
    <t>ecoinvent 3.8 cutoff image SSP2-RCP6 2030</t>
  </si>
  <si>
    <t>ecoinvent 3.8 cutoff image SSP2-RCP6 2040</t>
  </si>
  <si>
    <t>ecoinvent 3.8 cutoff image SSP2-RCP6 2050</t>
  </si>
  <si>
    <t>ecoinvent 3.8 cutoff image SSP2-RCP19 2030</t>
  </si>
  <si>
    <t>ecoinvent 3.8 cutoff image SSP2-RCP19 2040</t>
  </si>
  <si>
    <t>ecoinvent 3.8 cutoff image SSP2-RCP19 2050</t>
  </si>
  <si>
    <t>ecoinvent 3.8 cutoff image SSP2-RCP26 2030</t>
  </si>
  <si>
    <t>ecoinvent 3.8 cutoff image SSP2-RCP26 2040</t>
  </si>
  <si>
    <t>ecoinvent 3.8 cutoff image SSP2-RCP26 2050</t>
  </si>
  <si>
    <t>natural gas heating, with CCS</t>
  </si>
  <si>
    <t>market group for natural gas, high pressure</t>
  </si>
  <si>
    <t>industrial furnace production, natural gas</t>
  </si>
  <si>
    <t>carbon dioxide storage from natural gas, post, 200km pipeline, storage 1000m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</si>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</sst>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workbookViewId="0">
      <selection activeCell="U2" sqref="U2:U11"/>
    </sheetView>
  </sheetViews>
  <sheetFormatPr defaultRowHeight="15" x14ac:dyDescent="0.25"/>
  <sheetData>
    <row r="1" spans="1:2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4</v>
      </c>
      <c r="H1" s="1" t="s">
        <v>4</v>
      </c>
      <c r="I1" s="1" t="s">
        <v>4</v>
      </c>
      <c r="J1" s="1" t="s">
        <v>4</v>
      </c>
      <c r="K1" s="1" t="s">
        <v>4</v>
      </c>
      <c r="L1" s="1" t="s">
        <v>5</v>
      </c>
      <c r="M1" s="1" t="s">
        <v>6</v>
      </c>
      <c r="N1" s="1" t="s">
        <v>6</v>
      </c>
      <c r="O1" s="1" t="s">
        <v>7</v>
      </c>
      <c r="P1" s="1" t="s">
        <v>7</v>
      </c>
      <c r="Q1" s="1" t="s">
        <v>7</v>
      </c>
      <c r="R1" s="1" t="s">
        <v>7</v>
      </c>
      <c r="S1" s="1" t="s">
        <v>7</v>
      </c>
      <c r="T1" s="1" t="s">
        <v>8</v>
      </c>
    </row>
    <row r="2" spans="1:21" x14ac:dyDescent="0.25">
      <c r="A2" s="1">
        <v>0</v>
      </c>
      <c r="B2" t="s">
        <v>2</v>
      </c>
      <c r="C2" t="s">
        <v>9</v>
      </c>
      <c r="D2">
        <v>7.1003533734750546E-2</v>
      </c>
      <c r="E2">
        <v>3.8336040900926262E-5</v>
      </c>
      <c r="F2">
        <v>1.277997855412288E-4</v>
      </c>
      <c r="G2">
        <v>2.345140455181436E-4</v>
      </c>
      <c r="H2">
        <v>4.8089784004811558E-4</v>
      </c>
      <c r="I2">
        <v>7.2045672727297325E-4</v>
      </c>
      <c r="J2">
        <v>4.3207331418189058E-3</v>
      </c>
      <c r="K2">
        <v>5.1132537856787832E-3</v>
      </c>
      <c r="L2">
        <v>2.4280637383850951E-5</v>
      </c>
      <c r="M2">
        <v>1.053512676395839E-5</v>
      </c>
      <c r="N2">
        <v>1.9182450316707109E-6</v>
      </c>
      <c r="O2">
        <v>5.5747777644479574E-6</v>
      </c>
      <c r="P2">
        <v>2.511296072784238E-5</v>
      </c>
      <c r="Q2">
        <v>6.4722877284095022E-4</v>
      </c>
      <c r="R2">
        <v>5.0491327367846042E-5</v>
      </c>
      <c r="S2">
        <v>1.5565141151276519E-4</v>
      </c>
      <c r="T2">
        <v>5.9046749108578142E-2</v>
      </c>
      <c r="U2">
        <f>T2/D2*100</f>
        <v>83.160296400402231</v>
      </c>
    </row>
    <row r="3" spans="1:21" x14ac:dyDescent="0.25">
      <c r="A3" s="1">
        <v>1</v>
      </c>
      <c r="B3" t="s">
        <v>2</v>
      </c>
      <c r="C3" t="s">
        <v>10</v>
      </c>
      <c r="D3">
        <v>7.07906186878699E-2</v>
      </c>
      <c r="E3">
        <v>3.6277699438567948E-5</v>
      </c>
      <c r="F3">
        <v>1.2662159736851451E-4</v>
      </c>
      <c r="G3">
        <v>2.323867472609946E-4</v>
      </c>
      <c r="H3">
        <v>4.777304099884696E-4</v>
      </c>
      <c r="I3">
        <v>7.0595591037597694E-4</v>
      </c>
      <c r="J3">
        <v>4.2434753160228824E-3</v>
      </c>
      <c r="K3">
        <v>5.0658952079403506E-3</v>
      </c>
      <c r="L3">
        <v>2.393998737493649E-5</v>
      </c>
      <c r="M3">
        <v>8.5045000432731629E-6</v>
      </c>
      <c r="N3">
        <v>1.5485067546280051E-6</v>
      </c>
      <c r="O3">
        <v>5.4890711016778091E-6</v>
      </c>
      <c r="P3">
        <v>2.8185082769566739E-5</v>
      </c>
      <c r="Q3">
        <v>6.2027380075438865E-4</v>
      </c>
      <c r="R3">
        <v>3.9759723228715878E-5</v>
      </c>
      <c r="S3">
        <v>1.2782601263927341E-4</v>
      </c>
      <c r="T3">
        <v>5.904674911480768E-2</v>
      </c>
      <c r="U3">
        <f t="shared" ref="U3:U11" si="0">T3/D3*100</f>
        <v>83.410415404273692</v>
      </c>
    </row>
    <row r="4" spans="1:21" x14ac:dyDescent="0.25">
      <c r="A4" s="1">
        <v>2</v>
      </c>
      <c r="B4" t="s">
        <v>2</v>
      </c>
      <c r="C4" t="s">
        <v>11</v>
      </c>
      <c r="D4">
        <v>7.0635980395921352E-2</v>
      </c>
      <c r="E4">
        <v>3.4152482020367022E-5</v>
      </c>
      <c r="F4">
        <v>1.2539211536309209E-4</v>
      </c>
      <c r="G4">
        <v>2.3046850330221889E-4</v>
      </c>
      <c r="H4">
        <v>4.7580210005682643E-4</v>
      </c>
      <c r="I4">
        <v>6.8953660030037455E-4</v>
      </c>
      <c r="J4">
        <v>4.2027851828256406E-3</v>
      </c>
      <c r="K4">
        <v>5.033091971715177E-3</v>
      </c>
      <c r="L4">
        <v>2.3754248802946429E-5</v>
      </c>
      <c r="M4">
        <v>6.8624270216981112E-6</v>
      </c>
      <c r="N4">
        <v>1.249516672605173E-6</v>
      </c>
      <c r="O4">
        <v>5.7644472968581772E-6</v>
      </c>
      <c r="P4">
        <v>3.1333035558292767E-5</v>
      </c>
      <c r="Q4">
        <v>5.7685012907472872E-4</v>
      </c>
      <c r="R4">
        <v>3.0025441319310999E-5</v>
      </c>
      <c r="S4">
        <v>1.2216307598761209E-4</v>
      </c>
      <c r="T4">
        <v>5.9046749118603609E-2</v>
      </c>
      <c r="U4">
        <f t="shared" si="0"/>
        <v>83.593019857077081</v>
      </c>
    </row>
    <row r="5" spans="1:21" x14ac:dyDescent="0.25">
      <c r="A5" s="1">
        <v>3</v>
      </c>
      <c r="B5" t="s">
        <v>2</v>
      </c>
      <c r="C5" t="s">
        <v>12</v>
      </c>
      <c r="D5">
        <v>7.0428498220559285E-2</v>
      </c>
      <c r="E5">
        <v>3.2372037343984948E-5</v>
      </c>
      <c r="F5">
        <v>1.244181695540001E-4</v>
      </c>
      <c r="G5">
        <v>2.2695188910963019E-4</v>
      </c>
      <c r="H5">
        <v>4.7525180062731991E-4</v>
      </c>
      <c r="I5">
        <v>6.7814830682671621E-4</v>
      </c>
      <c r="J5">
        <v>4.161309966389054E-3</v>
      </c>
      <c r="K5">
        <v>5.0113624316539176E-3</v>
      </c>
      <c r="L5">
        <v>2.3753516024848809E-5</v>
      </c>
      <c r="M5">
        <v>5.8889074284237544E-6</v>
      </c>
      <c r="N5">
        <v>1.0722573794924179E-6</v>
      </c>
      <c r="O5">
        <v>3.8936662945250694E-6</v>
      </c>
      <c r="P5">
        <v>2.1269903141788459E-5</v>
      </c>
      <c r="Q5">
        <v>4.7863518307464311E-4</v>
      </c>
      <c r="R5">
        <v>3.4812059362392929E-5</v>
      </c>
      <c r="S5">
        <v>1.026090030901576E-4</v>
      </c>
      <c r="T5">
        <v>5.9046749123258392E-2</v>
      </c>
      <c r="U5">
        <f t="shared" si="0"/>
        <v>83.839284686069931</v>
      </c>
    </row>
    <row r="6" spans="1:21" x14ac:dyDescent="0.25">
      <c r="A6" s="1">
        <v>4</v>
      </c>
      <c r="B6" t="s">
        <v>2</v>
      </c>
      <c r="C6" t="s">
        <v>13</v>
      </c>
      <c r="D6">
        <v>6.941852679110154E-2</v>
      </c>
      <c r="E6">
        <v>2.3837886778662321E-5</v>
      </c>
      <c r="F6">
        <v>1.185937682976523E-4</v>
      </c>
      <c r="G6">
        <v>2.1650225494450719E-4</v>
      </c>
      <c r="H6">
        <v>4.6753036396249639E-4</v>
      </c>
      <c r="I6">
        <v>6.2709348223498448E-4</v>
      </c>
      <c r="J6">
        <v>3.9153335759705291E-3</v>
      </c>
      <c r="K6">
        <v>4.7794317379745996E-3</v>
      </c>
      <c r="L6">
        <v>2.2634842690436109E-5</v>
      </c>
      <c r="M6">
        <v>1.212777436818176E-6</v>
      </c>
      <c r="N6">
        <v>2.208235690772707E-7</v>
      </c>
      <c r="O6">
        <v>3.2675819143236838E-8</v>
      </c>
      <c r="P6">
        <v>9.6824402855566939E-6</v>
      </c>
      <c r="Q6">
        <v>1.6563115101790379E-4</v>
      </c>
      <c r="R6">
        <v>6.6818743136700122E-7</v>
      </c>
      <c r="S6">
        <v>2.337167452165462E-5</v>
      </c>
      <c r="T6">
        <v>5.9046749148166149E-2</v>
      </c>
      <c r="U6">
        <f t="shared" si="0"/>
        <v>85.059064024584131</v>
      </c>
    </row>
    <row r="7" spans="1:21" x14ac:dyDescent="0.25">
      <c r="A7" s="1">
        <v>5</v>
      </c>
      <c r="B7" t="s">
        <v>2</v>
      </c>
      <c r="C7" t="s">
        <v>14</v>
      </c>
      <c r="D7">
        <v>6.8989202875826855E-2</v>
      </c>
      <c r="E7">
        <v>1.9680426267238221E-5</v>
      </c>
      <c r="F7">
        <v>1.152977057502997E-4</v>
      </c>
      <c r="G7">
        <v>2.0114355929571411E-4</v>
      </c>
      <c r="H7">
        <v>4.6168091520571141E-4</v>
      </c>
      <c r="I7">
        <v>6.0122850054373156E-4</v>
      </c>
      <c r="J7">
        <v>3.774671938033929E-3</v>
      </c>
      <c r="K7">
        <v>4.665417055453462E-3</v>
      </c>
      <c r="L7">
        <v>2.1999008265611439E-5</v>
      </c>
      <c r="M7">
        <v>-2.7088342345621992E-6</v>
      </c>
      <c r="N7">
        <v>-4.9322689023971575E-7</v>
      </c>
      <c r="O7">
        <v>-7.9955907544146559E-6</v>
      </c>
      <c r="P7">
        <v>2.926903479029973E-6</v>
      </c>
      <c r="Q7">
        <v>1.155408847011864E-4</v>
      </c>
      <c r="R7">
        <v>-3.2511253610926958E-5</v>
      </c>
      <c r="S7">
        <v>6.5757243820659916E-6</v>
      </c>
      <c r="T7">
        <v>5.9046749159939023E-2</v>
      </c>
      <c r="U7">
        <f t="shared" si="0"/>
        <v>85.588391659223575</v>
      </c>
    </row>
    <row r="8" spans="1:21" x14ac:dyDescent="0.25">
      <c r="A8" s="1">
        <v>6</v>
      </c>
      <c r="B8" t="s">
        <v>2</v>
      </c>
      <c r="C8" t="s">
        <v>15</v>
      </c>
      <c r="D8">
        <v>6.877102368334953E-2</v>
      </c>
      <c r="E8">
        <v>1.7426531917399289E-5</v>
      </c>
      <c r="F8">
        <v>1.1353674701967211E-4</v>
      </c>
      <c r="G8">
        <v>1.972981156427924E-4</v>
      </c>
      <c r="H8">
        <v>4.5872360527314391E-4</v>
      </c>
      <c r="I8">
        <v>5.848516500459518E-4</v>
      </c>
      <c r="J8">
        <v>3.680921415658794E-3</v>
      </c>
      <c r="K8">
        <v>4.6231878953684408E-3</v>
      </c>
      <c r="L8">
        <v>2.1744498015352089E-5</v>
      </c>
      <c r="M8">
        <v>-5.0696838243355289E-6</v>
      </c>
      <c r="N8">
        <v>-9.23092434107446E-7</v>
      </c>
      <c r="O8">
        <v>-8.5969877213826063E-6</v>
      </c>
      <c r="P8">
        <v>-2.0738925435252891E-6</v>
      </c>
      <c r="Q8">
        <v>9.5846765309298956E-5</v>
      </c>
      <c r="R8">
        <v>-2.811898616755045E-5</v>
      </c>
      <c r="S8">
        <v>-2.4480065514726371E-5</v>
      </c>
      <c r="T8">
        <v>5.9046749167304312E-2</v>
      </c>
      <c r="U8">
        <f t="shared" si="0"/>
        <v>85.859924725244994</v>
      </c>
    </row>
    <row r="9" spans="1:21" x14ac:dyDescent="0.25">
      <c r="A9" s="1">
        <v>7</v>
      </c>
      <c r="B9" t="s">
        <v>2</v>
      </c>
      <c r="C9" t="s">
        <v>16</v>
      </c>
      <c r="D9">
        <v>7.0389558190912804E-2</v>
      </c>
      <c r="E9">
        <v>3.2018768766331163E-5</v>
      </c>
      <c r="F9">
        <v>1.2461665866359871E-4</v>
      </c>
      <c r="G9">
        <v>2.256054362710342E-4</v>
      </c>
      <c r="H9">
        <v>4.7443205765336141E-4</v>
      </c>
      <c r="I9">
        <v>6.8007275298348209E-4</v>
      </c>
      <c r="J9">
        <v>4.1205431923703921E-3</v>
      </c>
      <c r="K9">
        <v>4.9819631643313999E-3</v>
      </c>
      <c r="L9">
        <v>2.350701191068251E-5</v>
      </c>
      <c r="M9">
        <v>4.9807103715465557E-6</v>
      </c>
      <c r="N9">
        <v>9.068920705440071E-7</v>
      </c>
      <c r="O9">
        <v>2.670738104501847E-6</v>
      </c>
      <c r="P9">
        <v>1.9344230222889699E-5</v>
      </c>
      <c r="Q9">
        <v>5.5823928793374616E-4</v>
      </c>
      <c r="R9">
        <v>1.421940911260317E-5</v>
      </c>
      <c r="S9">
        <v>7.9688754619440381E-5</v>
      </c>
      <c r="T9">
        <v>5.9046749125527251E-2</v>
      </c>
      <c r="U9">
        <f t="shared" si="0"/>
        <v>83.885665208153142</v>
      </c>
    </row>
    <row r="10" spans="1:21" x14ac:dyDescent="0.25">
      <c r="A10" s="1">
        <v>8</v>
      </c>
      <c r="B10" t="s">
        <v>2</v>
      </c>
      <c r="C10" t="s">
        <v>17</v>
      </c>
      <c r="D10">
        <v>6.972232897277357E-2</v>
      </c>
      <c r="E10">
        <v>2.6477431425252318E-5</v>
      </c>
      <c r="F10">
        <v>1.196573609165465E-4</v>
      </c>
      <c r="G10">
        <v>2.1496920901930311E-4</v>
      </c>
      <c r="H10">
        <v>4.6865860844038022E-4</v>
      </c>
      <c r="I10">
        <v>6.2606861497638635E-4</v>
      </c>
      <c r="J10">
        <v>3.9416203595528318E-3</v>
      </c>
      <c r="K10">
        <v>4.8129579756027007E-3</v>
      </c>
      <c r="L10">
        <v>2.2769852223327889E-5</v>
      </c>
      <c r="M10">
        <v>-6.7068930973336056E-7</v>
      </c>
      <c r="N10">
        <v>-1.2211969205648749E-7</v>
      </c>
      <c r="O10">
        <v>-1.3620056949197761E-6</v>
      </c>
      <c r="P10">
        <v>3.4718079785919802E-6</v>
      </c>
      <c r="Q10">
        <v>4.4569553881479261E-4</v>
      </c>
      <c r="R10">
        <v>-3.2869719852144629E-5</v>
      </c>
      <c r="S10">
        <v>2.8257605740273381E-5</v>
      </c>
      <c r="T10">
        <v>5.9046749142632041E-2</v>
      </c>
      <c r="U10">
        <f t="shared" si="0"/>
        <v>84.688434842286568</v>
      </c>
    </row>
    <row r="11" spans="1:21" x14ac:dyDescent="0.25">
      <c r="A11" s="1">
        <v>9</v>
      </c>
      <c r="B11" t="s">
        <v>2</v>
      </c>
      <c r="C11" t="s">
        <v>18</v>
      </c>
      <c r="D11">
        <v>6.9142243479544771E-2</v>
      </c>
      <c r="E11">
        <v>2.09607851964877E-5</v>
      </c>
      <c r="F11">
        <v>1.164214625041565E-4</v>
      </c>
      <c r="G11">
        <v>2.1279239573273451E-4</v>
      </c>
      <c r="H11">
        <v>4.647693629870564E-4</v>
      </c>
      <c r="I11">
        <v>6.0281922383870808E-4</v>
      </c>
      <c r="J11">
        <v>3.8789639457404552E-3</v>
      </c>
      <c r="K11">
        <v>4.700886582265057E-3</v>
      </c>
      <c r="L11">
        <v>2.2398971416258039E-5</v>
      </c>
      <c r="M11">
        <v>-6.9551416206581665E-7</v>
      </c>
      <c r="N11">
        <v>-1.2663982273128941E-7</v>
      </c>
      <c r="O11">
        <v>-3.8305475781493101E-7</v>
      </c>
      <c r="P11">
        <v>1.305339844731955E-6</v>
      </c>
      <c r="Q11">
        <v>7.1557542792903539E-5</v>
      </c>
      <c r="R11">
        <v>-3.1020431509171871E-5</v>
      </c>
      <c r="S11">
        <v>3.4844353986454163E-5</v>
      </c>
      <c r="T11">
        <v>5.9046749153491548E-2</v>
      </c>
      <c r="U11">
        <f t="shared" si="0"/>
        <v>85.398948865406865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workbookViewId="0">
      <selection activeCell="W9" sqref="W9"/>
    </sheetView>
  </sheetViews>
  <sheetFormatPr defaultRowHeight="15" x14ac:dyDescent="0.25"/>
  <sheetData>
    <row r="1" spans="1:10" x14ac:dyDescent="0.25">
      <c r="B1" s="1" t="s">
        <v>0</v>
      </c>
      <c r="C1" s="1" t="s">
        <v>1</v>
      </c>
      <c r="D1" s="1" t="s">
        <v>19</v>
      </c>
      <c r="E1" s="1" t="s">
        <v>20</v>
      </c>
      <c r="F1" s="1" t="s">
        <v>7</v>
      </c>
      <c r="G1" s="1" t="s">
        <v>21</v>
      </c>
      <c r="H1" s="1" t="s">
        <v>22</v>
      </c>
      <c r="I1" s="1" t="s">
        <v>8</v>
      </c>
    </row>
    <row r="2" spans="1:10" x14ac:dyDescent="0.25">
      <c r="A2" s="1">
        <v>0</v>
      </c>
      <c r="B2" t="s">
        <v>19</v>
      </c>
      <c r="C2" t="s">
        <v>23</v>
      </c>
      <c r="D2">
        <v>2.0905914741970111E-2</v>
      </c>
      <c r="E2">
        <v>1.3664136181056731E-2</v>
      </c>
      <c r="F2">
        <v>8.56066468101858E-4</v>
      </c>
      <c r="G2">
        <v>3.8336039758423272E-5</v>
      </c>
      <c r="H2">
        <v>3.5329556491377819E-4</v>
      </c>
      <c r="I2">
        <v>5.9940804881393212E-3</v>
      </c>
      <c r="J2">
        <f>I2/D2*100</f>
        <v>28.671696800263796</v>
      </c>
    </row>
    <row r="3" spans="1:10" x14ac:dyDescent="0.25">
      <c r="A3" s="1">
        <v>1</v>
      </c>
      <c r="B3" t="s">
        <v>19</v>
      </c>
      <c r="C3" t="s">
        <v>24</v>
      </c>
      <c r="D3">
        <v>2.0680455855597791E-2</v>
      </c>
      <c r="E3">
        <v>1.3489096780868541E-2</v>
      </c>
      <c r="F3">
        <v>8.2107326588092065E-4</v>
      </c>
      <c r="G3">
        <v>3.6277698357408413E-5</v>
      </c>
      <c r="H3">
        <v>3.3992762600832147E-4</v>
      </c>
      <c r="I3">
        <v>5.994080484482597E-3</v>
      </c>
      <c r="J3">
        <f t="shared" ref="J3:J11" si="0">I3/D3*100</f>
        <v>28.98427639282486</v>
      </c>
    </row>
    <row r="4" spans="1:10" x14ac:dyDescent="0.25">
      <c r="A4" s="1">
        <v>2</v>
      </c>
      <c r="B4" t="s">
        <v>19</v>
      </c>
      <c r="C4" t="s">
        <v>25</v>
      </c>
      <c r="D4">
        <v>2.048639692225418E-2</v>
      </c>
      <c r="E4">
        <v>1.33644624285746E-2</v>
      </c>
      <c r="F4">
        <v>7.7170220306334953E-4</v>
      </c>
      <c r="G4">
        <v>3.4152481002543928E-5</v>
      </c>
      <c r="H4">
        <v>3.2199932649807207E-4</v>
      </c>
      <c r="I4">
        <v>5.9940804831156071E-3</v>
      </c>
      <c r="J4">
        <f t="shared" si="0"/>
        <v>29.258832120958733</v>
      </c>
    </row>
    <row r="5" spans="1:10" x14ac:dyDescent="0.25">
      <c r="A5" s="1">
        <v>3</v>
      </c>
      <c r="B5" t="s">
        <v>19</v>
      </c>
      <c r="C5" t="s">
        <v>26</v>
      </c>
      <c r="D5">
        <v>2.030138541025028E-2</v>
      </c>
      <c r="E5">
        <v>1.3294858489167911E-2</v>
      </c>
      <c r="F5">
        <v>6.86917527558792E-4</v>
      </c>
      <c r="G5">
        <v>3.2372036379223203E-5</v>
      </c>
      <c r="H5">
        <v>2.9315687194217079E-4</v>
      </c>
      <c r="I5">
        <v>5.9940804852021776E-3</v>
      </c>
      <c r="J5">
        <f t="shared" si="0"/>
        <v>29.525475055390721</v>
      </c>
    </row>
    <row r="6" spans="1:10" x14ac:dyDescent="0.25">
      <c r="A6" s="1">
        <v>4</v>
      </c>
      <c r="B6" t="s">
        <v>19</v>
      </c>
      <c r="C6" t="s">
        <v>27</v>
      </c>
      <c r="D6">
        <v>1.9009245089369149E-2</v>
      </c>
      <c r="E6">
        <v>1.268253154292219E-2</v>
      </c>
      <c r="F6">
        <v>2.1397922165906921E-4</v>
      </c>
      <c r="G6">
        <v>2.3837886068238092E-5</v>
      </c>
      <c r="H6">
        <v>9.4815948034028742E-5</v>
      </c>
      <c r="I6">
        <v>5.9940804906856143E-3</v>
      </c>
      <c r="J6">
        <f t="shared" si="0"/>
        <v>31.532448882137786</v>
      </c>
    </row>
    <row r="7" spans="1:10" x14ac:dyDescent="0.25">
      <c r="A7" s="1">
        <v>5</v>
      </c>
      <c r="B7" t="s">
        <v>19</v>
      </c>
      <c r="C7" t="s">
        <v>28</v>
      </c>
      <c r="D7">
        <v>1.8401536482509442E-2</v>
      </c>
      <c r="E7">
        <v>1.2295029079069019E-2</v>
      </c>
      <c r="F7">
        <v>6.368206188452713E-5</v>
      </c>
      <c r="G7">
        <v>1.9680425680715921E-5</v>
      </c>
      <c r="H7">
        <v>2.9064429391987172E-5</v>
      </c>
      <c r="I7">
        <v>5.9940804864831894E-3</v>
      </c>
      <c r="J7">
        <f t="shared" si="0"/>
        <v>32.573804324331988</v>
      </c>
    </row>
    <row r="8" spans="1:10" x14ac:dyDescent="0.25">
      <c r="A8" s="1">
        <v>6</v>
      </c>
      <c r="B8" t="s">
        <v>19</v>
      </c>
      <c r="C8" t="s">
        <v>29</v>
      </c>
      <c r="D8">
        <v>1.8164258924322191E-2</v>
      </c>
      <c r="E8">
        <v>1.2113045190064819E-2</v>
      </c>
      <c r="F8">
        <v>2.8994709454914521E-5</v>
      </c>
      <c r="G8">
        <v>1.7426531398048251E-5</v>
      </c>
      <c r="H8">
        <v>1.071201068372969E-5</v>
      </c>
      <c r="I8">
        <v>5.9940804827206774E-3</v>
      </c>
      <c r="J8">
        <f t="shared" si="0"/>
        <v>32.999312042918092</v>
      </c>
    </row>
    <row r="9" spans="1:10" x14ac:dyDescent="0.25">
      <c r="A9" s="1">
        <v>7</v>
      </c>
      <c r="B9" t="s">
        <v>19</v>
      </c>
      <c r="C9" t="s">
        <v>30</v>
      </c>
      <c r="D9">
        <v>2.0151508820576852E-2</v>
      </c>
      <c r="E9">
        <v>1.321033157856997E-2</v>
      </c>
      <c r="F9">
        <v>6.3905723152587253E-4</v>
      </c>
      <c r="G9">
        <v>3.2018767812097631E-5</v>
      </c>
      <c r="H9">
        <v>2.7602075770184569E-4</v>
      </c>
      <c r="I9">
        <v>5.9940804849670654E-3</v>
      </c>
      <c r="J9">
        <f t="shared" si="0"/>
        <v>29.745070398135482</v>
      </c>
    </row>
    <row r="10" spans="1:10" x14ac:dyDescent="0.25">
      <c r="A10" s="1">
        <v>8</v>
      </c>
      <c r="B10" t="s">
        <v>19</v>
      </c>
      <c r="C10" t="s">
        <v>31</v>
      </c>
      <c r="D10">
        <v>1.9131023877090401E-2</v>
      </c>
      <c r="E10">
        <v>1.273254351488195E-2</v>
      </c>
      <c r="F10">
        <v>2.5878040115131628E-4</v>
      </c>
      <c r="G10">
        <v>2.6477430636163421E-5</v>
      </c>
      <c r="H10">
        <v>1.1914204068294749E-4</v>
      </c>
      <c r="I10">
        <v>5.9940804897380164E-3</v>
      </c>
      <c r="J10">
        <f t="shared" si="0"/>
        <v>31.331728653143287</v>
      </c>
    </row>
    <row r="11" spans="1:10" x14ac:dyDescent="0.25">
      <c r="A11" s="1">
        <v>9</v>
      </c>
      <c r="B11" t="s">
        <v>19</v>
      </c>
      <c r="C11" t="s">
        <v>32</v>
      </c>
      <c r="D11">
        <v>1.8596588672438141E-2</v>
      </c>
      <c r="E11">
        <v>1.251092117905747E-2</v>
      </c>
      <c r="F11">
        <v>4.7854764099468647E-5</v>
      </c>
      <c r="G11">
        <v>2.096078457180763E-5</v>
      </c>
      <c r="H11">
        <v>2.277145068103715E-5</v>
      </c>
      <c r="I11">
        <v>5.9940804940283544E-3</v>
      </c>
      <c r="J11">
        <f t="shared" si="0"/>
        <v>32.232150743389482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heat</vt:lpstr>
      <vt:lpstr>heatCCS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2023-12-19T14:29:09Z</dcterms:created>
  <dcterms:modified xsi:type="dcterms:W3CDTF">2023-12-19T14:38:13Z</dcterms:modified>
</cp:coreProperties>
</file>