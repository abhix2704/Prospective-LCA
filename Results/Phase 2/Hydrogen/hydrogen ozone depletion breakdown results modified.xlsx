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/>
  <mc:AlternateContent xmlns:mc="http://schemas.openxmlformats.org/markup-compatibility/2006">
    <mc:Choice Requires="x15">
      <x15ac:absPath xmlns:x15ac="http://schemas.microsoft.com/office/spreadsheetml/2010/11/ac" url="C:\Users\anabera\Desktop\Ongoing projects\Prospective LCA\Results\Phase 2\Hydrogen\"/>
    </mc:Choice>
  </mc:AlternateContent>
  <xr:revisionPtr revIDLastSave="0" documentId="13_ncr:1_{9F2EC119-B413-4036-A3B7-316DD164327D}" xr6:coauthVersionLast="36" xr6:coauthVersionMax="36" xr10:uidLastSave="{00000000-0000-0000-0000-000000000000}"/>
  <bookViews>
    <workbookView xWindow="0" yWindow="0" windowWidth="21570" windowHeight="9330" firstSheet="2" activeTab="2" xr2:uid="{00000000-000D-0000-FFFF-FFFF00000000}"/>
  </bookViews>
  <sheets>
    <sheet name="hydrogenBAU" sheetId="1" r:id="rId1"/>
    <sheet name="hydrogenBlue" sheetId="2" r:id="rId2"/>
    <sheet name="hydrogenBAUWOElec" sheetId="3" r:id="rId3"/>
    <sheet name="hydrogenBlueWOElec" sheetId="4" r:id="rId4"/>
    <sheet name="hydrogenWind" sheetId="5" r:id="rId5"/>
    <sheet name="hydrogenSolar" sheetId="6" r:id="rId6"/>
    <sheet name="heat" sheetId="7" r:id="rId7"/>
  </sheets>
  <calcPr calcId="191029"/>
</workbook>
</file>

<file path=xl/calcChain.xml><?xml version="1.0" encoding="utf-8"?>
<calcChain xmlns="http://schemas.openxmlformats.org/spreadsheetml/2006/main">
  <c r="I5" i="7" l="1"/>
  <c r="J5" i="7" s="1"/>
  <c r="I3" i="7"/>
  <c r="J3" i="7" s="1"/>
</calcChain>
</file>

<file path=xl/sharedStrings.xml><?xml version="1.0" encoding="utf-8"?>
<sst xmlns="http://schemas.openxmlformats.org/spreadsheetml/2006/main" count="267" uniqueCount="55">
  <si>
    <t>name</t>
  </si>
  <si>
    <t>database</t>
  </si>
  <si>
    <t>hydrogen production, steam methane reforming of natural gas, 25 bar</t>
  </si>
  <si>
    <t>chemical factory construction, organics</t>
  </si>
  <si>
    <t>market for aluminium oxide, metallurgical</t>
  </si>
  <si>
    <t>market for chromium oxide, flakes</t>
  </si>
  <si>
    <t>market for copper oxide</t>
  </si>
  <si>
    <t>market for liquid storage tank, chemicals, organics</t>
  </si>
  <si>
    <t>market for magnesium oxide</t>
  </si>
  <si>
    <t>market for molybdenum trioxide</t>
  </si>
  <si>
    <t>market for nickel, class 1</t>
  </si>
  <si>
    <t>market for portafer</t>
  </si>
  <si>
    <t>market for quicklime, milled, packed</t>
  </si>
  <si>
    <t>market for silica sand</t>
  </si>
  <si>
    <t>market for water, deionised</t>
  </si>
  <si>
    <t>market for zeolite, powder</t>
  </si>
  <si>
    <t>market for zinc oxide</t>
  </si>
  <si>
    <t>market group for electricity, high voltage</t>
  </si>
  <si>
    <t>market group for natural gas, high pressure</t>
  </si>
  <si>
    <t>direct emissions</t>
  </si>
  <si>
    <t>lci-Abhi image SSP2-RCP6 2020</t>
  </si>
  <si>
    <t>lci-Abhi image SSP2-RCP6 2030</t>
  </si>
  <si>
    <t>lci-Abhi image SSP2-RCP6 2040</t>
  </si>
  <si>
    <t>lci-Abhi image SSP2-RCP6 2050</t>
  </si>
  <si>
    <t>lci-Abhi image SSP2-RCP19 2030</t>
  </si>
  <si>
    <t>lci-Abhi image SSP2-RCP19 2040</t>
  </si>
  <si>
    <t>lci-Abhi image SSP2-RCP19 2050</t>
  </si>
  <si>
    <t>lci-Abhi image SSP2-RCP26 2030</t>
  </si>
  <si>
    <t>lci-Abhi image SSP2-RCP26 2040</t>
  </si>
  <si>
    <t>lci-Abhi image SSP2-RCP26 2050</t>
  </si>
  <si>
    <t>hydrogen production, steam methane reforming of natural gas, with CCS (MDEA, 98% eff.), 25 bar</t>
  </si>
  <si>
    <t>carbon dioxide storage at hydrogen production plant, pre, pipeline 400km, storage 3000m</t>
  </si>
  <si>
    <t>market for diethanolamine</t>
  </si>
  <si>
    <t>hydrogen production without electricity, steam reforming of natural gas, 25 bar</t>
  </si>
  <si>
    <t>hydrogen production without electricity, steam methane reforming of natural gas, with CCS (MDEA, 98% eff.), 25 bar</t>
  </si>
  <si>
    <t>hydrogen production, gaseous, 200 bar, from PEM electrolysis, from onshore wind electricity</t>
  </si>
  <si>
    <t>electrolyzer production, 1MWe, PEM, Balance of Plant</t>
  </si>
  <si>
    <t>electrolyzer production, 1MWe, PEM, Stack</t>
  </si>
  <si>
    <t>market for heat, from steam, in chemical industry</t>
  </si>
  <si>
    <t>electricity production, wind, &gt;3MW turbine, onshore</t>
  </si>
  <si>
    <t>hydrogen production, gaseous, 200 bar, from PEM electrolysis, from solar electricity</t>
  </si>
  <si>
    <t>electricity production, photovoltaic, 570kWp open ground installation, multi-Si</t>
  </si>
  <si>
    <t>% heat BAU</t>
  </si>
  <si>
    <t>Heat modified</t>
  </si>
  <si>
    <t>Natural gas modified</t>
  </si>
  <si>
    <t>% heat blue</t>
  </si>
  <si>
    <t>Case</t>
  </si>
  <si>
    <r>
      <t>m</t>
    </r>
    <r>
      <rPr>
        <vertAlign val="superscript"/>
        <sz val="11"/>
        <color theme="1"/>
        <rFont val="Calibri"/>
        <family val="2"/>
        <scheme val="minor"/>
      </rPr>
      <t>3</t>
    </r>
  </si>
  <si>
    <t>Direct emissions</t>
  </si>
  <si>
    <t>Direct emissions modified</t>
  </si>
  <si>
    <t>Heat</t>
  </si>
  <si>
    <t>SMR</t>
  </si>
  <si>
    <t>Heat with CCS</t>
  </si>
  <si>
    <t>SMR with CCS</t>
  </si>
  <si>
    <t>heat from natural 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</si>
</sst>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vertAlign val="superscript"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164" fontId="0" fillId="0" borderId="0" xfId="0" applyNumberFormat="1"/>
    <xf numFmtId="11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"/>
  <sheetViews>
    <sheetView workbookViewId="0"/>
  </sheetViews>
  <sheetFormatPr defaultRowHeight="15" x14ac:dyDescent="0.25"/>
  <sheetData>
    <row r="1" spans="1:2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3</v>
      </c>
      <c r="G1" s="1" t="s">
        <v>4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  <c r="S1" s="1" t="s">
        <v>14</v>
      </c>
      <c r="T1" s="1" t="s">
        <v>14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</row>
    <row r="2" spans="1:26" x14ac:dyDescent="0.25">
      <c r="A2" s="1">
        <v>0</v>
      </c>
      <c r="B2" t="s">
        <v>2</v>
      </c>
      <c r="C2" t="s">
        <v>20</v>
      </c>
      <c r="D2">
        <v>9.5139123417782766E-7</v>
      </c>
      <c r="E2">
        <v>1.313248602852054E-9</v>
      </c>
      <c r="F2">
        <v>2.5973085533403782E-9</v>
      </c>
      <c r="G2">
        <v>5.8127682726342811E-12</v>
      </c>
      <c r="H2">
        <v>6.8636693221775684E-11</v>
      </c>
      <c r="I2">
        <v>1.017098462894019E-11</v>
      </c>
      <c r="J2">
        <v>1.124817770078549E-10</v>
      </c>
      <c r="K2">
        <v>3.7298743513484571E-10</v>
      </c>
      <c r="L2">
        <v>4.7891085703043402E-13</v>
      </c>
      <c r="M2">
        <v>5.7590231510221646E-12</v>
      </c>
      <c r="N2">
        <v>3.0469629556606532E-10</v>
      </c>
      <c r="O2">
        <v>4.2961238330995238E-12</v>
      </c>
      <c r="P2">
        <v>2.9249804033939099E-14</v>
      </c>
      <c r="Q2">
        <v>3.1892757146410632E-12</v>
      </c>
      <c r="R2">
        <v>3.2349310076402252E-14</v>
      </c>
      <c r="S2">
        <v>1.505633705732046E-12</v>
      </c>
      <c r="T2">
        <v>4.2846691028252639E-10</v>
      </c>
      <c r="U2">
        <v>1.385462305359217E-9</v>
      </c>
      <c r="V2">
        <v>1.1415083671961649E-9</v>
      </c>
      <c r="W2">
        <v>2.2776474813423301E-11</v>
      </c>
      <c r="X2">
        <v>-2.3397790527041891E-8</v>
      </c>
      <c r="Y2">
        <v>9.6701016751952824E-7</v>
      </c>
      <c r="Z2">
        <v>0</v>
      </c>
    </row>
    <row r="3" spans="1:26" x14ac:dyDescent="0.25">
      <c r="A3" s="1">
        <v>1</v>
      </c>
      <c r="B3" t="s">
        <v>2</v>
      </c>
      <c r="C3" t="s">
        <v>21</v>
      </c>
      <c r="D3">
        <v>9.543979927401783E-7</v>
      </c>
      <c r="E3">
        <v>1.172811172809105E-9</v>
      </c>
      <c r="F3">
        <v>2.297515589674847E-9</v>
      </c>
      <c r="G3">
        <v>5.7375569759071703E-12</v>
      </c>
      <c r="H3">
        <v>6.7110447308051141E-11</v>
      </c>
      <c r="I3">
        <v>9.5873446726173439E-12</v>
      </c>
      <c r="J3">
        <v>9.6824703087388144E-11</v>
      </c>
      <c r="K3">
        <v>3.5296418588368151E-10</v>
      </c>
      <c r="L3">
        <v>4.1053195823288051E-13</v>
      </c>
      <c r="M3">
        <v>4.859328350843603E-12</v>
      </c>
      <c r="N3">
        <v>2.8594520184785811E-10</v>
      </c>
      <c r="O3">
        <v>4.0003253636290288E-12</v>
      </c>
      <c r="P3">
        <v>2.8871841520164529E-14</v>
      </c>
      <c r="Q3">
        <v>3.129019509339637E-12</v>
      </c>
      <c r="R3">
        <v>2.9326546284949979E-14</v>
      </c>
      <c r="S3">
        <v>1.492190244100176E-12</v>
      </c>
      <c r="T3">
        <v>4.2460082351313661E-10</v>
      </c>
      <c r="U3">
        <v>1.371793854347073E-9</v>
      </c>
      <c r="V3">
        <v>1.1393928725749759E-9</v>
      </c>
      <c r="W3">
        <v>2.1174436289653849E-11</v>
      </c>
      <c r="X3">
        <v>-1.7689343623643638E-8</v>
      </c>
      <c r="Y3">
        <v>9.6482791890993945E-7</v>
      </c>
      <c r="Z3">
        <v>0</v>
      </c>
    </row>
    <row r="4" spans="1:26" x14ac:dyDescent="0.25">
      <c r="A4" s="1">
        <v>2</v>
      </c>
      <c r="B4" t="s">
        <v>2</v>
      </c>
      <c r="C4" t="s">
        <v>22</v>
      </c>
      <c r="D4">
        <v>9.5338330282595077E-7</v>
      </c>
      <c r="E4">
        <v>1.041369357632151E-9</v>
      </c>
      <c r="F4">
        <v>2.033843881981177E-9</v>
      </c>
      <c r="G4">
        <v>5.6277207482439846E-12</v>
      </c>
      <c r="H4">
        <v>6.5894298036257967E-11</v>
      </c>
      <c r="I4">
        <v>8.8823292372092381E-12</v>
      </c>
      <c r="J4">
        <v>8.2455020968962781E-11</v>
      </c>
      <c r="K4">
        <v>3.2853778619042699E-10</v>
      </c>
      <c r="L4">
        <v>3.2424466329842372E-13</v>
      </c>
      <c r="M4">
        <v>4.1030639865025793E-12</v>
      </c>
      <c r="N4">
        <v>2.6266597792707382E-10</v>
      </c>
      <c r="O4">
        <v>3.535436293204019E-12</v>
      </c>
      <c r="P4">
        <v>2.8079851089369361E-14</v>
      </c>
      <c r="Q4">
        <v>3.0380630705902362E-12</v>
      </c>
      <c r="R4">
        <v>2.344222289871197E-14</v>
      </c>
      <c r="S4">
        <v>1.4795484274462211E-12</v>
      </c>
      <c r="T4">
        <v>4.2090655038729101E-10</v>
      </c>
      <c r="U4">
        <v>1.359736322375305E-9</v>
      </c>
      <c r="V4">
        <v>1.1354504513851191E-9</v>
      </c>
      <c r="W4">
        <v>1.9355837187390662E-11</v>
      </c>
      <c r="X4">
        <v>-1.421988321299044E-8</v>
      </c>
      <c r="Y4">
        <v>9.6082591884938365E-7</v>
      </c>
      <c r="Z4">
        <v>0</v>
      </c>
    </row>
    <row r="5" spans="1:26" x14ac:dyDescent="0.25">
      <c r="A5" s="1">
        <v>3</v>
      </c>
      <c r="B5" t="s">
        <v>2</v>
      </c>
      <c r="C5" t="s">
        <v>23</v>
      </c>
      <c r="D5">
        <v>9.5126929876337724E-7</v>
      </c>
      <c r="E5">
        <v>9.9750021661235301E-10</v>
      </c>
      <c r="F5">
        <v>1.9308815368024069E-9</v>
      </c>
      <c r="G5">
        <v>5.5664087445463227E-12</v>
      </c>
      <c r="H5">
        <v>6.5472260300295042E-11</v>
      </c>
      <c r="I5">
        <v>8.582185162617371E-12</v>
      </c>
      <c r="J5">
        <v>7.7167424666210686E-11</v>
      </c>
      <c r="K5">
        <v>3.172169818145079E-10</v>
      </c>
      <c r="L5">
        <v>2.80029323969484E-13</v>
      </c>
      <c r="M5">
        <v>3.9222457587190969E-12</v>
      </c>
      <c r="N5">
        <v>2.5291546676395558E-10</v>
      </c>
      <c r="O5">
        <v>3.2842946235508751E-12</v>
      </c>
      <c r="P5">
        <v>2.7641242418963231E-14</v>
      </c>
      <c r="Q5">
        <v>2.99963315869198E-12</v>
      </c>
      <c r="R5">
        <v>2.07511716118396E-14</v>
      </c>
      <c r="S5">
        <v>1.4749259764759101E-12</v>
      </c>
      <c r="T5">
        <v>4.194555345399152E-10</v>
      </c>
      <c r="U5">
        <v>1.354951036976226E-9</v>
      </c>
      <c r="V5">
        <v>1.1338505444982219E-9</v>
      </c>
      <c r="W5">
        <v>1.8621353836138509E-11</v>
      </c>
      <c r="X5">
        <v>-1.339152707510257E-8</v>
      </c>
      <c r="Y5">
        <v>9.5806662558286639E-7</v>
      </c>
      <c r="Z5">
        <v>0</v>
      </c>
    </row>
    <row r="6" spans="1:26" x14ac:dyDescent="0.25">
      <c r="A6" s="1">
        <v>4</v>
      </c>
      <c r="B6" t="s">
        <v>2</v>
      </c>
      <c r="C6" t="s">
        <v>24</v>
      </c>
      <c r="D6">
        <v>9.5213411121791365E-7</v>
      </c>
      <c r="E6">
        <v>1.0109564130864451E-9</v>
      </c>
      <c r="F6">
        <v>2.066833562902514E-9</v>
      </c>
      <c r="G6">
        <v>5.6214489065231094E-12</v>
      </c>
      <c r="H6">
        <v>6.62569839427411E-11</v>
      </c>
      <c r="I6">
        <v>9.0979864020275074E-12</v>
      </c>
      <c r="J6">
        <v>8.5928739052605788E-11</v>
      </c>
      <c r="K6">
        <v>3.2945389268640919E-10</v>
      </c>
      <c r="L6">
        <v>3.4511652894748861E-13</v>
      </c>
      <c r="M6">
        <v>4.2419395488450076E-12</v>
      </c>
      <c r="N6">
        <v>2.6614815904344449E-10</v>
      </c>
      <c r="O6">
        <v>3.6351560140942842E-12</v>
      </c>
      <c r="P6">
        <v>2.801268772256059E-14</v>
      </c>
      <c r="Q6">
        <v>3.0738250063583932E-12</v>
      </c>
      <c r="R6">
        <v>2.4870299751939241E-14</v>
      </c>
      <c r="S6">
        <v>1.478482833704629E-12</v>
      </c>
      <c r="T6">
        <v>4.2119223377699599E-10</v>
      </c>
      <c r="U6">
        <v>1.3632251755584889E-9</v>
      </c>
      <c r="V6">
        <v>1.1373323557726819E-9</v>
      </c>
      <c r="W6">
        <v>1.9886761908154631E-11</v>
      </c>
      <c r="X6">
        <v>-1.5216624405024691E-8</v>
      </c>
      <c r="Y6">
        <v>9.6055596477653661E-7</v>
      </c>
      <c r="Z6">
        <v>0</v>
      </c>
    </row>
    <row r="7" spans="1:26" x14ac:dyDescent="0.25">
      <c r="A7" s="1">
        <v>5</v>
      </c>
      <c r="B7" t="s">
        <v>2</v>
      </c>
      <c r="C7" t="s">
        <v>25</v>
      </c>
      <c r="D7">
        <v>9.5048328475915389E-7</v>
      </c>
      <c r="E7">
        <v>9.4024079292471632E-10</v>
      </c>
      <c r="F7">
        <v>1.8891771226886731E-9</v>
      </c>
      <c r="G7">
        <v>5.5457799924743672E-12</v>
      </c>
      <c r="H7">
        <v>6.5784885884819734E-11</v>
      </c>
      <c r="I7">
        <v>8.4529191071689455E-12</v>
      </c>
      <c r="J7">
        <v>7.191906123985162E-11</v>
      </c>
      <c r="K7">
        <v>3.0608954224416602E-10</v>
      </c>
      <c r="L7">
        <v>2.6393794623114471E-13</v>
      </c>
      <c r="M7">
        <v>3.7556826193568817E-12</v>
      </c>
      <c r="N7">
        <v>2.3944026362457291E-10</v>
      </c>
      <c r="O7">
        <v>3.1487242468948229E-12</v>
      </c>
      <c r="P7">
        <v>2.7621056310336579E-14</v>
      </c>
      <c r="Q7">
        <v>2.9830187500776411E-12</v>
      </c>
      <c r="R7">
        <v>1.8650869418725929E-14</v>
      </c>
      <c r="S7">
        <v>1.4732865769441581E-12</v>
      </c>
      <c r="T7">
        <v>4.192145630418992E-10</v>
      </c>
      <c r="U7">
        <v>1.3545902061923891E-9</v>
      </c>
      <c r="V7">
        <v>1.1332076608572501E-9</v>
      </c>
      <c r="W7">
        <v>1.8414257311726309E-11</v>
      </c>
      <c r="X7">
        <v>-1.21633362621078E-8</v>
      </c>
      <c r="Y7">
        <v>9.5618286323031613E-7</v>
      </c>
      <c r="Z7">
        <v>0</v>
      </c>
    </row>
    <row r="8" spans="1:26" x14ac:dyDescent="0.25">
      <c r="A8" s="1">
        <v>6</v>
      </c>
      <c r="B8" t="s">
        <v>2</v>
      </c>
      <c r="C8" t="s">
        <v>26</v>
      </c>
      <c r="D8">
        <v>9.503186713807969E-7</v>
      </c>
      <c r="E8">
        <v>9.4313333488544758E-10</v>
      </c>
      <c r="F8">
        <v>1.7929585876434769E-9</v>
      </c>
      <c r="G8">
        <v>5.5166931019582723E-12</v>
      </c>
      <c r="H8">
        <v>6.4794987104536714E-11</v>
      </c>
      <c r="I8">
        <v>8.1856371463554679E-12</v>
      </c>
      <c r="J8">
        <v>6.600122116784679E-11</v>
      </c>
      <c r="K8">
        <v>2.9790295914379701E-10</v>
      </c>
      <c r="L8">
        <v>2.267416467411516E-13</v>
      </c>
      <c r="M8">
        <v>3.4703806431253399E-12</v>
      </c>
      <c r="N8">
        <v>2.302328685500758E-10</v>
      </c>
      <c r="O8">
        <v>2.9743948334995492E-12</v>
      </c>
      <c r="P8">
        <v>2.756295388989265E-14</v>
      </c>
      <c r="Q8">
        <v>2.9462436207383609E-12</v>
      </c>
      <c r="R8">
        <v>1.6360864868472651E-14</v>
      </c>
      <c r="S8">
        <v>1.472293210135958E-12</v>
      </c>
      <c r="T8">
        <v>4.181894671236888E-10</v>
      </c>
      <c r="U8">
        <v>1.348787570089461E-9</v>
      </c>
      <c r="V8">
        <v>1.131860960422911E-9</v>
      </c>
      <c r="W8">
        <v>1.776578572893779E-11</v>
      </c>
      <c r="X8">
        <v>-1.052982922885144E-8</v>
      </c>
      <c r="Y8">
        <v>9.5451202669277483E-7</v>
      </c>
      <c r="Z8">
        <v>0</v>
      </c>
    </row>
    <row r="9" spans="1:26" x14ac:dyDescent="0.25">
      <c r="A9" s="1">
        <v>7</v>
      </c>
      <c r="B9" t="s">
        <v>2</v>
      </c>
      <c r="C9" t="s">
        <v>27</v>
      </c>
      <c r="D9">
        <v>9.5348001550470965E-7</v>
      </c>
      <c r="E9">
        <v>1.138085723840237E-9</v>
      </c>
      <c r="F9">
        <v>2.2252665650786028E-9</v>
      </c>
      <c r="G9">
        <v>5.696767777482838E-12</v>
      </c>
      <c r="H9">
        <v>6.6645417346954415E-11</v>
      </c>
      <c r="I9">
        <v>9.4380125230539792E-12</v>
      </c>
      <c r="J9">
        <v>9.2736981638361597E-11</v>
      </c>
      <c r="K9">
        <v>3.4210179606926621E-10</v>
      </c>
      <c r="L9">
        <v>3.9092001899967751E-13</v>
      </c>
      <c r="M9">
        <v>4.6136329288331203E-12</v>
      </c>
      <c r="N9">
        <v>2.7287249411332908E-10</v>
      </c>
      <c r="O9">
        <v>3.8881927431651999E-12</v>
      </c>
      <c r="P9">
        <v>2.8634524041660432E-14</v>
      </c>
      <c r="Q9">
        <v>3.1102700773177721E-12</v>
      </c>
      <c r="R9">
        <v>2.827364481789363E-14</v>
      </c>
      <c r="S9">
        <v>1.4893850769440491E-12</v>
      </c>
      <c r="T9">
        <v>4.2361150213104821E-10</v>
      </c>
      <c r="U9">
        <v>1.3687411846355359E-9</v>
      </c>
      <c r="V9">
        <v>1.1387533648431821E-9</v>
      </c>
      <c r="W9">
        <v>2.0824902393075789E-11</v>
      </c>
      <c r="X9">
        <v>-1.6777825815954991E-8</v>
      </c>
      <c r="Y9">
        <v>9.6313950760723114E-7</v>
      </c>
      <c r="Z9">
        <v>0</v>
      </c>
    </row>
    <row r="10" spans="1:26" x14ac:dyDescent="0.25">
      <c r="A10" s="1">
        <v>8</v>
      </c>
      <c r="B10" t="s">
        <v>2</v>
      </c>
      <c r="C10" t="s">
        <v>28</v>
      </c>
      <c r="D10">
        <v>9.5250232664905144E-7</v>
      </c>
      <c r="E10">
        <v>1.003886328824253E-9</v>
      </c>
      <c r="F10">
        <v>1.9801146592252562E-9</v>
      </c>
      <c r="G10">
        <v>5.5936357570887597E-12</v>
      </c>
      <c r="H10">
        <v>6.6141455796705958E-11</v>
      </c>
      <c r="I10">
        <v>8.7297215346168407E-12</v>
      </c>
      <c r="J10">
        <v>7.6988400011939736E-11</v>
      </c>
      <c r="K10">
        <v>3.1768139320031182E-10</v>
      </c>
      <c r="L10">
        <v>3.0407322771880861E-13</v>
      </c>
      <c r="M10">
        <v>3.8868335728181552E-12</v>
      </c>
      <c r="N10">
        <v>2.5346794776299071E-10</v>
      </c>
      <c r="O10">
        <v>3.39345545878169E-12</v>
      </c>
      <c r="P10">
        <v>2.791678142894534E-14</v>
      </c>
      <c r="Q10">
        <v>3.017612948510653E-12</v>
      </c>
      <c r="R10">
        <v>2.1029202025504569E-14</v>
      </c>
      <c r="S10">
        <v>1.4779708548330981E-12</v>
      </c>
      <c r="T10">
        <v>4.204399303135138E-10</v>
      </c>
      <c r="U10">
        <v>1.358288820431755E-9</v>
      </c>
      <c r="V10">
        <v>1.134615558812683E-9</v>
      </c>
      <c r="W10">
        <v>1.9066669409794431E-11</v>
      </c>
      <c r="X10">
        <v>-1.298503285876221E-8</v>
      </c>
      <c r="Y10">
        <v>9.5883020628750111E-7</v>
      </c>
      <c r="Z10">
        <v>0</v>
      </c>
    </row>
    <row r="11" spans="1:26" x14ac:dyDescent="0.25">
      <c r="A11" s="1">
        <v>9</v>
      </c>
      <c r="B11" t="s">
        <v>2</v>
      </c>
      <c r="C11" t="s">
        <v>29</v>
      </c>
      <c r="D11">
        <v>9.5111121246004879E-7</v>
      </c>
      <c r="E11">
        <v>9.9385654442931169E-10</v>
      </c>
      <c r="F11">
        <v>1.9281541554138139E-9</v>
      </c>
      <c r="G11">
        <v>5.5548811864968207E-12</v>
      </c>
      <c r="H11">
        <v>6.5608232798546419E-11</v>
      </c>
      <c r="I11">
        <v>8.5024844708916186E-12</v>
      </c>
      <c r="J11">
        <v>7.2584357578007159E-11</v>
      </c>
      <c r="K11">
        <v>3.0871645473920941E-10</v>
      </c>
      <c r="L11">
        <v>2.688404670703754E-13</v>
      </c>
      <c r="M11">
        <v>3.7800694772693976E-12</v>
      </c>
      <c r="N11">
        <v>2.4254683155113999E-10</v>
      </c>
      <c r="O11">
        <v>3.1746847630549242E-12</v>
      </c>
      <c r="P11">
        <v>2.7686853075891109E-14</v>
      </c>
      <c r="Q11">
        <v>2.9838419255677899E-12</v>
      </c>
      <c r="R11">
        <v>1.8601302497509181E-14</v>
      </c>
      <c r="S11">
        <v>1.4770466496172869E-12</v>
      </c>
      <c r="T11">
        <v>4.1990153485303671E-10</v>
      </c>
      <c r="U11">
        <v>1.3555687831140431E-9</v>
      </c>
      <c r="V11">
        <v>1.133115487020876E-9</v>
      </c>
      <c r="W11">
        <v>1.8565320081162031E-11</v>
      </c>
      <c r="X11">
        <v>-1.228984238517049E-8</v>
      </c>
      <c r="Y11">
        <v>9.5683663919066513E-7</v>
      </c>
      <c r="Z1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1"/>
  <sheetViews>
    <sheetView workbookViewId="0"/>
  </sheetViews>
  <sheetFormatPr defaultRowHeight="15" x14ac:dyDescent="0.25"/>
  <sheetData>
    <row r="1" spans="1:28" x14ac:dyDescent="0.25">
      <c r="B1" s="1" t="s">
        <v>0</v>
      </c>
      <c r="C1" s="1" t="s">
        <v>1</v>
      </c>
      <c r="D1" s="1" t="s">
        <v>30</v>
      </c>
      <c r="E1" s="1" t="s">
        <v>31</v>
      </c>
      <c r="F1" s="1" t="s">
        <v>3</v>
      </c>
      <c r="G1" s="1" t="s">
        <v>3</v>
      </c>
      <c r="H1" s="1" t="s">
        <v>4</v>
      </c>
      <c r="I1" s="1" t="s">
        <v>4</v>
      </c>
      <c r="J1" s="1" t="s">
        <v>5</v>
      </c>
      <c r="K1" s="1" t="s">
        <v>6</v>
      </c>
      <c r="L1" s="1" t="s">
        <v>32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12</v>
      </c>
      <c r="T1" s="1" t="s">
        <v>13</v>
      </c>
      <c r="U1" s="1" t="s">
        <v>14</v>
      </c>
      <c r="V1" s="1" t="s">
        <v>14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</row>
    <row r="2" spans="1:28" x14ac:dyDescent="0.25">
      <c r="A2" s="1">
        <v>0</v>
      </c>
      <c r="B2" t="s">
        <v>30</v>
      </c>
      <c r="C2" t="s">
        <v>20</v>
      </c>
      <c r="D2">
        <v>9.5307535645611136E-7</v>
      </c>
      <c r="E2">
        <v>4.0546147976867789E-9</v>
      </c>
      <c r="F2">
        <v>1.31309814062358E-9</v>
      </c>
      <c r="G2">
        <v>2.5970109731014751E-9</v>
      </c>
      <c r="H2">
        <v>5.8127682726342811E-12</v>
      </c>
      <c r="I2">
        <v>6.8636693221775684E-11</v>
      </c>
      <c r="J2">
        <v>1.017098462894019E-11</v>
      </c>
      <c r="K2">
        <v>1.124817770078549E-10</v>
      </c>
      <c r="L2">
        <v>1.5936723440818071E-11</v>
      </c>
      <c r="M2">
        <v>3.7298743513484571E-10</v>
      </c>
      <c r="N2">
        <v>4.7891085703043402E-13</v>
      </c>
      <c r="O2">
        <v>5.7590231510221646E-12</v>
      </c>
      <c r="P2">
        <v>3.0469629556606532E-10</v>
      </c>
      <c r="Q2">
        <v>4.2961238330995238E-12</v>
      </c>
      <c r="R2">
        <v>2.9249804033939099E-14</v>
      </c>
      <c r="S2">
        <v>3.1892757146410632E-12</v>
      </c>
      <c r="T2">
        <v>3.2349310076402252E-14</v>
      </c>
      <c r="U2">
        <v>1.5054612014536191E-12</v>
      </c>
      <c r="V2">
        <v>4.2841781974018083E-10</v>
      </c>
      <c r="W2">
        <v>1.38530356942335E-9</v>
      </c>
      <c r="X2">
        <v>1.1415083671961649E-9</v>
      </c>
      <c r="Y2">
        <v>2.2776474813423301E-11</v>
      </c>
      <c r="Z2">
        <v>-1.064606976751429E-8</v>
      </c>
      <c r="AA2">
        <v>9.5187271942591154E-7</v>
      </c>
      <c r="AB2">
        <v>0</v>
      </c>
    </row>
    <row r="3" spans="1:28" x14ac:dyDescent="0.25">
      <c r="A3" s="1">
        <v>1</v>
      </c>
      <c r="B3" t="s">
        <v>30</v>
      </c>
      <c r="C3" t="s">
        <v>21</v>
      </c>
      <c r="D3">
        <v>9.5203026432706964E-7</v>
      </c>
      <c r="E3">
        <v>3.081254839415163E-9</v>
      </c>
      <c r="F3">
        <v>1.1726768008537419E-9</v>
      </c>
      <c r="G3">
        <v>2.297252357477355E-9</v>
      </c>
      <c r="H3">
        <v>5.7375569759071703E-12</v>
      </c>
      <c r="I3">
        <v>6.7110447308051141E-11</v>
      </c>
      <c r="J3">
        <v>9.5873446726173439E-12</v>
      </c>
      <c r="K3">
        <v>9.6824703087388144E-11</v>
      </c>
      <c r="L3">
        <v>1.4318344170606791E-11</v>
      </c>
      <c r="M3">
        <v>3.5296418588368151E-10</v>
      </c>
      <c r="N3">
        <v>4.1053195823288051E-13</v>
      </c>
      <c r="O3">
        <v>4.859328350843603E-12</v>
      </c>
      <c r="P3">
        <v>2.8594520184785811E-10</v>
      </c>
      <c r="Q3">
        <v>4.0003253636290288E-12</v>
      </c>
      <c r="R3">
        <v>2.8871841520164529E-14</v>
      </c>
      <c r="S3">
        <v>3.129019509339637E-12</v>
      </c>
      <c r="T3">
        <v>2.9326546284949979E-14</v>
      </c>
      <c r="U3">
        <v>1.4920192800732959E-12</v>
      </c>
      <c r="V3">
        <v>4.2455217591817308E-10</v>
      </c>
      <c r="W3">
        <v>1.3716366844403319E-9</v>
      </c>
      <c r="X3">
        <v>1.1393928725749759E-9</v>
      </c>
      <c r="Y3">
        <v>2.1174436289653849E-11</v>
      </c>
      <c r="Z3">
        <v>-8.0487081094769316E-9</v>
      </c>
      <c r="AA3">
        <v>9.4972463144478883E-7</v>
      </c>
      <c r="AB3">
        <v>0</v>
      </c>
    </row>
    <row r="4" spans="1:28" x14ac:dyDescent="0.25">
      <c r="A4" s="1">
        <v>2</v>
      </c>
      <c r="B4" t="s">
        <v>30</v>
      </c>
      <c r="C4" t="s">
        <v>22</v>
      </c>
      <c r="D4">
        <v>9.4857117426071319E-7</v>
      </c>
      <c r="E4">
        <v>2.466034025559584E-9</v>
      </c>
      <c r="F4">
        <v>1.04125004529947E-9</v>
      </c>
      <c r="G4">
        <v>2.033610859321044E-9</v>
      </c>
      <c r="H4">
        <v>5.6277207482439846E-12</v>
      </c>
      <c r="I4">
        <v>6.5894298036257967E-11</v>
      </c>
      <c r="J4">
        <v>8.8823292372092381E-12</v>
      </c>
      <c r="K4">
        <v>8.2455020968962781E-11</v>
      </c>
      <c r="L4">
        <v>1.328993444361111E-11</v>
      </c>
      <c r="M4">
        <v>3.2853778619042699E-10</v>
      </c>
      <c r="N4">
        <v>3.2424466329842372E-13</v>
      </c>
      <c r="O4">
        <v>4.1030639865025793E-12</v>
      </c>
      <c r="P4">
        <v>2.6266597792707382E-10</v>
      </c>
      <c r="Q4">
        <v>3.535436293204019E-12</v>
      </c>
      <c r="R4">
        <v>2.8079851089369361E-14</v>
      </c>
      <c r="S4">
        <v>3.0380630705902362E-12</v>
      </c>
      <c r="T4">
        <v>2.344222289871197E-14</v>
      </c>
      <c r="U4">
        <v>1.479378911824392E-12</v>
      </c>
      <c r="V4">
        <v>4.2085832605458788E-10</v>
      </c>
      <c r="W4">
        <v>1.359580533930711E-9</v>
      </c>
      <c r="X4">
        <v>1.1354504513851191E-9</v>
      </c>
      <c r="Y4">
        <v>1.9355837187390662E-11</v>
      </c>
      <c r="Z4">
        <v>-6.4700924899912162E-9</v>
      </c>
      <c r="AA4">
        <v>9.4578527815902575E-7</v>
      </c>
      <c r="AB4">
        <v>0</v>
      </c>
    </row>
    <row r="5" spans="1:28" x14ac:dyDescent="0.25">
      <c r="A5" s="1">
        <v>3</v>
      </c>
      <c r="B5" t="s">
        <v>30</v>
      </c>
      <c r="C5" t="s">
        <v>23</v>
      </c>
      <c r="D5">
        <v>9.4588412552149598E-7</v>
      </c>
      <c r="E5">
        <v>2.3015082736176622E-9</v>
      </c>
      <c r="F5">
        <v>9.9738593047858568E-10</v>
      </c>
      <c r="G5">
        <v>1.9306603107997182E-9</v>
      </c>
      <c r="H5">
        <v>5.5664087445463227E-12</v>
      </c>
      <c r="I5">
        <v>6.5472260300295042E-11</v>
      </c>
      <c r="J5">
        <v>8.582185162617371E-12</v>
      </c>
      <c r="K5">
        <v>7.7167424666210686E-11</v>
      </c>
      <c r="L5">
        <v>1.301121234858615E-11</v>
      </c>
      <c r="M5">
        <v>3.172169818145079E-10</v>
      </c>
      <c r="N5">
        <v>2.80029323969484E-13</v>
      </c>
      <c r="O5">
        <v>3.9222457587190969E-12</v>
      </c>
      <c r="P5">
        <v>2.5291546676395558E-10</v>
      </c>
      <c r="Q5">
        <v>3.2842946235508751E-12</v>
      </c>
      <c r="R5">
        <v>2.7641242418963231E-14</v>
      </c>
      <c r="S5">
        <v>2.99963315869198E-12</v>
      </c>
      <c r="T5">
        <v>2.07511716118396E-14</v>
      </c>
      <c r="U5">
        <v>1.474756990460029E-12</v>
      </c>
      <c r="V5">
        <v>4.1940747645377688E-10</v>
      </c>
      <c r="W5">
        <v>1.35479579679394E-9</v>
      </c>
      <c r="X5">
        <v>1.1338505444982219E-9</v>
      </c>
      <c r="Y5">
        <v>1.8621353836138509E-11</v>
      </c>
      <c r="Z5">
        <v>-6.0931877892627141E-9</v>
      </c>
      <c r="AA5">
        <v>9.430691785010144E-7</v>
      </c>
      <c r="AB5">
        <v>0</v>
      </c>
    </row>
    <row r="6" spans="1:28" x14ac:dyDescent="0.25">
      <c r="A6" s="1">
        <v>4</v>
      </c>
      <c r="B6" t="s">
        <v>30</v>
      </c>
      <c r="C6" t="s">
        <v>24</v>
      </c>
      <c r="D6">
        <v>9.480289877390466E-7</v>
      </c>
      <c r="E6">
        <v>2.6255755078748651E-9</v>
      </c>
      <c r="F6">
        <v>1.0108405852420659E-9</v>
      </c>
      <c r="G6">
        <v>2.0665967605308451E-9</v>
      </c>
      <c r="H6">
        <v>5.6214489065231094E-12</v>
      </c>
      <c r="I6">
        <v>6.62569839427411E-11</v>
      </c>
      <c r="J6">
        <v>9.0979864020275074E-12</v>
      </c>
      <c r="K6">
        <v>8.5928739052605788E-11</v>
      </c>
      <c r="L6">
        <v>1.3307625740131709E-11</v>
      </c>
      <c r="M6">
        <v>3.2945389268640919E-10</v>
      </c>
      <c r="N6">
        <v>3.4511652894748861E-13</v>
      </c>
      <c r="O6">
        <v>4.2419395488450076E-12</v>
      </c>
      <c r="P6">
        <v>2.6614815904344449E-10</v>
      </c>
      <c r="Q6">
        <v>3.6351560140942842E-12</v>
      </c>
      <c r="R6">
        <v>2.801268772256059E-14</v>
      </c>
      <c r="S6">
        <v>3.0738250063583932E-12</v>
      </c>
      <c r="T6">
        <v>2.4870299751939241E-14</v>
      </c>
      <c r="U6">
        <v>1.478313440170582E-12</v>
      </c>
      <c r="V6">
        <v>4.2114397671281749E-10</v>
      </c>
      <c r="W6">
        <v>1.363068987387124E-9</v>
      </c>
      <c r="X6">
        <v>1.1373323557726819E-9</v>
      </c>
      <c r="Y6">
        <v>1.9886761908154631E-11</v>
      </c>
      <c r="Z6">
        <v>-6.9236129306622282E-9</v>
      </c>
      <c r="AA6">
        <v>9.4551954991120381E-7</v>
      </c>
      <c r="AB6">
        <v>0</v>
      </c>
    </row>
    <row r="7" spans="1:28" x14ac:dyDescent="0.25">
      <c r="A7" s="1">
        <v>5</v>
      </c>
      <c r="B7" t="s">
        <v>30</v>
      </c>
      <c r="C7" t="s">
        <v>25</v>
      </c>
      <c r="D7">
        <v>9.4424739075575801E-7</v>
      </c>
      <c r="E7">
        <v>2.090656157251444E-9</v>
      </c>
      <c r="F7">
        <v>9.4013306714857646E-10</v>
      </c>
      <c r="G7">
        <v>1.8889606748666501E-9</v>
      </c>
      <c r="H7">
        <v>5.5457799924743672E-12</v>
      </c>
      <c r="I7">
        <v>6.5784885884819734E-11</v>
      </c>
      <c r="J7">
        <v>8.4529191071689455E-12</v>
      </c>
      <c r="K7">
        <v>7.191906123985162E-11</v>
      </c>
      <c r="L7">
        <v>1.3003015846116101E-11</v>
      </c>
      <c r="M7">
        <v>3.0608954224416602E-10</v>
      </c>
      <c r="N7">
        <v>2.6393794623114471E-13</v>
      </c>
      <c r="O7">
        <v>3.7556826193568817E-12</v>
      </c>
      <c r="P7">
        <v>2.3944026362457291E-10</v>
      </c>
      <c r="Q7">
        <v>3.1487242468948229E-12</v>
      </c>
      <c r="R7">
        <v>2.7621056310336579E-14</v>
      </c>
      <c r="S7">
        <v>2.9830187500776411E-12</v>
      </c>
      <c r="T7">
        <v>1.8650869418725929E-14</v>
      </c>
      <c r="U7">
        <v>1.473117778758446E-12</v>
      </c>
      <c r="V7">
        <v>4.1916653256448041E-10</v>
      </c>
      <c r="W7">
        <v>1.354435007351401E-9</v>
      </c>
      <c r="X7">
        <v>1.1332076608572501E-9</v>
      </c>
      <c r="Y7">
        <v>1.8414257311726309E-11</v>
      </c>
      <c r="Z7">
        <v>-5.5343570283902041E-9</v>
      </c>
      <c r="AA7">
        <v>9.4121490431290164E-7</v>
      </c>
      <c r="AB7">
        <v>0</v>
      </c>
    </row>
    <row r="8" spans="1:28" x14ac:dyDescent="0.25">
      <c r="A8" s="1">
        <v>6</v>
      </c>
      <c r="B8" t="s">
        <v>30</v>
      </c>
      <c r="C8" t="s">
        <v>26</v>
      </c>
      <c r="D8">
        <v>9.4293889403662524E-7</v>
      </c>
      <c r="E8">
        <v>1.8111315393137081E-9</v>
      </c>
      <c r="F8">
        <v>9.430252777034276E-10</v>
      </c>
      <c r="G8">
        <v>1.7927531638234389E-9</v>
      </c>
      <c r="H8">
        <v>5.5166931019582723E-12</v>
      </c>
      <c r="I8">
        <v>6.4794987104536714E-11</v>
      </c>
      <c r="J8">
        <v>8.1856371463554679E-12</v>
      </c>
      <c r="K8">
        <v>6.600122116784679E-11</v>
      </c>
      <c r="L8">
        <v>1.2733861292507011E-11</v>
      </c>
      <c r="M8">
        <v>2.9790295914379701E-10</v>
      </c>
      <c r="N8">
        <v>2.267416467411516E-13</v>
      </c>
      <c r="O8">
        <v>3.4703806431253399E-12</v>
      </c>
      <c r="P8">
        <v>2.302328685500758E-10</v>
      </c>
      <c r="Q8">
        <v>2.9743948334995492E-12</v>
      </c>
      <c r="R8">
        <v>2.756295388989265E-14</v>
      </c>
      <c r="S8">
        <v>2.9462436207383609E-12</v>
      </c>
      <c r="T8">
        <v>1.6360864868472651E-14</v>
      </c>
      <c r="U8">
        <v>1.4721245257628051E-12</v>
      </c>
      <c r="V8">
        <v>4.1814155409411389E-10</v>
      </c>
      <c r="W8">
        <v>1.3486330360714459E-9</v>
      </c>
      <c r="X8">
        <v>1.131860960422911E-9</v>
      </c>
      <c r="Y8">
        <v>1.776578572893779E-11</v>
      </c>
      <c r="Z8">
        <v>-4.791106086739382E-9</v>
      </c>
      <c r="AA8">
        <v>9.3957022282750963E-7</v>
      </c>
      <c r="AB8">
        <v>0</v>
      </c>
    </row>
    <row r="9" spans="1:28" x14ac:dyDescent="0.25">
      <c r="A9" s="1">
        <v>7</v>
      </c>
      <c r="B9" t="s">
        <v>30</v>
      </c>
      <c r="C9" t="s">
        <v>27</v>
      </c>
      <c r="D9">
        <v>9.5047552644581366E-7</v>
      </c>
      <c r="E9">
        <v>2.9150078578918291E-9</v>
      </c>
      <c r="F9">
        <v>1.137955330467778E-9</v>
      </c>
      <c r="G9">
        <v>2.225011610635397E-9</v>
      </c>
      <c r="H9">
        <v>5.696767777482838E-12</v>
      </c>
      <c r="I9">
        <v>6.6645417346954415E-11</v>
      </c>
      <c r="J9">
        <v>9.4380125230539792E-12</v>
      </c>
      <c r="K9">
        <v>9.2736981638361597E-11</v>
      </c>
      <c r="L9">
        <v>1.413604121883571E-11</v>
      </c>
      <c r="M9">
        <v>3.4210179606926621E-10</v>
      </c>
      <c r="N9">
        <v>3.9092001899967751E-13</v>
      </c>
      <c r="O9">
        <v>4.6136329288331203E-12</v>
      </c>
      <c r="P9">
        <v>2.7287249411332908E-10</v>
      </c>
      <c r="Q9">
        <v>3.8881927431651999E-12</v>
      </c>
      <c r="R9">
        <v>2.8634524041660432E-14</v>
      </c>
      <c r="S9">
        <v>3.1102700773177721E-12</v>
      </c>
      <c r="T9">
        <v>2.827364481789363E-14</v>
      </c>
      <c r="U9">
        <v>1.4892144343123E-12</v>
      </c>
      <c r="V9">
        <v>4.2356296788514881E-10</v>
      </c>
      <c r="W9">
        <v>1.3685843644809971E-9</v>
      </c>
      <c r="X9">
        <v>1.1387533648431821E-9</v>
      </c>
      <c r="Y9">
        <v>2.0824902393075789E-11</v>
      </c>
      <c r="Z9">
        <v>-7.6339645821438616E-9</v>
      </c>
      <c r="AA9">
        <v>9.480626503072574E-7</v>
      </c>
      <c r="AB9">
        <v>0</v>
      </c>
    </row>
    <row r="10" spans="1:28" x14ac:dyDescent="0.25">
      <c r="A10" s="1">
        <v>8</v>
      </c>
      <c r="B10" t="s">
        <v>30</v>
      </c>
      <c r="C10" t="s">
        <v>28</v>
      </c>
      <c r="D10">
        <v>9.468272440847444E-7</v>
      </c>
      <c r="E10">
        <v>2.244802744772271E-9</v>
      </c>
      <c r="F10">
        <v>1.0037713110173871E-9</v>
      </c>
      <c r="G10">
        <v>1.979887792458663E-9</v>
      </c>
      <c r="H10">
        <v>5.5936357570887597E-12</v>
      </c>
      <c r="I10">
        <v>6.6141455796705958E-11</v>
      </c>
      <c r="J10">
        <v>8.7297215346168407E-12</v>
      </c>
      <c r="K10">
        <v>7.6988400011939736E-11</v>
      </c>
      <c r="L10">
        <v>1.330537389765832E-11</v>
      </c>
      <c r="M10">
        <v>3.1768139320031182E-10</v>
      </c>
      <c r="N10">
        <v>3.0407322771880861E-13</v>
      </c>
      <c r="O10">
        <v>3.8868335728181552E-12</v>
      </c>
      <c r="P10">
        <v>2.5346794776299071E-10</v>
      </c>
      <c r="Q10">
        <v>3.39345545878169E-12</v>
      </c>
      <c r="R10">
        <v>2.791678142894534E-14</v>
      </c>
      <c r="S10">
        <v>3.017612948510653E-12</v>
      </c>
      <c r="T10">
        <v>2.1029202025504569E-14</v>
      </c>
      <c r="U10">
        <v>1.47780151995777E-12</v>
      </c>
      <c r="V10">
        <v>4.2039175944265389E-10</v>
      </c>
      <c r="W10">
        <v>1.3581331978311361E-9</v>
      </c>
      <c r="X10">
        <v>1.134615558812683E-9</v>
      </c>
      <c r="Y10">
        <v>1.9066669409794431E-11</v>
      </c>
      <c r="Z10">
        <v>-5.9082316164886693E-9</v>
      </c>
      <c r="AA10">
        <v>9.4382080621521535E-7</v>
      </c>
      <c r="AB10">
        <v>0</v>
      </c>
    </row>
    <row r="11" spans="1:28" x14ac:dyDescent="0.25">
      <c r="A11" s="1">
        <v>9</v>
      </c>
      <c r="B11" t="s">
        <v>30</v>
      </c>
      <c r="C11" t="s">
        <v>29</v>
      </c>
      <c r="D11">
        <v>9.4495717273320477E-7</v>
      </c>
      <c r="E11">
        <v>2.1134717891800928E-9</v>
      </c>
      <c r="F11">
        <v>9.9374267576032286E-10</v>
      </c>
      <c r="G11">
        <v>1.9279332418941381E-9</v>
      </c>
      <c r="H11">
        <v>5.5548811864968207E-12</v>
      </c>
      <c r="I11">
        <v>6.5608232798546419E-11</v>
      </c>
      <c r="J11">
        <v>8.5024844708916186E-12</v>
      </c>
      <c r="K11">
        <v>7.2584357578007159E-11</v>
      </c>
      <c r="L11">
        <v>1.3341175055154179E-11</v>
      </c>
      <c r="M11">
        <v>3.0871645473920941E-10</v>
      </c>
      <c r="N11">
        <v>2.688404670703754E-13</v>
      </c>
      <c r="O11">
        <v>3.7800694772693976E-12</v>
      </c>
      <c r="P11">
        <v>2.4254683155113999E-10</v>
      </c>
      <c r="Q11">
        <v>3.1746847630549242E-12</v>
      </c>
      <c r="R11">
        <v>2.7686853075891109E-14</v>
      </c>
      <c r="S11">
        <v>2.9838419255677899E-12</v>
      </c>
      <c r="T11">
        <v>1.8601302497509181E-14</v>
      </c>
      <c r="U11">
        <v>1.476877420630499E-12</v>
      </c>
      <c r="V11">
        <v>4.1985342566746978E-10</v>
      </c>
      <c r="W11">
        <v>1.3554134721549901E-9</v>
      </c>
      <c r="X11">
        <v>1.133115487020876E-9</v>
      </c>
      <c r="Y11">
        <v>1.8565320081162031E-11</v>
      </c>
      <c r="Z11">
        <v>-5.5919177203105166E-9</v>
      </c>
      <c r="AA11">
        <v>9.4185844615162712E-7</v>
      </c>
      <c r="AB1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1"/>
  <sheetViews>
    <sheetView tabSelected="1" topLeftCell="AA1" workbookViewId="0">
      <selection activeCell="AQ17" sqref="AQ17"/>
    </sheetView>
  </sheetViews>
  <sheetFormatPr defaultRowHeight="15" x14ac:dyDescent="0.25"/>
  <sheetData>
    <row r="1" spans="1:27" x14ac:dyDescent="0.25">
      <c r="B1" s="1" t="s">
        <v>0</v>
      </c>
      <c r="C1" s="1" t="s">
        <v>1</v>
      </c>
      <c r="D1" s="1" t="s">
        <v>33</v>
      </c>
      <c r="E1" s="1" t="s">
        <v>3</v>
      </c>
      <c r="F1" s="1" t="s">
        <v>3</v>
      </c>
      <c r="G1" s="1" t="s">
        <v>4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  <c r="S1" s="1" t="s">
        <v>14</v>
      </c>
      <c r="T1" s="1" t="s">
        <v>14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0" t="s">
        <v>54</v>
      </c>
      <c r="AA1" s="1" t="s">
        <v>19</v>
      </c>
    </row>
    <row r="2" spans="1:27" x14ac:dyDescent="0.25">
      <c r="A2" s="1">
        <v>0</v>
      </c>
      <c r="B2" t="s">
        <v>33</v>
      </c>
      <c r="C2" t="s">
        <v>20</v>
      </c>
      <c r="D2">
        <v>9.7478902567616847E-7</v>
      </c>
      <c r="E2">
        <v>1.313248602852054E-9</v>
      </c>
      <c r="F2">
        <v>2.5973085533403782E-9</v>
      </c>
      <c r="G2">
        <v>5.8127682726342811E-12</v>
      </c>
      <c r="H2">
        <v>6.8636693221775684E-11</v>
      </c>
      <c r="I2">
        <v>1.017098462894019E-11</v>
      </c>
      <c r="J2">
        <v>1.124817770078549E-10</v>
      </c>
      <c r="K2">
        <v>3.7298743513484571E-10</v>
      </c>
      <c r="L2">
        <v>4.7891085703043402E-13</v>
      </c>
      <c r="M2">
        <v>5.7590231510221646E-12</v>
      </c>
      <c r="N2">
        <v>3.0469629556606532E-10</v>
      </c>
      <c r="O2">
        <v>4.2961238330995238E-12</v>
      </c>
      <c r="P2">
        <v>2.9249804033939099E-14</v>
      </c>
      <c r="Q2">
        <v>3.1892757146410632E-12</v>
      </c>
      <c r="R2">
        <v>3.2349310076402252E-14</v>
      </c>
      <c r="S2">
        <v>1.505633705732046E-12</v>
      </c>
      <c r="T2">
        <v>4.2846691028252639E-10</v>
      </c>
      <c r="U2">
        <v>1.385462305359217E-9</v>
      </c>
      <c r="V2">
        <v>1.1415083671961649E-9</v>
      </c>
      <c r="W2">
        <v>2.2776474813423301E-11</v>
      </c>
      <c r="X2">
        <v>0</v>
      </c>
      <c r="Y2">
        <v>8.299461343524729E-7</v>
      </c>
      <c r="Z2">
        <v>1.3706403316705533E-7</v>
      </c>
      <c r="AA2">
        <v>0</v>
      </c>
    </row>
    <row r="3" spans="1:27" x14ac:dyDescent="0.25">
      <c r="A3" s="1">
        <v>1</v>
      </c>
      <c r="B3" t="s">
        <v>33</v>
      </c>
      <c r="C3" t="s">
        <v>21</v>
      </c>
      <c r="D3">
        <v>9.7208733709814962E-7</v>
      </c>
      <c r="E3">
        <v>1.172811172809105E-9</v>
      </c>
      <c r="F3">
        <v>2.297515589674847E-9</v>
      </c>
      <c r="G3">
        <v>5.7375569759071703E-12</v>
      </c>
      <c r="H3">
        <v>6.7110447308051141E-11</v>
      </c>
      <c r="I3">
        <v>9.5873446726173439E-12</v>
      </c>
      <c r="J3">
        <v>9.6824703087388144E-11</v>
      </c>
      <c r="K3">
        <v>3.5296418588368151E-10</v>
      </c>
      <c r="L3">
        <v>4.1053195823288051E-13</v>
      </c>
      <c r="M3">
        <v>4.859328350843603E-12</v>
      </c>
      <c r="N3">
        <v>2.8594520184785811E-10</v>
      </c>
      <c r="O3">
        <v>4.0003253636290288E-12</v>
      </c>
      <c r="P3">
        <v>2.8871841520164529E-14</v>
      </c>
      <c r="Q3">
        <v>3.129019509339637E-12</v>
      </c>
      <c r="R3">
        <v>2.9326546284949979E-14</v>
      </c>
      <c r="S3">
        <v>1.492190244100176E-12</v>
      </c>
      <c r="T3">
        <v>4.2460082351313661E-10</v>
      </c>
      <c r="U3">
        <v>1.371793854347073E-9</v>
      </c>
      <c r="V3">
        <v>1.1393928725749759E-9</v>
      </c>
      <c r="W3">
        <v>2.1174436289653849E-11</v>
      </c>
      <c r="X3">
        <v>0</v>
      </c>
      <c r="Y3">
        <v>8.2807319768793912E-7</v>
      </c>
      <c r="Z3">
        <v>1.3675472122200032E-7</v>
      </c>
      <c r="AA3">
        <v>0</v>
      </c>
    </row>
    <row r="4" spans="1:27" x14ac:dyDescent="0.25">
      <c r="A4" s="1">
        <v>2</v>
      </c>
      <c r="B4" t="s">
        <v>33</v>
      </c>
      <c r="C4" t="s">
        <v>22</v>
      </c>
      <c r="D4">
        <v>9.6760318662924254E-7</v>
      </c>
      <c r="E4">
        <v>1.041369357632151E-9</v>
      </c>
      <c r="F4">
        <v>2.033843881981177E-9</v>
      </c>
      <c r="G4">
        <v>5.6277207482439846E-12</v>
      </c>
      <c r="H4">
        <v>6.5894298036257967E-11</v>
      </c>
      <c r="I4">
        <v>8.8823292372092381E-12</v>
      </c>
      <c r="J4">
        <v>8.2455020968962781E-11</v>
      </c>
      <c r="K4">
        <v>3.2853778619042699E-10</v>
      </c>
      <c r="L4">
        <v>3.2424466329842372E-13</v>
      </c>
      <c r="M4">
        <v>4.1030639865025793E-12</v>
      </c>
      <c r="N4">
        <v>2.6266597792707382E-10</v>
      </c>
      <c r="O4">
        <v>3.535436293204019E-12</v>
      </c>
      <c r="P4">
        <v>2.8079851089369361E-14</v>
      </c>
      <c r="Q4">
        <v>3.0380630705902362E-12</v>
      </c>
      <c r="R4">
        <v>2.344222289871197E-14</v>
      </c>
      <c r="S4">
        <v>1.4795484274462211E-12</v>
      </c>
      <c r="T4">
        <v>4.2090655038729101E-10</v>
      </c>
      <c r="U4">
        <v>1.359736322375305E-9</v>
      </c>
      <c r="V4">
        <v>1.1354504513851191E-9</v>
      </c>
      <c r="W4">
        <v>1.9355837187390662E-11</v>
      </c>
      <c r="X4">
        <v>0</v>
      </c>
      <c r="Y4">
        <v>8.2463844116572339E-7</v>
      </c>
      <c r="Z4">
        <v>1.3618747768366029E-7</v>
      </c>
      <c r="AA4">
        <v>0</v>
      </c>
    </row>
    <row r="5" spans="1:27" x14ac:dyDescent="0.25">
      <c r="A5" s="1">
        <v>3</v>
      </c>
      <c r="B5" t="s">
        <v>33</v>
      </c>
      <c r="C5" t="s">
        <v>23</v>
      </c>
      <c r="D5">
        <v>9.6466082639439616E-7</v>
      </c>
      <c r="E5">
        <v>9.9750021661235301E-10</v>
      </c>
      <c r="F5">
        <v>1.9308815368024069E-9</v>
      </c>
      <c r="G5">
        <v>5.5664087445463227E-12</v>
      </c>
      <c r="H5">
        <v>6.5472260300295042E-11</v>
      </c>
      <c r="I5">
        <v>8.582185162617371E-12</v>
      </c>
      <c r="J5">
        <v>7.7167424666210686E-11</v>
      </c>
      <c r="K5">
        <v>3.172169818145079E-10</v>
      </c>
      <c r="L5">
        <v>2.80029323969484E-13</v>
      </c>
      <c r="M5">
        <v>3.9222457587190969E-12</v>
      </c>
      <c r="N5">
        <v>2.5291546676395558E-10</v>
      </c>
      <c r="O5">
        <v>3.2842946235508751E-12</v>
      </c>
      <c r="P5">
        <v>2.7641242418963231E-14</v>
      </c>
      <c r="Q5">
        <v>2.99963315869198E-12</v>
      </c>
      <c r="R5">
        <v>2.07511716118396E-14</v>
      </c>
      <c r="S5">
        <v>1.4749259764759101E-12</v>
      </c>
      <c r="T5">
        <v>4.194555345399152E-10</v>
      </c>
      <c r="U5">
        <v>1.354951036976226E-9</v>
      </c>
      <c r="V5">
        <v>1.1338505444982219E-9</v>
      </c>
      <c r="W5">
        <v>1.8621353836138509E-11</v>
      </c>
      <c r="X5">
        <v>0</v>
      </c>
      <c r="Y5">
        <v>8.2227025016110855E-7</v>
      </c>
      <c r="Z5">
        <v>1.3579637542175784E-7</v>
      </c>
      <c r="AA5">
        <v>0</v>
      </c>
    </row>
    <row r="6" spans="1:27" x14ac:dyDescent="0.25">
      <c r="A6" s="1">
        <v>4</v>
      </c>
      <c r="B6" t="s">
        <v>33</v>
      </c>
      <c r="C6" t="s">
        <v>24</v>
      </c>
      <c r="D6">
        <v>9.6735073625461711E-7</v>
      </c>
      <c r="E6">
        <v>1.0109564130864451E-9</v>
      </c>
      <c r="F6">
        <v>2.066833562902514E-9</v>
      </c>
      <c r="G6">
        <v>5.6214489065231094E-12</v>
      </c>
      <c r="H6">
        <v>6.62569839427411E-11</v>
      </c>
      <c r="I6">
        <v>9.0979864020275074E-12</v>
      </c>
      <c r="J6">
        <v>8.5928739052605788E-11</v>
      </c>
      <c r="K6">
        <v>3.2945389268640919E-10</v>
      </c>
      <c r="L6">
        <v>3.4511652894748861E-13</v>
      </c>
      <c r="M6">
        <v>4.2419395488450076E-12</v>
      </c>
      <c r="N6">
        <v>2.6614815904344449E-10</v>
      </c>
      <c r="O6">
        <v>3.6351560140942842E-12</v>
      </c>
      <c r="P6">
        <v>2.801268772256059E-14</v>
      </c>
      <c r="Q6">
        <v>3.0738250063583932E-12</v>
      </c>
      <c r="R6">
        <v>2.4870299751939241E-14</v>
      </c>
      <c r="S6">
        <v>1.478482833704629E-12</v>
      </c>
      <c r="T6">
        <v>4.2119223377699599E-10</v>
      </c>
      <c r="U6">
        <v>1.3632251755584889E-9</v>
      </c>
      <c r="V6">
        <v>1.1373323557726819E-9</v>
      </c>
      <c r="W6">
        <v>1.9886761908154631E-11</v>
      </c>
      <c r="X6">
        <v>0</v>
      </c>
      <c r="Y6">
        <v>8.2440675038651799E-7</v>
      </c>
      <c r="Z6">
        <v>1.3614921439001862E-7</v>
      </c>
      <c r="AA6">
        <v>0</v>
      </c>
    </row>
    <row r="7" spans="1:27" x14ac:dyDescent="0.25">
      <c r="A7" s="1">
        <v>5</v>
      </c>
      <c r="B7" t="s">
        <v>33</v>
      </c>
      <c r="C7" t="s">
        <v>25</v>
      </c>
      <c r="D7">
        <v>9.626466215261914E-7</v>
      </c>
      <c r="E7">
        <v>9.4024079292471632E-10</v>
      </c>
      <c r="F7">
        <v>1.8891771226886731E-9</v>
      </c>
      <c r="G7">
        <v>5.5457799924743672E-12</v>
      </c>
      <c r="H7">
        <v>6.5784885884819734E-11</v>
      </c>
      <c r="I7">
        <v>8.4529191071689455E-12</v>
      </c>
      <c r="J7">
        <v>7.191906123985162E-11</v>
      </c>
      <c r="K7">
        <v>3.0608954224416602E-10</v>
      </c>
      <c r="L7">
        <v>2.6393794623114471E-13</v>
      </c>
      <c r="M7">
        <v>3.7556826193568817E-12</v>
      </c>
      <c r="N7">
        <v>2.3944026362457291E-10</v>
      </c>
      <c r="O7">
        <v>3.1487242468948229E-12</v>
      </c>
      <c r="P7">
        <v>2.7621056310336579E-14</v>
      </c>
      <c r="Q7">
        <v>2.9830187500776411E-12</v>
      </c>
      <c r="R7">
        <v>1.8650869418725929E-14</v>
      </c>
      <c r="S7">
        <v>1.4732865769441581E-12</v>
      </c>
      <c r="T7">
        <v>4.192145630418992E-10</v>
      </c>
      <c r="U7">
        <v>1.3545902061923891E-9</v>
      </c>
      <c r="V7">
        <v>1.1332076608572501E-9</v>
      </c>
      <c r="W7">
        <v>1.8414257311726309E-11</v>
      </c>
      <c r="X7">
        <v>0</v>
      </c>
      <c r="Y7">
        <v>8.2065349230782956E-7</v>
      </c>
      <c r="Z7">
        <v>1.3552937092248655E-7</v>
      </c>
      <c r="AA7">
        <v>0</v>
      </c>
    </row>
    <row r="8" spans="1:27" x14ac:dyDescent="0.25">
      <c r="A8" s="1">
        <v>6</v>
      </c>
      <c r="B8" t="s">
        <v>33</v>
      </c>
      <c r="C8" t="s">
        <v>26</v>
      </c>
      <c r="D8">
        <v>9.6084850104676685E-7</v>
      </c>
      <c r="E8">
        <v>9.4313333488544758E-10</v>
      </c>
      <c r="F8">
        <v>1.7929585876434769E-9</v>
      </c>
      <c r="G8">
        <v>5.5166931019582723E-12</v>
      </c>
      <c r="H8">
        <v>6.4794987104536714E-11</v>
      </c>
      <c r="I8">
        <v>8.1856371463554679E-12</v>
      </c>
      <c r="J8">
        <v>6.600122116784679E-11</v>
      </c>
      <c r="K8">
        <v>2.9790295914379701E-10</v>
      </c>
      <c r="L8">
        <v>2.267416467411516E-13</v>
      </c>
      <c r="M8">
        <v>3.4703806431253399E-12</v>
      </c>
      <c r="N8">
        <v>2.302328685500758E-10</v>
      </c>
      <c r="O8">
        <v>2.9743948334995492E-12</v>
      </c>
      <c r="P8">
        <v>2.756295388989265E-14</v>
      </c>
      <c r="Q8">
        <v>2.9462436207383609E-12</v>
      </c>
      <c r="R8">
        <v>1.6360864868472651E-14</v>
      </c>
      <c r="S8">
        <v>1.472293210135958E-12</v>
      </c>
      <c r="T8">
        <v>4.181894671236888E-10</v>
      </c>
      <c r="U8">
        <v>1.348787570089461E-9</v>
      </c>
      <c r="V8">
        <v>1.131860960422911E-9</v>
      </c>
      <c r="W8">
        <v>1.776578572893779E-11</v>
      </c>
      <c r="X8">
        <v>0</v>
      </c>
      <c r="Y8">
        <v>8.1921948016189284E-7</v>
      </c>
      <c r="Z8">
        <v>1.3529254653088194E-7</v>
      </c>
      <c r="AA8">
        <v>0</v>
      </c>
    </row>
    <row r="9" spans="1:27" x14ac:dyDescent="0.25">
      <c r="A9" s="1">
        <v>7</v>
      </c>
      <c r="B9" t="s">
        <v>33</v>
      </c>
      <c r="C9" t="s">
        <v>27</v>
      </c>
      <c r="D9">
        <v>9.7025784201715264E-7</v>
      </c>
      <c r="E9">
        <v>1.138085723840237E-9</v>
      </c>
      <c r="F9">
        <v>2.2252665650786028E-9</v>
      </c>
      <c r="G9">
        <v>5.696767777482838E-12</v>
      </c>
      <c r="H9">
        <v>6.6645417346954415E-11</v>
      </c>
      <c r="I9">
        <v>9.4380125230539792E-12</v>
      </c>
      <c r="J9">
        <v>9.2736981638361597E-11</v>
      </c>
      <c r="K9">
        <v>3.4210179606926621E-10</v>
      </c>
      <c r="L9">
        <v>3.9092001899967751E-13</v>
      </c>
      <c r="M9">
        <v>4.6136329288331203E-12</v>
      </c>
      <c r="N9">
        <v>2.7287249411332908E-10</v>
      </c>
      <c r="O9">
        <v>3.8881927431651999E-12</v>
      </c>
      <c r="P9">
        <v>2.8634524041660432E-14</v>
      </c>
      <c r="Q9">
        <v>3.1102700773177721E-12</v>
      </c>
      <c r="R9">
        <v>2.827364481789363E-14</v>
      </c>
      <c r="S9">
        <v>1.4893850769440491E-12</v>
      </c>
      <c r="T9">
        <v>4.2361150213104821E-10</v>
      </c>
      <c r="U9">
        <v>1.3687411846355359E-9</v>
      </c>
      <c r="V9">
        <v>1.1387533648431821E-9</v>
      </c>
      <c r="W9">
        <v>2.0824902393075789E-11</v>
      </c>
      <c r="X9">
        <v>0</v>
      </c>
      <c r="Y9">
        <v>8.2662410182426865E-7</v>
      </c>
      <c r="Z9">
        <v>1.3651540578296244E-7</v>
      </c>
      <c r="AA9">
        <v>0</v>
      </c>
    </row>
    <row r="10" spans="1:27" x14ac:dyDescent="0.25">
      <c r="A10" s="1">
        <v>8</v>
      </c>
      <c r="B10" t="s">
        <v>33</v>
      </c>
      <c r="C10" t="s">
        <v>28</v>
      </c>
      <c r="D10">
        <v>9.65487360046853E-7</v>
      </c>
      <c r="E10">
        <v>1.003886328824253E-9</v>
      </c>
      <c r="F10">
        <v>1.9801146592252562E-9</v>
      </c>
      <c r="G10">
        <v>5.5936357570887597E-12</v>
      </c>
      <c r="H10">
        <v>6.6141455796705958E-11</v>
      </c>
      <c r="I10">
        <v>8.7297215346168407E-12</v>
      </c>
      <c r="J10">
        <v>7.6988400011939736E-11</v>
      </c>
      <c r="K10">
        <v>3.1768139320031182E-10</v>
      </c>
      <c r="L10">
        <v>3.0407322771880861E-13</v>
      </c>
      <c r="M10">
        <v>3.8868335728181552E-12</v>
      </c>
      <c r="N10">
        <v>2.5346794776299071E-10</v>
      </c>
      <c r="O10">
        <v>3.39345545878169E-12</v>
      </c>
      <c r="P10">
        <v>2.791678142894534E-14</v>
      </c>
      <c r="Q10">
        <v>3.017612948510653E-12</v>
      </c>
      <c r="R10">
        <v>2.1029202025504569E-14</v>
      </c>
      <c r="S10">
        <v>1.4779708548330981E-12</v>
      </c>
      <c r="T10">
        <v>4.204399303135138E-10</v>
      </c>
      <c r="U10">
        <v>1.358288820431755E-9</v>
      </c>
      <c r="V10">
        <v>1.134615558812683E-9</v>
      </c>
      <c r="W10">
        <v>1.9066669409794431E-11</v>
      </c>
      <c r="X10">
        <v>0</v>
      </c>
      <c r="Y10">
        <v>8.2292560092717476E-7</v>
      </c>
      <c r="Z10">
        <v>1.3590460536032635E-7</v>
      </c>
      <c r="AA10">
        <v>0</v>
      </c>
    </row>
    <row r="11" spans="1:27" x14ac:dyDescent="0.25">
      <c r="A11" s="1">
        <v>9</v>
      </c>
      <c r="B11" t="s">
        <v>33</v>
      </c>
      <c r="C11" t="s">
        <v>29</v>
      </c>
      <c r="D11">
        <v>9.6340105535540092E-7</v>
      </c>
      <c r="E11">
        <v>9.9385654442931169E-10</v>
      </c>
      <c r="F11">
        <v>1.9281541554138139E-9</v>
      </c>
      <c r="G11">
        <v>5.5548811864968207E-12</v>
      </c>
      <c r="H11">
        <v>6.5608232798546419E-11</v>
      </c>
      <c r="I11">
        <v>8.5024844708916186E-12</v>
      </c>
      <c r="J11">
        <v>7.2584357578007159E-11</v>
      </c>
      <c r="K11">
        <v>3.0871645473920941E-10</v>
      </c>
      <c r="L11">
        <v>2.688404670703754E-13</v>
      </c>
      <c r="M11">
        <v>3.7800694772693976E-12</v>
      </c>
      <c r="N11">
        <v>2.4254683155113999E-10</v>
      </c>
      <c r="O11">
        <v>3.1746847630549242E-12</v>
      </c>
      <c r="P11">
        <v>2.7686853075891109E-14</v>
      </c>
      <c r="Q11">
        <v>2.9838419255677899E-12</v>
      </c>
      <c r="R11">
        <v>1.8601302497509181E-14</v>
      </c>
      <c r="S11">
        <v>1.4770466496172869E-12</v>
      </c>
      <c r="T11">
        <v>4.1990153485303671E-10</v>
      </c>
      <c r="U11">
        <v>1.3555687831140431E-9</v>
      </c>
      <c r="V11">
        <v>1.133115487020876E-9</v>
      </c>
      <c r="W11">
        <v>1.8565320081162031E-11</v>
      </c>
      <c r="X11">
        <v>0</v>
      </c>
      <c r="Y11">
        <v>8.2121460205543036E-7</v>
      </c>
      <c r="Z11">
        <v>1.3562203713523482E-7</v>
      </c>
      <c r="AA1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1"/>
  <sheetViews>
    <sheetView topLeftCell="J1" workbookViewId="0">
      <selection activeCell="R23" sqref="R20:AC23"/>
    </sheetView>
  </sheetViews>
  <sheetFormatPr defaultRowHeight="15" x14ac:dyDescent="0.25"/>
  <sheetData>
    <row r="1" spans="1:29" x14ac:dyDescent="0.25">
      <c r="B1" s="1" t="s">
        <v>0</v>
      </c>
      <c r="C1" s="1" t="s">
        <v>1</v>
      </c>
      <c r="D1" s="1" t="s">
        <v>34</v>
      </c>
      <c r="E1" s="1" t="s">
        <v>31</v>
      </c>
      <c r="F1" s="1" t="s">
        <v>3</v>
      </c>
      <c r="G1" s="1" t="s">
        <v>3</v>
      </c>
      <c r="H1" s="1" t="s">
        <v>4</v>
      </c>
      <c r="I1" s="1" t="s">
        <v>4</v>
      </c>
      <c r="J1" s="1" t="s">
        <v>5</v>
      </c>
      <c r="K1" s="1" t="s">
        <v>6</v>
      </c>
      <c r="L1" s="1" t="s">
        <v>32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12</v>
      </c>
      <c r="T1" s="1" t="s">
        <v>13</v>
      </c>
      <c r="U1" s="1" t="s">
        <v>14</v>
      </c>
      <c r="V1" s="1" t="s">
        <v>14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0" t="s">
        <v>54</v>
      </c>
      <c r="AC1" s="1" t="s">
        <v>19</v>
      </c>
    </row>
    <row r="2" spans="1:29" x14ac:dyDescent="0.25">
      <c r="A2" s="1">
        <v>0</v>
      </c>
      <c r="B2" t="s">
        <v>34</v>
      </c>
      <c r="C2" t="s">
        <v>20</v>
      </c>
      <c r="D2">
        <v>9.6372142615219466E-7</v>
      </c>
      <c r="E2">
        <v>4.0546147976867789E-9</v>
      </c>
      <c r="F2">
        <v>1.31309814062358E-9</v>
      </c>
      <c r="G2">
        <v>2.5970109731014751E-9</v>
      </c>
      <c r="H2">
        <v>5.8127682726342811E-12</v>
      </c>
      <c r="I2">
        <v>6.8636693221775684E-11</v>
      </c>
      <c r="J2">
        <v>1.017098462894019E-11</v>
      </c>
      <c r="K2">
        <v>1.124817770078549E-10</v>
      </c>
      <c r="L2">
        <v>1.5936723440818071E-11</v>
      </c>
      <c r="M2">
        <v>3.7298743513484571E-10</v>
      </c>
      <c r="N2">
        <v>4.7891085703043402E-13</v>
      </c>
      <c r="O2">
        <v>5.7590231510221646E-12</v>
      </c>
      <c r="P2">
        <v>3.0469629556606532E-10</v>
      </c>
      <c r="Q2">
        <v>4.2961238330995238E-12</v>
      </c>
      <c r="R2">
        <v>2.9249804033939099E-14</v>
      </c>
      <c r="S2">
        <v>3.1892757146410632E-12</v>
      </c>
      <c r="T2">
        <v>3.2349310076402252E-14</v>
      </c>
      <c r="U2">
        <v>1.5054612014536191E-12</v>
      </c>
      <c r="V2">
        <v>4.2841781974018083E-10</v>
      </c>
      <c r="W2">
        <v>1.38530356942335E-9</v>
      </c>
      <c r="X2">
        <v>1.1415083671961649E-9</v>
      </c>
      <c r="Y2">
        <v>2.2776474813423301E-11</v>
      </c>
      <c r="Z2">
        <v>0</v>
      </c>
      <c r="AA2">
        <v>8.169542683398493E-7</v>
      </c>
      <c r="AB2">
        <v>1.3491845108606221E-7</v>
      </c>
      <c r="AC2">
        <v>0</v>
      </c>
    </row>
    <row r="3" spans="1:29" x14ac:dyDescent="0.25">
      <c r="A3" s="1">
        <v>1</v>
      </c>
      <c r="B3" t="s">
        <v>34</v>
      </c>
      <c r="C3" t="s">
        <v>21</v>
      </c>
      <c r="D3">
        <v>9.600789723825424E-7</v>
      </c>
      <c r="E3">
        <v>3.081254839415163E-9</v>
      </c>
      <c r="F3">
        <v>1.1726768008537419E-9</v>
      </c>
      <c r="G3">
        <v>2.297252357477355E-9</v>
      </c>
      <c r="H3">
        <v>5.7375569759071703E-12</v>
      </c>
      <c r="I3">
        <v>6.7110447308051141E-11</v>
      </c>
      <c r="J3">
        <v>9.5873446726173439E-12</v>
      </c>
      <c r="K3">
        <v>9.6824703087388144E-11</v>
      </c>
      <c r="L3">
        <v>1.4318344170606791E-11</v>
      </c>
      <c r="M3">
        <v>3.5296418588368151E-10</v>
      </c>
      <c r="N3">
        <v>4.1053195823288051E-13</v>
      </c>
      <c r="O3">
        <v>4.859328350843603E-12</v>
      </c>
      <c r="P3">
        <v>2.8594520184785811E-10</v>
      </c>
      <c r="Q3">
        <v>4.0003253636290288E-12</v>
      </c>
      <c r="R3">
        <v>2.8871841520164529E-14</v>
      </c>
      <c r="S3">
        <v>3.129019509339637E-12</v>
      </c>
      <c r="T3">
        <v>2.9326546284949979E-14</v>
      </c>
      <c r="U3">
        <v>1.4920192800732959E-12</v>
      </c>
      <c r="V3">
        <v>4.2455217591817308E-10</v>
      </c>
      <c r="W3">
        <v>1.3716366844403319E-9</v>
      </c>
      <c r="X3">
        <v>1.1393928725749759E-9</v>
      </c>
      <c r="Y3">
        <v>2.1174436289653849E-11</v>
      </c>
      <c r="Z3">
        <v>0</v>
      </c>
      <c r="AA3">
        <v>8.151106503758781E-7</v>
      </c>
      <c r="AB3">
        <v>1.3461398106891071E-7</v>
      </c>
      <c r="AC3">
        <v>0</v>
      </c>
    </row>
    <row r="4" spans="1:29" x14ac:dyDescent="0.25">
      <c r="A4" s="1">
        <v>2</v>
      </c>
      <c r="B4" t="s">
        <v>34</v>
      </c>
      <c r="C4" t="s">
        <v>22</v>
      </c>
      <c r="D4">
        <v>9.5504126670729215E-7</v>
      </c>
      <c r="E4">
        <v>2.466034025559584E-9</v>
      </c>
      <c r="F4">
        <v>1.04125004529947E-9</v>
      </c>
      <c r="G4">
        <v>2.033610859321044E-9</v>
      </c>
      <c r="H4">
        <v>5.6277207482439846E-12</v>
      </c>
      <c r="I4">
        <v>6.5894298036257967E-11</v>
      </c>
      <c r="J4">
        <v>8.8823292372092381E-12</v>
      </c>
      <c r="K4">
        <v>8.2455020968962781E-11</v>
      </c>
      <c r="L4">
        <v>1.328993444361111E-11</v>
      </c>
      <c r="M4">
        <v>3.2853778619042699E-10</v>
      </c>
      <c r="N4">
        <v>3.2424466329842372E-13</v>
      </c>
      <c r="O4">
        <v>4.1030639865025793E-12</v>
      </c>
      <c r="P4">
        <v>2.6266597792707382E-10</v>
      </c>
      <c r="Q4">
        <v>3.535436293204019E-12</v>
      </c>
      <c r="R4">
        <v>2.8079851089369361E-14</v>
      </c>
      <c r="S4">
        <v>3.0380630705902362E-12</v>
      </c>
      <c r="T4">
        <v>2.344222289871197E-14</v>
      </c>
      <c r="U4">
        <v>1.479378911824392E-12</v>
      </c>
      <c r="V4">
        <v>4.2085832605458788E-10</v>
      </c>
      <c r="W4">
        <v>1.359580533930711E-9</v>
      </c>
      <c r="X4">
        <v>1.1354504513851191E-9</v>
      </c>
      <c r="Y4">
        <v>1.9355837187390662E-11</v>
      </c>
      <c r="Z4">
        <v>0</v>
      </c>
      <c r="AA4">
        <v>8.1172966107381714E-7</v>
      </c>
      <c r="AB4">
        <v>1.3405561708520866E-7</v>
      </c>
      <c r="AC4">
        <v>0</v>
      </c>
    </row>
    <row r="5" spans="1:29" x14ac:dyDescent="0.25">
      <c r="A5" s="1">
        <v>3</v>
      </c>
      <c r="B5" t="s">
        <v>34</v>
      </c>
      <c r="C5" t="s">
        <v>23</v>
      </c>
      <c r="D5">
        <v>9.5197731326987605E-7</v>
      </c>
      <c r="E5">
        <v>2.3015082736176622E-9</v>
      </c>
      <c r="F5">
        <v>9.9738593047858568E-10</v>
      </c>
      <c r="G5">
        <v>1.9306603107997182E-9</v>
      </c>
      <c r="H5">
        <v>5.5664087445463227E-12</v>
      </c>
      <c r="I5">
        <v>6.5472260300295042E-11</v>
      </c>
      <c r="J5">
        <v>8.582185162617371E-12</v>
      </c>
      <c r="K5">
        <v>7.7167424666210686E-11</v>
      </c>
      <c r="L5">
        <v>1.301121234858615E-11</v>
      </c>
      <c r="M5">
        <v>3.172169818145079E-10</v>
      </c>
      <c r="N5">
        <v>2.80029323969484E-13</v>
      </c>
      <c r="O5">
        <v>3.9222457587190969E-12</v>
      </c>
      <c r="P5">
        <v>2.5291546676395558E-10</v>
      </c>
      <c r="Q5">
        <v>3.2842946235508751E-12</v>
      </c>
      <c r="R5">
        <v>2.7641242418963231E-14</v>
      </c>
      <c r="S5">
        <v>2.99963315869198E-12</v>
      </c>
      <c r="T5">
        <v>2.07511716118396E-14</v>
      </c>
      <c r="U5">
        <v>1.474756990460029E-12</v>
      </c>
      <c r="V5">
        <v>4.1940747645377688E-10</v>
      </c>
      <c r="W5">
        <v>1.35479579679394E-9</v>
      </c>
      <c r="X5">
        <v>1.1338505444982219E-9</v>
      </c>
      <c r="Y5">
        <v>1.8621353836138509E-11</v>
      </c>
      <c r="Z5">
        <v>0</v>
      </c>
      <c r="AA5">
        <v>8.0939854141510156E-7</v>
      </c>
      <c r="AB5">
        <v>1.3367063708591287E-7</v>
      </c>
      <c r="AC5">
        <v>0</v>
      </c>
    </row>
    <row r="6" spans="1:29" x14ac:dyDescent="0.25">
      <c r="A6" s="1">
        <v>4</v>
      </c>
      <c r="B6" t="s">
        <v>34</v>
      </c>
      <c r="C6" t="s">
        <v>24</v>
      </c>
      <c r="D6">
        <v>9.5495260062325359E-7</v>
      </c>
      <c r="E6">
        <v>2.6255755078748651E-9</v>
      </c>
      <c r="F6">
        <v>1.0108405852420659E-9</v>
      </c>
      <c r="G6">
        <v>2.0665967605308451E-9</v>
      </c>
      <c r="H6">
        <v>5.6214489065231094E-12</v>
      </c>
      <c r="I6">
        <v>6.62569839427411E-11</v>
      </c>
      <c r="J6">
        <v>9.0979864020275074E-12</v>
      </c>
      <c r="K6">
        <v>8.5928739052605788E-11</v>
      </c>
      <c r="L6">
        <v>1.3307625740131709E-11</v>
      </c>
      <c r="M6">
        <v>3.2945389268640919E-10</v>
      </c>
      <c r="N6">
        <v>3.4511652894748861E-13</v>
      </c>
      <c r="O6">
        <v>4.2419395488450076E-12</v>
      </c>
      <c r="P6">
        <v>2.6614815904344449E-10</v>
      </c>
      <c r="Q6">
        <v>3.6351560140942842E-12</v>
      </c>
      <c r="R6">
        <v>2.801268772256059E-14</v>
      </c>
      <c r="S6">
        <v>3.0738250063583932E-12</v>
      </c>
      <c r="T6">
        <v>2.4870299751939241E-14</v>
      </c>
      <c r="U6">
        <v>1.478313440170582E-12</v>
      </c>
      <c r="V6">
        <v>4.2114397671281749E-10</v>
      </c>
      <c r="W6">
        <v>1.363068987387124E-9</v>
      </c>
      <c r="X6">
        <v>1.1373323557726819E-9</v>
      </c>
      <c r="Y6">
        <v>1.9886761908154631E-11</v>
      </c>
      <c r="Z6">
        <v>0</v>
      </c>
      <c r="AA6">
        <v>8.1150159715114525E-7</v>
      </c>
      <c r="AB6">
        <v>1.3401795276005859E-7</v>
      </c>
      <c r="AC6">
        <v>0</v>
      </c>
    </row>
    <row r="7" spans="1:29" x14ac:dyDescent="0.25">
      <c r="A7" s="1">
        <v>5</v>
      </c>
      <c r="B7" t="s">
        <v>34</v>
      </c>
      <c r="C7" t="s">
        <v>25</v>
      </c>
      <c r="D7">
        <v>9.4978174774701451E-7</v>
      </c>
      <c r="E7">
        <v>2.090656157251444E-9</v>
      </c>
      <c r="F7">
        <v>9.4013306714857646E-10</v>
      </c>
      <c r="G7">
        <v>1.8889606748666501E-9</v>
      </c>
      <c r="H7">
        <v>5.5457799924743672E-12</v>
      </c>
      <c r="I7">
        <v>6.5784885884819734E-11</v>
      </c>
      <c r="J7">
        <v>8.4529191071689455E-12</v>
      </c>
      <c r="K7">
        <v>7.191906123985162E-11</v>
      </c>
      <c r="L7">
        <v>1.3003015846116101E-11</v>
      </c>
      <c r="M7">
        <v>3.0608954224416602E-10</v>
      </c>
      <c r="N7">
        <v>2.6393794623114471E-13</v>
      </c>
      <c r="O7">
        <v>3.7556826193568817E-12</v>
      </c>
      <c r="P7">
        <v>2.3944026362457291E-10</v>
      </c>
      <c r="Q7">
        <v>3.1487242468948229E-12</v>
      </c>
      <c r="R7">
        <v>2.7621056310336579E-14</v>
      </c>
      <c r="S7">
        <v>2.9830187500776411E-12</v>
      </c>
      <c r="T7">
        <v>1.8650869418725929E-14</v>
      </c>
      <c r="U7">
        <v>1.473117778758446E-12</v>
      </c>
      <c r="V7">
        <v>4.1916653256448041E-10</v>
      </c>
      <c r="W7">
        <v>1.354435007351401E-9</v>
      </c>
      <c r="X7">
        <v>1.1332076608572501E-9</v>
      </c>
      <c r="Y7">
        <v>1.8414257311726309E-11</v>
      </c>
      <c r="Z7">
        <v>0</v>
      </c>
      <c r="AA7">
        <v>8.0780709207346604E-7</v>
      </c>
      <c r="AB7">
        <v>1.3340781223943557E-7</v>
      </c>
      <c r="AC7">
        <v>0</v>
      </c>
    </row>
    <row r="8" spans="1:29" x14ac:dyDescent="0.25">
      <c r="A8" s="1">
        <v>6</v>
      </c>
      <c r="B8" t="s">
        <v>34</v>
      </c>
      <c r="C8" t="s">
        <v>26</v>
      </c>
      <c r="D8">
        <v>9.4773000009121764E-7</v>
      </c>
      <c r="E8">
        <v>1.8111315393137081E-9</v>
      </c>
      <c r="F8">
        <v>9.430252777034276E-10</v>
      </c>
      <c r="G8">
        <v>1.7927531638234389E-9</v>
      </c>
      <c r="H8">
        <v>5.5166931019582723E-12</v>
      </c>
      <c r="I8">
        <v>6.4794987104536714E-11</v>
      </c>
      <c r="J8">
        <v>8.1856371463554679E-12</v>
      </c>
      <c r="K8">
        <v>6.600122116784679E-11</v>
      </c>
      <c r="L8">
        <v>1.2733861292507011E-11</v>
      </c>
      <c r="M8">
        <v>2.9790295914379701E-10</v>
      </c>
      <c r="N8">
        <v>2.267416467411516E-13</v>
      </c>
      <c r="O8">
        <v>3.4703806431253399E-12</v>
      </c>
      <c r="P8">
        <v>2.302328685500758E-10</v>
      </c>
      <c r="Q8">
        <v>2.9743948334995492E-12</v>
      </c>
      <c r="R8">
        <v>2.756295388989265E-14</v>
      </c>
      <c r="S8">
        <v>2.9462436207383609E-12</v>
      </c>
      <c r="T8">
        <v>1.6360864868472651E-14</v>
      </c>
      <c r="U8">
        <v>1.4721245257628051E-12</v>
      </c>
      <c r="V8">
        <v>4.1814155409411389E-10</v>
      </c>
      <c r="W8">
        <v>1.3486330360714459E-9</v>
      </c>
      <c r="X8">
        <v>1.131860960422911E-9</v>
      </c>
      <c r="Y8">
        <v>1.776578572893779E-11</v>
      </c>
      <c r="Z8">
        <v>0</v>
      </c>
      <c r="AA8">
        <v>8.0639552776226188E-7</v>
      </c>
      <c r="AB8">
        <v>1.331746950652478E-7</v>
      </c>
      <c r="AC8">
        <v>0</v>
      </c>
    </row>
    <row r="9" spans="1:29" x14ac:dyDescent="0.25">
      <c r="A9" s="1">
        <v>7</v>
      </c>
      <c r="B9" t="s">
        <v>34</v>
      </c>
      <c r="C9" t="s">
        <v>27</v>
      </c>
      <c r="D9">
        <v>9.5810949097673539E-7</v>
      </c>
      <c r="E9">
        <v>2.9150078578918291E-9</v>
      </c>
      <c r="F9">
        <v>1.137955330467778E-9</v>
      </c>
      <c r="G9">
        <v>2.225011610635397E-9</v>
      </c>
      <c r="H9">
        <v>5.696767777482838E-12</v>
      </c>
      <c r="I9">
        <v>6.6645417346954415E-11</v>
      </c>
      <c r="J9">
        <v>9.4380125230539792E-12</v>
      </c>
      <c r="K9">
        <v>9.2736981638361597E-11</v>
      </c>
      <c r="L9">
        <v>1.413604121883571E-11</v>
      </c>
      <c r="M9">
        <v>3.4210179606926621E-10</v>
      </c>
      <c r="N9">
        <v>3.9092001899967751E-13</v>
      </c>
      <c r="O9">
        <v>4.6136329288331203E-12</v>
      </c>
      <c r="P9">
        <v>2.7287249411332908E-10</v>
      </c>
      <c r="Q9">
        <v>3.8881927431651999E-12</v>
      </c>
      <c r="R9">
        <v>2.8634524041660432E-14</v>
      </c>
      <c r="S9">
        <v>3.1102700773177721E-12</v>
      </c>
      <c r="T9">
        <v>2.827364481789363E-14</v>
      </c>
      <c r="U9">
        <v>1.4892144343123E-12</v>
      </c>
      <c r="V9">
        <v>4.2356296788514881E-10</v>
      </c>
      <c r="W9">
        <v>1.3685843644809971E-9</v>
      </c>
      <c r="X9">
        <v>1.1387533648431821E-9</v>
      </c>
      <c r="Y9">
        <v>2.0824902393075789E-11</v>
      </c>
      <c r="Z9">
        <v>0</v>
      </c>
      <c r="AA9">
        <v>8.136842384654438E-7</v>
      </c>
      <c r="AB9">
        <v>1.3437841184181358E-7</v>
      </c>
      <c r="AC9">
        <v>0</v>
      </c>
    </row>
    <row r="10" spans="1:29" x14ac:dyDescent="0.25">
      <c r="A10" s="1">
        <v>8</v>
      </c>
      <c r="B10" t="s">
        <v>34</v>
      </c>
      <c r="C10" t="s">
        <v>28</v>
      </c>
      <c r="D10">
        <v>9.5273547566159111E-7</v>
      </c>
      <c r="E10">
        <v>2.244802744772271E-9</v>
      </c>
      <c r="F10">
        <v>1.0037713110173871E-9</v>
      </c>
      <c r="G10">
        <v>1.979887792458663E-9</v>
      </c>
      <c r="H10">
        <v>5.5936357570887597E-12</v>
      </c>
      <c r="I10">
        <v>6.6141455796705958E-11</v>
      </c>
      <c r="J10">
        <v>8.7297215346168407E-12</v>
      </c>
      <c r="K10">
        <v>7.6988400011939736E-11</v>
      </c>
      <c r="L10">
        <v>1.330537389765832E-11</v>
      </c>
      <c r="M10">
        <v>3.1768139320031182E-10</v>
      </c>
      <c r="N10">
        <v>3.0407322771880861E-13</v>
      </c>
      <c r="O10">
        <v>3.8868335728181552E-12</v>
      </c>
      <c r="P10">
        <v>2.5346794776299071E-10</v>
      </c>
      <c r="Q10">
        <v>3.39345545878169E-12</v>
      </c>
      <c r="R10">
        <v>2.791678142894534E-14</v>
      </c>
      <c r="S10">
        <v>3.017612948510653E-12</v>
      </c>
      <c r="T10">
        <v>2.1029202025504569E-14</v>
      </c>
      <c r="U10">
        <v>1.47780151995777E-12</v>
      </c>
      <c r="V10">
        <v>4.2039175944265389E-10</v>
      </c>
      <c r="W10">
        <v>1.3581331978311361E-9</v>
      </c>
      <c r="X10">
        <v>1.134615558812683E-9</v>
      </c>
      <c r="Y10">
        <v>1.9066669409794431E-11</v>
      </c>
      <c r="Z10">
        <v>0</v>
      </c>
      <c r="AA10">
        <v>8.1004363340774669E-7</v>
      </c>
      <c r="AB10">
        <v>1.3377717280746871E-7</v>
      </c>
      <c r="AC10">
        <v>0</v>
      </c>
    </row>
    <row r="11" spans="1:29" x14ac:dyDescent="0.25">
      <c r="A11" s="1">
        <v>9</v>
      </c>
      <c r="B11" t="s">
        <v>34</v>
      </c>
      <c r="C11" t="s">
        <v>29</v>
      </c>
      <c r="D11">
        <v>9.505490904159939E-7</v>
      </c>
      <c r="E11">
        <v>2.1134717891800928E-9</v>
      </c>
      <c r="F11">
        <v>9.9374267576032286E-10</v>
      </c>
      <c r="G11">
        <v>1.9279332418941381E-9</v>
      </c>
      <c r="H11">
        <v>5.5548811864968207E-12</v>
      </c>
      <c r="I11">
        <v>6.5608232798546419E-11</v>
      </c>
      <c r="J11">
        <v>8.5024844708916186E-12</v>
      </c>
      <c r="K11">
        <v>7.2584357578007159E-11</v>
      </c>
      <c r="L11">
        <v>1.3341175055154179E-11</v>
      </c>
      <c r="M11">
        <v>3.0871645473920941E-10</v>
      </c>
      <c r="N11">
        <v>2.688404670703754E-13</v>
      </c>
      <c r="O11">
        <v>3.7800694772693976E-12</v>
      </c>
      <c r="P11">
        <v>2.4254683155113999E-10</v>
      </c>
      <c r="Q11">
        <v>3.1746847630549242E-12</v>
      </c>
      <c r="R11">
        <v>2.7686853075891109E-14</v>
      </c>
      <c r="S11">
        <v>2.9838419255677899E-12</v>
      </c>
      <c r="T11">
        <v>1.8601302497509181E-14</v>
      </c>
      <c r="U11">
        <v>1.476877420630499E-12</v>
      </c>
      <c r="V11">
        <v>4.1985342566746978E-10</v>
      </c>
      <c r="W11">
        <v>1.3554134721549901E-9</v>
      </c>
      <c r="X11">
        <v>1.133115487020876E-9</v>
      </c>
      <c r="Y11">
        <v>1.8565320081162031E-11</v>
      </c>
      <c r="Z11">
        <v>0</v>
      </c>
      <c r="AA11">
        <v>8.0835941828396941E-7</v>
      </c>
      <c r="AB11">
        <v>1.3349902786765769E-7</v>
      </c>
      <c r="AC1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1"/>
  <sheetViews>
    <sheetView workbookViewId="0"/>
  </sheetViews>
  <sheetFormatPr defaultRowHeight="15" x14ac:dyDescent="0.25"/>
  <sheetData>
    <row r="1" spans="1:13" x14ac:dyDescent="0.25">
      <c r="B1" s="1" t="s">
        <v>0</v>
      </c>
      <c r="C1" s="1" t="s">
        <v>1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38</v>
      </c>
      <c r="I1" s="1" t="s">
        <v>14</v>
      </c>
      <c r="J1" s="1" t="s">
        <v>14</v>
      </c>
      <c r="K1" s="1" t="s">
        <v>14</v>
      </c>
      <c r="L1" s="1" t="s">
        <v>39</v>
      </c>
      <c r="M1" s="1" t="s">
        <v>19</v>
      </c>
    </row>
    <row r="2" spans="1:13" x14ac:dyDescent="0.25">
      <c r="A2" s="1">
        <v>0</v>
      </c>
      <c r="B2" t="s">
        <v>35</v>
      </c>
      <c r="C2" t="s">
        <v>20</v>
      </c>
      <c r="D2">
        <v>1.715648132204138E-7</v>
      </c>
      <c r="E2">
        <v>1.7252583799984259E-8</v>
      </c>
      <c r="F2">
        <v>2.1807990221251649E-8</v>
      </c>
      <c r="G2">
        <v>1.937445001002625E-9</v>
      </c>
      <c r="H2">
        <v>8.3013341299537121E-9</v>
      </c>
      <c r="I2">
        <v>2.796194680243058E-12</v>
      </c>
      <c r="J2">
        <v>7.9572932688144639E-10</v>
      </c>
      <c r="K2">
        <v>2.5730178018541849E-9</v>
      </c>
      <c r="L2">
        <v>1.1889391941459201E-7</v>
      </c>
      <c r="M2">
        <v>0</v>
      </c>
    </row>
    <row r="3" spans="1:13" x14ac:dyDescent="0.25">
      <c r="A3" s="1">
        <v>1</v>
      </c>
      <c r="B3" t="s">
        <v>35</v>
      </c>
      <c r="C3" t="s">
        <v>21</v>
      </c>
      <c r="D3">
        <v>1.512546771699631E-7</v>
      </c>
      <c r="E3">
        <v>1.6015773013123171E-8</v>
      </c>
      <c r="F3">
        <v>2.133435434164459E-8</v>
      </c>
      <c r="G3">
        <v>1.924926244244428E-9</v>
      </c>
      <c r="H3">
        <v>8.2201815356628103E-9</v>
      </c>
      <c r="I3">
        <v>2.7712280925823421E-12</v>
      </c>
      <c r="J3">
        <v>7.8854940575138054E-10</v>
      </c>
      <c r="K3">
        <v>2.5476333741151178E-9</v>
      </c>
      <c r="L3">
        <v>1.004204869054178E-7</v>
      </c>
      <c r="M3">
        <v>0</v>
      </c>
    </row>
    <row r="4" spans="1:13" x14ac:dyDescent="0.25">
      <c r="A4" s="1">
        <v>2</v>
      </c>
      <c r="B4" t="s">
        <v>35</v>
      </c>
      <c r="C4" t="s">
        <v>22</v>
      </c>
      <c r="D4">
        <v>1.2829989757342511E-7</v>
      </c>
      <c r="E4">
        <v>1.269571817520713E-8</v>
      </c>
      <c r="F4">
        <v>2.1197897820712509E-8</v>
      </c>
      <c r="G4">
        <v>1.91417221853523E-9</v>
      </c>
      <c r="H4">
        <v>8.173581300480155E-9</v>
      </c>
      <c r="I4">
        <v>2.7477502836426101E-12</v>
      </c>
      <c r="J4">
        <v>7.8168856913319873E-10</v>
      </c>
      <c r="K4">
        <v>2.5252406722061889E-9</v>
      </c>
      <c r="L4">
        <v>8.1008850880400016E-8</v>
      </c>
      <c r="M4">
        <v>0</v>
      </c>
    </row>
    <row r="5" spans="1:13" x14ac:dyDescent="0.25">
      <c r="A5" s="1">
        <v>3</v>
      </c>
      <c r="B5" t="s">
        <v>35</v>
      </c>
      <c r="C5" t="s">
        <v>23</v>
      </c>
      <c r="D5">
        <v>1.2048576212164049E-7</v>
      </c>
      <c r="E5">
        <v>1.067535210814709E-8</v>
      </c>
      <c r="F5">
        <v>2.1298069593524521E-8</v>
      </c>
      <c r="G5">
        <v>1.9099214520676939E-9</v>
      </c>
      <c r="H5">
        <v>8.15086971860214E-9</v>
      </c>
      <c r="I5">
        <v>2.7391656771983842E-12</v>
      </c>
      <c r="J5">
        <v>7.7899380826411344E-10</v>
      </c>
      <c r="K5">
        <v>2.516353657040857E-9</v>
      </c>
      <c r="L5">
        <v>7.5153462422497579E-8</v>
      </c>
      <c r="M5">
        <v>0</v>
      </c>
    </row>
    <row r="6" spans="1:13" x14ac:dyDescent="0.25">
      <c r="A6" s="1">
        <v>4</v>
      </c>
      <c r="B6" t="s">
        <v>35</v>
      </c>
      <c r="C6" t="s">
        <v>24</v>
      </c>
      <c r="D6">
        <v>1.355011270794402E-7</v>
      </c>
      <c r="E6">
        <v>1.2521952312727119E-8</v>
      </c>
      <c r="F6">
        <v>2.0848556101477979E-8</v>
      </c>
      <c r="G6">
        <v>1.9083040661494509E-9</v>
      </c>
      <c r="H6">
        <v>8.1837780212003457E-9</v>
      </c>
      <c r="I6">
        <v>2.7457713112403629E-12</v>
      </c>
      <c r="J6">
        <v>7.8221912737687148E-10</v>
      </c>
      <c r="K6">
        <v>2.53172001221686E-9</v>
      </c>
      <c r="L6">
        <v>8.8721850636373792E-8</v>
      </c>
      <c r="M6">
        <v>0</v>
      </c>
    </row>
    <row r="7" spans="1:13" x14ac:dyDescent="0.25">
      <c r="A7" s="1">
        <v>5</v>
      </c>
      <c r="B7" t="s">
        <v>35</v>
      </c>
      <c r="C7" t="s">
        <v>25</v>
      </c>
      <c r="D7">
        <v>1.151396562967783E-7</v>
      </c>
      <c r="E7">
        <v>1.077927353587828E-8</v>
      </c>
      <c r="F7">
        <v>2.1059973785689269E-8</v>
      </c>
      <c r="G7">
        <v>1.903699158430371E-9</v>
      </c>
      <c r="H7">
        <v>8.155291265878824E-9</v>
      </c>
      <c r="I7">
        <v>2.7361210586885671E-12</v>
      </c>
      <c r="J7">
        <v>7.785462869192636E-10</v>
      </c>
      <c r="K7">
        <v>2.5156835384625701E-9</v>
      </c>
      <c r="L7">
        <v>6.9944452407947326E-8</v>
      </c>
      <c r="M7">
        <v>0</v>
      </c>
    </row>
    <row r="8" spans="1:13" x14ac:dyDescent="0.25">
      <c r="A8" s="1">
        <v>6</v>
      </c>
      <c r="B8" t="s">
        <v>35</v>
      </c>
      <c r="C8" t="s">
        <v>26</v>
      </c>
      <c r="D8">
        <v>1.1013207122352249E-7</v>
      </c>
      <c r="E8">
        <v>1.039567504471611E-8</v>
      </c>
      <c r="F8">
        <v>2.1404019420987879E-8</v>
      </c>
      <c r="G8">
        <v>1.905751325810395E-9</v>
      </c>
      <c r="H8">
        <v>8.120155455246484E-9</v>
      </c>
      <c r="I8">
        <v>2.7342762228735579E-12</v>
      </c>
      <c r="J8">
        <v>7.76642525239165E-10</v>
      </c>
      <c r="K8">
        <v>2.5049071456799642E-9</v>
      </c>
      <c r="L8">
        <v>6.5022185834217704E-8</v>
      </c>
      <c r="M8">
        <v>0</v>
      </c>
    </row>
    <row r="9" spans="1:13" x14ac:dyDescent="0.25">
      <c r="A9" s="1">
        <v>7</v>
      </c>
      <c r="B9" t="s">
        <v>35</v>
      </c>
      <c r="C9" t="s">
        <v>27</v>
      </c>
      <c r="D9">
        <v>1.453863571845026E-7</v>
      </c>
      <c r="E9">
        <v>1.4946463644202731E-8</v>
      </c>
      <c r="F9">
        <v>2.1353546447804281E-8</v>
      </c>
      <c r="G9">
        <v>1.922442010458504E-9</v>
      </c>
      <c r="H9">
        <v>8.2066232246836974E-9</v>
      </c>
      <c r="I9">
        <v>2.7660184632752329E-12</v>
      </c>
      <c r="J9">
        <v>7.8671208291840107E-10</v>
      </c>
      <c r="K9">
        <v>2.5419640942792439E-9</v>
      </c>
      <c r="L9">
        <v>9.5625838580173795E-8</v>
      </c>
      <c r="M9">
        <v>0</v>
      </c>
    </row>
    <row r="10" spans="1:13" x14ac:dyDescent="0.25">
      <c r="A10" s="1">
        <v>8</v>
      </c>
      <c r="B10" t="s">
        <v>35</v>
      </c>
      <c r="C10" t="s">
        <v>28</v>
      </c>
      <c r="D10">
        <v>1.2264198167371839E-7</v>
      </c>
      <c r="E10">
        <v>1.200419058170393E-8</v>
      </c>
      <c r="F10">
        <v>2.1196951693681611E-8</v>
      </c>
      <c r="G10">
        <v>1.9106983672122802E-9</v>
      </c>
      <c r="H10">
        <v>8.1690943190097972E-9</v>
      </c>
      <c r="I10">
        <v>2.744820487283964E-12</v>
      </c>
      <c r="J10">
        <v>7.808219834802452E-10</v>
      </c>
      <c r="K10">
        <v>2.522552437200034E-9</v>
      </c>
      <c r="L10">
        <v>7.6054927281022161E-8</v>
      </c>
      <c r="M10">
        <v>0</v>
      </c>
    </row>
    <row r="11" spans="1:13" x14ac:dyDescent="0.25">
      <c r="A11" s="1">
        <v>9</v>
      </c>
      <c r="B11" t="s">
        <v>35</v>
      </c>
      <c r="C11" t="s">
        <v>29</v>
      </c>
      <c r="D11">
        <v>1.169230006116952E-7</v>
      </c>
      <c r="E11">
        <v>1.0896131453123179E-8</v>
      </c>
      <c r="F11">
        <v>2.1446418780347479E-8</v>
      </c>
      <c r="G11">
        <v>1.9100770878305039E-9</v>
      </c>
      <c r="H11">
        <v>8.1573272364282284E-9</v>
      </c>
      <c r="I11">
        <v>2.7431040952438099E-12</v>
      </c>
      <c r="J11">
        <v>7.7982209983207463E-10</v>
      </c>
      <c r="K11">
        <v>2.5175009071705999E-9</v>
      </c>
      <c r="L11">
        <v>7.1212979748808433E-8</v>
      </c>
      <c r="M1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1"/>
  <sheetViews>
    <sheetView workbookViewId="0"/>
  </sheetViews>
  <sheetFormatPr defaultRowHeight="15" x14ac:dyDescent="0.25"/>
  <sheetData>
    <row r="1" spans="1:13" x14ac:dyDescent="0.25">
      <c r="B1" s="1" t="s">
        <v>0</v>
      </c>
      <c r="C1" s="1" t="s">
        <v>1</v>
      </c>
      <c r="D1" s="1" t="s">
        <v>40</v>
      </c>
      <c r="E1" s="1" t="s">
        <v>36</v>
      </c>
      <c r="F1" s="1" t="s">
        <v>37</v>
      </c>
      <c r="G1" s="1" t="s">
        <v>38</v>
      </c>
      <c r="H1" s="1" t="s">
        <v>38</v>
      </c>
      <c r="I1" s="1" t="s">
        <v>14</v>
      </c>
      <c r="J1" s="1" t="s">
        <v>14</v>
      </c>
      <c r="K1" s="1" t="s">
        <v>14</v>
      </c>
      <c r="L1" s="1" t="s">
        <v>41</v>
      </c>
      <c r="M1" s="1" t="s">
        <v>19</v>
      </c>
    </row>
    <row r="2" spans="1:13" x14ac:dyDescent="0.25">
      <c r="A2" s="1">
        <v>0</v>
      </c>
      <c r="B2" t="s">
        <v>40</v>
      </c>
      <c r="C2" t="s">
        <v>20</v>
      </c>
      <c r="D2">
        <v>4.1485147183785061E-7</v>
      </c>
      <c r="E2">
        <v>1.7252583799984259E-8</v>
      </c>
      <c r="F2">
        <v>2.1807990221251649E-8</v>
      </c>
      <c r="G2">
        <v>1.937445001002625E-9</v>
      </c>
      <c r="H2">
        <v>8.3013341299537121E-9</v>
      </c>
      <c r="I2">
        <v>2.796194680243058E-12</v>
      </c>
      <c r="J2">
        <v>7.9572932688144639E-10</v>
      </c>
      <c r="K2">
        <v>2.5730178018541849E-9</v>
      </c>
      <c r="L2">
        <v>3.621805838312761E-7</v>
      </c>
      <c r="M2">
        <v>0</v>
      </c>
    </row>
    <row r="3" spans="1:13" x14ac:dyDescent="0.25">
      <c r="A3" s="1">
        <v>1</v>
      </c>
      <c r="B3" t="s">
        <v>40</v>
      </c>
      <c r="C3" t="s">
        <v>21</v>
      </c>
      <c r="D3">
        <v>3.3985439207905201E-7</v>
      </c>
      <c r="E3">
        <v>1.6015773013123171E-8</v>
      </c>
      <c r="F3">
        <v>2.133435434164459E-8</v>
      </c>
      <c r="G3">
        <v>1.924926244244428E-9</v>
      </c>
      <c r="H3">
        <v>8.2201815356628103E-9</v>
      </c>
      <c r="I3">
        <v>2.7712280925823421E-12</v>
      </c>
      <c r="J3">
        <v>7.8854940575138054E-10</v>
      </c>
      <c r="K3">
        <v>2.5476333741151178E-9</v>
      </c>
      <c r="L3">
        <v>2.8902020002680898E-7</v>
      </c>
      <c r="M3">
        <v>0</v>
      </c>
    </row>
    <row r="4" spans="1:13" x14ac:dyDescent="0.25">
      <c r="A4" s="1">
        <v>2</v>
      </c>
      <c r="B4" t="s">
        <v>40</v>
      </c>
      <c r="C4" t="s">
        <v>22</v>
      </c>
      <c r="D4">
        <v>2.8258099669189208E-7</v>
      </c>
      <c r="E4">
        <v>1.269571817520713E-8</v>
      </c>
      <c r="F4">
        <v>2.1197897820712509E-8</v>
      </c>
      <c r="G4">
        <v>1.91417221853523E-9</v>
      </c>
      <c r="H4">
        <v>8.173581300480155E-9</v>
      </c>
      <c r="I4">
        <v>2.7477502836426101E-12</v>
      </c>
      <c r="J4">
        <v>7.8168856913319873E-10</v>
      </c>
      <c r="K4">
        <v>2.5252406722061889E-9</v>
      </c>
      <c r="L4">
        <v>2.3528994999887899E-7</v>
      </c>
      <c r="M4">
        <v>0</v>
      </c>
    </row>
    <row r="5" spans="1:13" x14ac:dyDescent="0.25">
      <c r="A5" s="1">
        <v>3</v>
      </c>
      <c r="B5" t="s">
        <v>40</v>
      </c>
      <c r="C5" t="s">
        <v>23</v>
      </c>
      <c r="D5">
        <v>2.5710486949353378E-7</v>
      </c>
      <c r="E5">
        <v>1.067535210814709E-8</v>
      </c>
      <c r="F5">
        <v>2.1298069593524521E-8</v>
      </c>
      <c r="G5">
        <v>1.9099214520676939E-9</v>
      </c>
      <c r="H5">
        <v>8.15086971860214E-9</v>
      </c>
      <c r="I5">
        <v>2.7391656771983842E-12</v>
      </c>
      <c r="J5">
        <v>7.7899380826411344E-10</v>
      </c>
      <c r="K5">
        <v>2.516353657040857E-9</v>
      </c>
      <c r="L5">
        <v>2.1177256979439141E-7</v>
      </c>
      <c r="M5">
        <v>0</v>
      </c>
    </row>
    <row r="6" spans="1:13" x14ac:dyDescent="0.25">
      <c r="A6" s="1">
        <v>4</v>
      </c>
      <c r="B6" t="s">
        <v>40</v>
      </c>
      <c r="C6" t="s">
        <v>24</v>
      </c>
      <c r="D6">
        <v>3.2684008269940211E-7</v>
      </c>
      <c r="E6">
        <v>1.2521952312727119E-8</v>
      </c>
      <c r="F6">
        <v>2.0848556101477979E-8</v>
      </c>
      <c r="G6">
        <v>1.9083040661494509E-9</v>
      </c>
      <c r="H6">
        <v>8.1837780212003457E-9</v>
      </c>
      <c r="I6">
        <v>2.7457713112403629E-12</v>
      </c>
      <c r="J6">
        <v>7.8221912737687148E-10</v>
      </c>
      <c r="K6">
        <v>2.53172001221686E-9</v>
      </c>
      <c r="L6">
        <v>2.8006080444267222E-7</v>
      </c>
      <c r="M6">
        <v>0</v>
      </c>
    </row>
    <row r="7" spans="1:13" x14ac:dyDescent="0.25">
      <c r="A7" s="1">
        <v>5</v>
      </c>
      <c r="B7" t="s">
        <v>40</v>
      </c>
      <c r="C7" t="s">
        <v>25</v>
      </c>
      <c r="D7">
        <v>2.7651075006292618E-7</v>
      </c>
      <c r="E7">
        <v>1.077927353587828E-8</v>
      </c>
      <c r="F7">
        <v>2.1059973785689269E-8</v>
      </c>
      <c r="G7">
        <v>1.903699158430371E-9</v>
      </c>
      <c r="H7">
        <v>8.155291265878824E-9</v>
      </c>
      <c r="I7">
        <v>2.7361210586885671E-12</v>
      </c>
      <c r="J7">
        <v>7.785462869192636E-10</v>
      </c>
      <c r="K7">
        <v>2.5156835384625701E-9</v>
      </c>
      <c r="L7">
        <v>2.3131554617409531E-7</v>
      </c>
      <c r="M7">
        <v>0</v>
      </c>
    </row>
    <row r="8" spans="1:13" x14ac:dyDescent="0.25">
      <c r="A8" s="1">
        <v>6</v>
      </c>
      <c r="B8" t="s">
        <v>40</v>
      </c>
      <c r="C8" t="s">
        <v>26</v>
      </c>
      <c r="D8">
        <v>2.5288554892442029E-7</v>
      </c>
      <c r="E8">
        <v>1.039567504471611E-8</v>
      </c>
      <c r="F8">
        <v>2.1404019420987879E-8</v>
      </c>
      <c r="G8">
        <v>1.905751325810395E-9</v>
      </c>
      <c r="H8">
        <v>8.120155455246484E-9</v>
      </c>
      <c r="I8">
        <v>2.7342762228735579E-12</v>
      </c>
      <c r="J8">
        <v>7.76642525239165E-10</v>
      </c>
      <c r="K8">
        <v>2.5049071456799642E-9</v>
      </c>
      <c r="L8">
        <v>2.077756635351166E-7</v>
      </c>
      <c r="M8">
        <v>0</v>
      </c>
    </row>
    <row r="9" spans="1:13" x14ac:dyDescent="0.25">
      <c r="A9" s="1">
        <v>7</v>
      </c>
      <c r="B9" t="s">
        <v>40</v>
      </c>
      <c r="C9" t="s">
        <v>27</v>
      </c>
      <c r="D9">
        <v>3.3578504945497788E-7</v>
      </c>
      <c r="E9">
        <v>1.4946463644202731E-8</v>
      </c>
      <c r="F9">
        <v>2.1353546447804281E-8</v>
      </c>
      <c r="G9">
        <v>1.922442010458504E-9</v>
      </c>
      <c r="H9">
        <v>8.2066232246836974E-9</v>
      </c>
      <c r="I9">
        <v>2.7660184632752329E-12</v>
      </c>
      <c r="J9">
        <v>7.8671208291840107E-10</v>
      </c>
      <c r="K9">
        <v>2.5419640942792439E-9</v>
      </c>
      <c r="L9">
        <v>2.860245290458989E-7</v>
      </c>
      <c r="M9">
        <v>0</v>
      </c>
    </row>
    <row r="10" spans="1:13" x14ac:dyDescent="0.25">
      <c r="A10" s="1">
        <v>8</v>
      </c>
      <c r="B10" t="s">
        <v>40</v>
      </c>
      <c r="C10" t="s">
        <v>28</v>
      </c>
      <c r="D10">
        <v>2.8072813122962999E-7</v>
      </c>
      <c r="E10">
        <v>1.200419058170393E-8</v>
      </c>
      <c r="F10">
        <v>2.1196951693681611E-8</v>
      </c>
      <c r="G10">
        <v>1.9106983672122802E-9</v>
      </c>
      <c r="H10">
        <v>8.1690943190097972E-9</v>
      </c>
      <c r="I10">
        <v>2.744820487283964E-12</v>
      </c>
      <c r="J10">
        <v>7.808219834802452E-10</v>
      </c>
      <c r="K10">
        <v>2.522552437200034E-9</v>
      </c>
      <c r="L10">
        <v>2.3414107683693371E-7</v>
      </c>
      <c r="M10">
        <v>0</v>
      </c>
    </row>
    <row r="11" spans="1:13" x14ac:dyDescent="0.25">
      <c r="A11" s="1">
        <v>9</v>
      </c>
      <c r="B11" t="s">
        <v>40</v>
      </c>
      <c r="C11" t="s">
        <v>29</v>
      </c>
      <c r="D11">
        <v>2.5831931550448981E-7</v>
      </c>
      <c r="E11">
        <v>1.0896131453123179E-8</v>
      </c>
      <c r="F11">
        <v>2.1446418780347479E-8</v>
      </c>
      <c r="G11">
        <v>1.9100770878305039E-9</v>
      </c>
      <c r="H11">
        <v>8.1573272364282284E-9</v>
      </c>
      <c r="I11">
        <v>2.7431040952438099E-12</v>
      </c>
      <c r="J11">
        <v>7.7982209983207463E-10</v>
      </c>
      <c r="K11">
        <v>2.5175009071705999E-9</v>
      </c>
      <c r="L11">
        <v>2.12609294641603E-7</v>
      </c>
      <c r="M11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C73A8-9EF9-4C79-A0FE-7822D1747527}">
  <dimension ref="A1:O15"/>
  <sheetViews>
    <sheetView workbookViewId="0">
      <selection activeCell="I18" sqref="I18"/>
    </sheetView>
  </sheetViews>
  <sheetFormatPr defaultRowHeight="15" x14ac:dyDescent="0.25"/>
  <cols>
    <col min="1" max="1" width="11.140625" bestFit="1" customWidth="1"/>
    <col min="2" max="2" width="13.85546875" bestFit="1" customWidth="1"/>
    <col min="3" max="3" width="19.7109375" bestFit="1" customWidth="1"/>
    <col min="4" max="4" width="11.42578125" bestFit="1" customWidth="1"/>
    <col min="5" max="5" width="13.85546875" bestFit="1" customWidth="1"/>
    <col min="6" max="6" width="19.7109375" bestFit="1" customWidth="1"/>
    <col min="8" max="8" width="13.42578125" bestFit="1" customWidth="1"/>
    <col min="9" max="9" width="12" bestFit="1" customWidth="1"/>
    <col min="10" max="10" width="15.7109375" bestFit="1" customWidth="1"/>
    <col min="12" max="12" width="13.85546875" bestFit="1" customWidth="1"/>
    <col min="13" max="13" width="24.5703125" bestFit="1" customWidth="1"/>
    <col min="14" max="14" width="13.85546875" bestFit="1" customWidth="1"/>
    <col min="15" max="15" width="24.5703125" bestFit="1" customWidth="1"/>
  </cols>
  <sheetData>
    <row r="1" spans="1:15" ht="17.25" x14ac:dyDescent="0.25">
      <c r="A1" s="2" t="s">
        <v>42</v>
      </c>
      <c r="B1" s="2" t="s">
        <v>43</v>
      </c>
      <c r="C1" s="2" t="s">
        <v>44</v>
      </c>
      <c r="D1" s="2" t="s">
        <v>45</v>
      </c>
      <c r="E1" s="2" t="s">
        <v>43</v>
      </c>
      <c r="F1" s="2" t="s">
        <v>44</v>
      </c>
      <c r="H1" s="2" t="s">
        <v>46</v>
      </c>
      <c r="I1" s="2" t="s">
        <v>47</v>
      </c>
      <c r="J1" s="2" t="s">
        <v>48</v>
      </c>
      <c r="L1" s="3" t="s">
        <v>43</v>
      </c>
      <c r="M1" s="3" t="s">
        <v>49</v>
      </c>
      <c r="N1" s="4" t="s">
        <v>43</v>
      </c>
      <c r="O1" s="4" t="s">
        <v>49</v>
      </c>
    </row>
    <row r="2" spans="1:15" x14ac:dyDescent="0.25">
      <c r="A2" s="5">
        <v>14.174001243299999</v>
      </c>
      <c r="B2" s="9">
        <v>1.3706403316705533E-7</v>
      </c>
      <c r="C2" s="9">
        <v>8.299461343524729E-7</v>
      </c>
      <c r="D2" s="5">
        <v>14.174001243299999</v>
      </c>
      <c r="E2" s="9">
        <v>1.3491845108606221E-7</v>
      </c>
      <c r="F2" s="9">
        <v>8.169542683398493E-7</v>
      </c>
      <c r="H2" s="2" t="s">
        <v>50</v>
      </c>
      <c r="I2" s="5">
        <v>2.8998114999999991E-2</v>
      </c>
      <c r="J2" s="5">
        <v>5.904674911480768E-2</v>
      </c>
      <c r="L2" s="6"/>
      <c r="M2" s="6"/>
      <c r="N2" s="6"/>
      <c r="O2" s="6"/>
    </row>
    <row r="3" spans="1:15" x14ac:dyDescent="0.25">
      <c r="A3" s="5">
        <v>14.174001243299999</v>
      </c>
      <c r="B3" s="9">
        <v>1.3675472122200032E-7</v>
      </c>
      <c r="C3" s="9">
        <v>8.2807319768793912E-7</v>
      </c>
      <c r="D3" s="5">
        <v>14.174001243299999</v>
      </c>
      <c r="E3" s="9">
        <v>1.3461398106891071E-7</v>
      </c>
      <c r="F3" s="9">
        <v>8.151106503758781E-7</v>
      </c>
      <c r="H3" s="2" t="s">
        <v>51</v>
      </c>
      <c r="I3" s="5">
        <f>4.36956877723609*A2/100</f>
        <v>0.61934273281229191</v>
      </c>
      <c r="J3" s="5">
        <f>I3*J2/I2</f>
        <v>1.2611224888392496</v>
      </c>
      <c r="L3" s="6"/>
      <c r="M3" s="6"/>
      <c r="N3" s="6"/>
      <c r="O3" s="6"/>
    </row>
    <row r="4" spans="1:15" x14ac:dyDescent="0.25">
      <c r="A4" s="5">
        <v>14.174001243299999</v>
      </c>
      <c r="B4" s="9">
        <v>1.3618747768366029E-7</v>
      </c>
      <c r="C4" s="9">
        <v>8.2463844116572339E-7</v>
      </c>
      <c r="D4" s="5">
        <v>14.174001243299999</v>
      </c>
      <c r="E4" s="9">
        <v>1.3405561708520866E-7</v>
      </c>
      <c r="F4" s="9">
        <v>8.1172966107381714E-7</v>
      </c>
      <c r="H4" s="2" t="s">
        <v>52</v>
      </c>
      <c r="I4" s="5">
        <v>2.8998114999999991E-2</v>
      </c>
      <c r="J4" s="5">
        <v>5.994080484482597E-3</v>
      </c>
      <c r="L4" s="6"/>
      <c r="M4" s="6"/>
      <c r="N4" s="6"/>
      <c r="O4" s="6"/>
    </row>
    <row r="5" spans="1:15" x14ac:dyDescent="0.25">
      <c r="A5" s="5">
        <v>14.174001243299999</v>
      </c>
      <c r="B5" s="9">
        <v>1.3579637542175784E-7</v>
      </c>
      <c r="C5" s="9">
        <v>8.2227025016110855E-7</v>
      </c>
      <c r="D5" s="5">
        <v>14.174001243299999</v>
      </c>
      <c r="E5" s="9">
        <v>1.3367063708591287E-7</v>
      </c>
      <c r="F5" s="9">
        <v>8.0939854141510156E-7</v>
      </c>
      <c r="H5" s="2" t="s">
        <v>53</v>
      </c>
      <c r="I5" s="7">
        <f>4.30116813081211*D2/100</f>
        <v>0.60964762433773179</v>
      </c>
      <c r="J5" s="5">
        <f>I5*J4/I4</f>
        <v>0.12601774037567534</v>
      </c>
      <c r="L5" s="6"/>
      <c r="M5" s="6"/>
      <c r="N5" s="6"/>
      <c r="O5" s="6"/>
    </row>
    <row r="6" spans="1:15" x14ac:dyDescent="0.25">
      <c r="A6" s="5">
        <v>14.174001243299999</v>
      </c>
      <c r="B6" s="9">
        <v>1.3614921439001862E-7</v>
      </c>
      <c r="C6" s="9">
        <v>8.2440675038651799E-7</v>
      </c>
      <c r="D6" s="5">
        <v>14.174001243299999</v>
      </c>
      <c r="E6" s="9">
        <v>1.3401795276005859E-7</v>
      </c>
      <c r="F6" s="9">
        <v>8.1150159715114525E-7</v>
      </c>
      <c r="L6" s="6"/>
      <c r="M6" s="6"/>
      <c r="N6" s="6"/>
      <c r="O6" s="6"/>
    </row>
    <row r="7" spans="1:15" x14ac:dyDescent="0.25">
      <c r="A7" s="5">
        <v>14.174001243299999</v>
      </c>
      <c r="B7" s="9">
        <v>1.3552937092248655E-7</v>
      </c>
      <c r="C7" s="9">
        <v>8.2065349230782956E-7</v>
      </c>
      <c r="D7" s="5">
        <v>14.174001243299999</v>
      </c>
      <c r="E7" s="9">
        <v>1.3340781223943557E-7</v>
      </c>
      <c r="F7" s="9">
        <v>8.0780709207346604E-7</v>
      </c>
      <c r="L7" s="6"/>
      <c r="M7" s="6"/>
      <c r="N7" s="6"/>
      <c r="O7" s="6"/>
    </row>
    <row r="8" spans="1:15" x14ac:dyDescent="0.25">
      <c r="A8" s="5">
        <v>14.174001243299999</v>
      </c>
      <c r="B8" s="9">
        <v>1.3529254653088194E-7</v>
      </c>
      <c r="C8" s="9">
        <v>8.1921948016189284E-7</v>
      </c>
      <c r="D8" s="5">
        <v>14.174001243299999</v>
      </c>
      <c r="E8" s="9">
        <v>1.331746950652478E-7</v>
      </c>
      <c r="F8" s="9">
        <v>8.0639552776226188E-7</v>
      </c>
      <c r="L8" s="6"/>
      <c r="M8" s="6"/>
      <c r="N8" s="6"/>
      <c r="O8" s="6"/>
    </row>
    <row r="9" spans="1:15" x14ac:dyDescent="0.25">
      <c r="A9" s="5">
        <v>14.174001243299999</v>
      </c>
      <c r="B9" s="9">
        <v>1.3651540578296244E-7</v>
      </c>
      <c r="C9" s="9">
        <v>8.2662410182426865E-7</v>
      </c>
      <c r="D9" s="5">
        <v>14.174001243299999</v>
      </c>
      <c r="E9" s="9">
        <v>1.3437841184181358E-7</v>
      </c>
      <c r="F9" s="9">
        <v>8.136842384654438E-7</v>
      </c>
      <c r="L9" s="6"/>
      <c r="M9" s="6"/>
      <c r="N9" s="6"/>
      <c r="O9" s="6"/>
    </row>
    <row r="10" spans="1:15" x14ac:dyDescent="0.25">
      <c r="A10" s="5">
        <v>14.174001243299999</v>
      </c>
      <c r="B10" s="9">
        <v>1.3590460536032635E-7</v>
      </c>
      <c r="C10" s="9">
        <v>8.2292560092717476E-7</v>
      </c>
      <c r="D10" s="5">
        <v>14.174001243299999</v>
      </c>
      <c r="E10" s="9">
        <v>1.3377717280746871E-7</v>
      </c>
      <c r="F10" s="9">
        <v>8.1004363340774669E-7</v>
      </c>
      <c r="L10" s="6"/>
      <c r="M10" s="6"/>
      <c r="N10" s="6"/>
      <c r="O10" s="6"/>
    </row>
    <row r="11" spans="1:15" x14ac:dyDescent="0.25">
      <c r="A11" s="5">
        <v>14.174001243299999</v>
      </c>
      <c r="B11" s="9">
        <v>1.3562203713523482E-7</v>
      </c>
      <c r="C11" s="9">
        <v>8.2121460205543036E-7</v>
      </c>
      <c r="D11" s="5">
        <v>14.174001243299999</v>
      </c>
      <c r="E11" s="9">
        <v>1.3349902786765769E-7</v>
      </c>
      <c r="F11" s="9">
        <v>8.0835941828396941E-7</v>
      </c>
      <c r="L11" s="6"/>
      <c r="M11" s="6"/>
      <c r="N11" s="6"/>
      <c r="O11" s="6"/>
    </row>
    <row r="12" spans="1:15" x14ac:dyDescent="0.25">
      <c r="L12" s="8"/>
    </row>
    <row r="13" spans="1:15" x14ac:dyDescent="0.25">
      <c r="L13" s="8"/>
    </row>
    <row r="14" spans="1:15" x14ac:dyDescent="0.25">
      <c r="L14" s="8"/>
    </row>
    <row r="15" spans="1:15" x14ac:dyDescent="0.25">
      <c r="L15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hydrogenBAU</vt:lpstr>
      <vt:lpstr>hydrogenBlue</vt:lpstr>
      <vt:lpstr>hydrogenBAUWOElec</vt:lpstr>
      <vt:lpstr>hydrogenBlueWOElec</vt:lpstr>
      <vt:lpstr>hydrogenWind</vt:lpstr>
      <vt:lpstr>hydrogenSolar</vt:lpstr>
      <vt:lpstr>heat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Nabera  Abhinandan</cp:lastModifiedBy>
  <dcterms:created xsi:type="dcterms:W3CDTF">2023-12-20T19:11:04Z</dcterms:created>
  <dcterms:modified xsi:type="dcterms:W3CDTF">2023-12-21T21:15:00Z</dcterms:modified>
</cp:coreProperties>
</file>