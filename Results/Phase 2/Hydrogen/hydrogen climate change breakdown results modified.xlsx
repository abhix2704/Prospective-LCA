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Hydrogen\"/>
    </mc:Choice>
  </mc:AlternateContent>
  <xr:revisionPtr revIDLastSave="0" documentId="13_ncr:1_{8BD2A499-131C-446D-BC3A-62AEA9C9B64E}" xr6:coauthVersionLast="36" xr6:coauthVersionMax="36" xr10:uidLastSave="{00000000-0000-0000-0000-000000000000}"/>
  <bookViews>
    <workbookView xWindow="0" yWindow="0" windowWidth="28800" windowHeight="14025" activeTab="3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</workbook>
</file>

<file path=xl/calcChain.xml><?xml version="1.0" encoding="utf-8"?>
<calcChain xmlns="http://schemas.openxmlformats.org/spreadsheetml/2006/main">
  <c r="I5" i="7" l="1"/>
  <c r="J5" i="7" s="1"/>
  <c r="O3" i="7" s="1"/>
  <c r="I3" i="7"/>
  <c r="O10" i="7" l="1"/>
  <c r="O11" i="7"/>
  <c r="N8" i="7"/>
  <c r="O9" i="7"/>
  <c r="O8" i="7"/>
  <c r="N10" i="7"/>
  <c r="O2" i="7"/>
  <c r="O7" i="7"/>
  <c r="N9" i="7"/>
  <c r="N2" i="7"/>
  <c r="O6" i="7"/>
  <c r="N4" i="7"/>
  <c r="O5" i="7"/>
  <c r="N3" i="7"/>
  <c r="N5" i="7"/>
  <c r="O4" i="7"/>
  <c r="N7" i="7"/>
  <c r="N11" i="7"/>
  <c r="N6" i="7"/>
  <c r="J3" i="7"/>
  <c r="L9" i="7" l="1"/>
  <c r="L6" i="7"/>
  <c r="M6" i="7"/>
  <c r="L8" i="7"/>
  <c r="L7" i="7"/>
  <c r="M8" i="7"/>
  <c r="M4" i="7"/>
  <c r="M11" i="7"/>
  <c r="L5" i="7"/>
  <c r="M9" i="7"/>
  <c r="M7" i="7"/>
  <c r="M2" i="7"/>
  <c r="M10" i="7"/>
  <c r="L4" i="7"/>
  <c r="L3" i="7"/>
  <c r="L10" i="7"/>
  <c r="L2" i="7"/>
  <c r="M5" i="7"/>
  <c r="M3" i="7"/>
  <c r="L11" i="7"/>
</calcChain>
</file>

<file path=xl/sharedStrings.xml><?xml version="1.0" encoding="utf-8"?>
<sst xmlns="http://schemas.openxmlformats.org/spreadsheetml/2006/main" count="267" uniqueCount="55">
  <si>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</si>
  <si>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</si>
  <si>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</si>
  <si>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</si>
  <si>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</si>
  <si>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</si>
  <si>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</si>
  <si>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</si>
  <si>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</si>
  <si>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</si>
  <si>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</si>
  <si>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</si>
  <si>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</si>
  <si>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</si>
  <si>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</si>
  <si>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</si>
  <si>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</si>
  <si>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</si>
  <si>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</si>
  <si>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</si>
  <si>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</si>
  <si>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</si>
  <si>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</si>
  <si>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</si>
  <si>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</si>
  <si>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</si>
  <si>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</si>
  <si>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</si>
  <si>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</si>
  <si>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</si>
  <si>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</si>
  <si>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</si>
  <si>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</si>
  <si>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</si>
  <si>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</si>
  <si>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</si>
  <si>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</si>
  <si>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</si>
  <si>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</si>
  <si>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</si>
  <si>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</si>
  <si>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</si>
  <si>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% heat BAU</t>
  </si>
  <si>
    <t>Heat modified</t>
  </si>
  <si>
    <t>Natural gas modified</t>
  </si>
  <si>
    <t>% heat blue</t>
  </si>
  <si>
    <t>heat from natural gas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</si>
  <si>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</si>
  <si>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Direct emissions</t>
  </si>
  <si>
    <t>SMR</t>
  </si>
  <si>
    <t>Case</t>
  </si>
  <si>
    <t>Heat</t>
  </si>
  <si>
    <t>Heat with CCS</t>
  </si>
  <si>
    <t>SMR with CCS</t>
  </si>
  <si>
    <t>Direct emissions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</si>
</sst>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vertAlign val="superscript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workbookViewId="0">
      <selection activeCell="J19" sqref="J19"/>
    </sheetView>
  </sheetViews>
  <sheetFormatPr defaultRowHeight="15" x14ac:dyDescent="0.25"/>
  <sheetData>
    <row r="1" spans="1:2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5">
      <c r="A2" s="1">
        <v>0</v>
      </c>
      <c r="B2" t="s">
        <v>2</v>
      </c>
      <c r="C2" t="s">
        <v>20</v>
      </c>
      <c r="D2">
        <v>10.24507192971876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-0.83470682154664422</v>
      </c>
      <c r="Y2">
        <v>2.0589746117079719</v>
      </c>
      <c r="Z2">
        <v>8.925189945964096</v>
      </c>
    </row>
    <row r="3" spans="1:26" x14ac:dyDescent="0.25">
      <c r="A3" s="1">
        <v>1</v>
      </c>
      <c r="B3" t="s">
        <v>2</v>
      </c>
      <c r="C3" t="s">
        <v>21</v>
      </c>
      <c r="D3">
        <v>10.243291150082021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-0.80356805738769566</v>
      </c>
      <c r="Y3">
        <v>2.0325988733326681</v>
      </c>
      <c r="Z3">
        <v>8.9251899470263911</v>
      </c>
    </row>
    <row r="4" spans="1:26" x14ac:dyDescent="0.25">
      <c r="A4" s="1">
        <v>2</v>
      </c>
      <c r="B4" t="s">
        <v>2</v>
      </c>
      <c r="C4" t="s">
        <v>22</v>
      </c>
      <c r="D4">
        <v>10.264062911809621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-0.76204240843150783</v>
      </c>
      <c r="Y4">
        <v>2.013818398393048</v>
      </c>
      <c r="Z4">
        <v>8.9251899486073523</v>
      </c>
    </row>
    <row r="5" spans="1:26" x14ac:dyDescent="0.25">
      <c r="A5" s="1">
        <v>3</v>
      </c>
      <c r="B5" t="s">
        <v>2</v>
      </c>
      <c r="C5" t="s">
        <v>23</v>
      </c>
      <c r="D5">
        <v>10.322032592343881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-0.69363057231712699</v>
      </c>
      <c r="Y5">
        <v>2.003330158067111</v>
      </c>
      <c r="Z5">
        <v>8.92518995142912</v>
      </c>
    </row>
    <row r="6" spans="1:26" x14ac:dyDescent="0.25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-0.22052947312013049</v>
      </c>
      <c r="Y6">
        <v>1.9110619297884419</v>
      </c>
      <c r="Z6">
        <v>8.9251899704523812</v>
      </c>
    </row>
    <row r="7" spans="1:26" x14ac:dyDescent="0.25">
      <c r="A7" s="1">
        <v>5</v>
      </c>
      <c r="B7" t="s">
        <v>2</v>
      </c>
      <c r="C7" t="s">
        <v>25</v>
      </c>
      <c r="D7">
        <v>10.75895864233426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-6.6758688007688305E-2</v>
      </c>
      <c r="Y7">
        <v>1.852671284051604</v>
      </c>
      <c r="Z7">
        <v>8.9251899763420965</v>
      </c>
    </row>
    <row r="8" spans="1:26" x14ac:dyDescent="0.25">
      <c r="A8" s="1">
        <v>6</v>
      </c>
      <c r="B8" t="s">
        <v>2</v>
      </c>
      <c r="C8" t="s">
        <v>26</v>
      </c>
      <c r="D8">
        <v>10.77005952698809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-2.5269930193316512E-2</v>
      </c>
      <c r="Y8">
        <v>1.8252491183007229</v>
      </c>
      <c r="Z8">
        <v>8.9251899778341794</v>
      </c>
    </row>
    <row r="9" spans="1:26" x14ac:dyDescent="0.25">
      <c r="A9" s="1">
        <v>7</v>
      </c>
      <c r="B9" t="s">
        <v>2</v>
      </c>
      <c r="C9" t="s">
        <v>27</v>
      </c>
      <c r="D9">
        <v>10.34455406936768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-0.65203339686002737</v>
      </c>
      <c r="Y9">
        <v>1.990593256105571</v>
      </c>
      <c r="Z9">
        <v>8.9251899529845442</v>
      </c>
    </row>
    <row r="10" spans="1:26" x14ac:dyDescent="0.25">
      <c r="A10" s="1">
        <v>8</v>
      </c>
      <c r="B10" t="s">
        <v>2</v>
      </c>
      <c r="C10" t="s">
        <v>28</v>
      </c>
      <c r="D10">
        <v>10.629695622731949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-0.2785827505310931</v>
      </c>
      <c r="Y10">
        <v>1.918597962742308</v>
      </c>
      <c r="Z10">
        <v>8.9251899679516775</v>
      </c>
    </row>
    <row r="11" spans="1:26" x14ac:dyDescent="0.25">
      <c r="A11" s="1">
        <v>9</v>
      </c>
      <c r="B11" t="s">
        <v>2</v>
      </c>
      <c r="C11" t="s">
        <v>29</v>
      </c>
      <c r="D11">
        <v>10.81399469658048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-4.8000553578299812E-2</v>
      </c>
      <c r="Y11">
        <v>1.885202894308881</v>
      </c>
      <c r="Z11">
        <v>8.9251899774749894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/>
  </sheetViews>
  <sheetFormatPr defaultRowHeight="15" x14ac:dyDescent="0.25"/>
  <sheetData>
    <row r="1" spans="1:28" x14ac:dyDescent="0.25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5">
      <c r="A2" s="1">
        <v>0</v>
      </c>
      <c r="B2" t="s">
        <v>30</v>
      </c>
      <c r="C2" t="s">
        <v>20</v>
      </c>
      <c r="D2">
        <v>4.4983724111988561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-0.37979428217101507</v>
      </c>
      <c r="AA2">
        <v>2.0267436979516571</v>
      </c>
      <c r="AB2">
        <v>2.6131052507600758</v>
      </c>
    </row>
    <row r="3" spans="1:28" x14ac:dyDescent="0.25">
      <c r="A3" s="1">
        <v>1</v>
      </c>
      <c r="B3" t="s">
        <v>30</v>
      </c>
      <c r="C3" t="s">
        <v>21</v>
      </c>
      <c r="D3">
        <v>4.4747344710924546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-0.36562604456211861</v>
      </c>
      <c r="AA3">
        <v>2.0007808418644579</v>
      </c>
      <c r="AB3">
        <v>2.6131052514145008</v>
      </c>
    </row>
    <row r="4" spans="1:28" x14ac:dyDescent="0.25">
      <c r="A4" s="1">
        <v>2</v>
      </c>
      <c r="B4" t="s">
        <v>30</v>
      </c>
      <c r="C4" t="s">
        <v>22</v>
      </c>
      <c r="D4">
        <v>4.4661510316613899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-0.3467317410415392</v>
      </c>
      <c r="AA4">
        <v>1.982294353972873</v>
      </c>
      <c r="AB4">
        <v>2.613105251801672</v>
      </c>
    </row>
    <row r="5" spans="1:28" x14ac:dyDescent="0.25">
      <c r="A5" s="1">
        <v>3</v>
      </c>
      <c r="B5" t="s">
        <v>30</v>
      </c>
      <c r="C5" t="s">
        <v>23</v>
      </c>
      <c r="D5">
        <v>4.4755093251976712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-0.31560413609287019</v>
      </c>
      <c r="AA5">
        <v>1.971970295161116</v>
      </c>
      <c r="AB5">
        <v>2.6131052517288169</v>
      </c>
    </row>
    <row r="6" spans="1:28" x14ac:dyDescent="0.25">
      <c r="A6" s="1">
        <v>4</v>
      </c>
      <c r="B6" t="s">
        <v>30</v>
      </c>
      <c r="C6" t="s">
        <v>24</v>
      </c>
      <c r="D6">
        <v>4.4889958509417811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-0.1003416178940762</v>
      </c>
      <c r="AA6">
        <v>1.8811464214126969</v>
      </c>
      <c r="AB6">
        <v>2.61310525145604</v>
      </c>
    </row>
    <row r="7" spans="1:28" x14ac:dyDescent="0.25">
      <c r="A7" s="1">
        <v>5</v>
      </c>
      <c r="B7" t="s">
        <v>30</v>
      </c>
      <c r="C7" t="s">
        <v>25</v>
      </c>
      <c r="D7">
        <v>4.4662576447705034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-3.0375417255580479E-2</v>
      </c>
      <c r="AA7">
        <v>1.8236698150507129</v>
      </c>
      <c r="AB7">
        <v>2.6131052524615779</v>
      </c>
    </row>
    <row r="8" spans="1:28" x14ac:dyDescent="0.25">
      <c r="A8" s="1">
        <v>6</v>
      </c>
      <c r="B8" t="s">
        <v>30</v>
      </c>
      <c r="C8" t="s">
        <v>26</v>
      </c>
      <c r="D8">
        <v>4.4480861693317211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-1.1497899322901481E-2</v>
      </c>
      <c r="AA8">
        <v>1.796676912222406</v>
      </c>
      <c r="AB8">
        <v>2.6131052531549179</v>
      </c>
    </row>
    <row r="9" spans="1:28" x14ac:dyDescent="0.25">
      <c r="A9" s="1">
        <v>7</v>
      </c>
      <c r="B9" t="s">
        <v>30</v>
      </c>
      <c r="C9" t="s">
        <v>27</v>
      </c>
      <c r="D9">
        <v>4.4682681254411643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-0.29667728778486419</v>
      </c>
      <c r="AA9">
        <v>1.9594327749628599</v>
      </c>
      <c r="AB9">
        <v>2.6131052518285678</v>
      </c>
    </row>
    <row r="10" spans="1:28" x14ac:dyDescent="0.25">
      <c r="A10" s="1">
        <v>8</v>
      </c>
      <c r="B10" t="s">
        <v>30</v>
      </c>
      <c r="C10" t="s">
        <v>28</v>
      </c>
      <c r="D10">
        <v>4.4874108125027616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-0.1267560453946423</v>
      </c>
      <c r="AA10">
        <v>1.888564486312555</v>
      </c>
      <c r="AB10">
        <v>2.6131052517506932</v>
      </c>
    </row>
    <row r="11" spans="1:28" x14ac:dyDescent="0.25">
      <c r="A11" s="1">
        <v>9</v>
      </c>
      <c r="B11" t="s">
        <v>30</v>
      </c>
      <c r="C11" t="s">
        <v>29</v>
      </c>
      <c r="D11">
        <v>4.5075383230095127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-2.1840405900004928E-2</v>
      </c>
      <c r="AA11">
        <v>1.855692179823079</v>
      </c>
      <c r="AB11">
        <v>2.6131052511776658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1"/>
  <sheetViews>
    <sheetView workbookViewId="0">
      <selection activeCell="X25" sqref="X25"/>
    </sheetView>
  </sheetViews>
  <sheetFormatPr defaultRowHeight="15" x14ac:dyDescent="0.25"/>
  <sheetData>
    <row r="1" spans="1:27" x14ac:dyDescent="0.25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4" t="s">
        <v>46</v>
      </c>
      <c r="AA1" s="1" t="s">
        <v>19</v>
      </c>
    </row>
    <row r="2" spans="1:27" x14ac:dyDescent="0.25">
      <c r="A2" s="1">
        <v>0</v>
      </c>
      <c r="B2" t="s">
        <v>33</v>
      </c>
      <c r="C2" t="s">
        <v>20</v>
      </c>
      <c r="D2">
        <v>11.07977878591611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0</v>
      </c>
      <c r="Y2">
        <v>1.7671355246452527</v>
      </c>
      <c r="Z2">
        <v>1.5529615759019688</v>
      </c>
      <c r="AA2">
        <v>7.6640674917755538</v>
      </c>
    </row>
    <row r="3" spans="1:27" x14ac:dyDescent="0.25">
      <c r="A3" s="1">
        <v>1</v>
      </c>
      <c r="B3" t="s">
        <v>33</v>
      </c>
      <c r="C3" t="s">
        <v>21</v>
      </c>
      <c r="D3">
        <v>11.04685924082778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0</v>
      </c>
      <c r="Y3">
        <v>1.7444982837551939</v>
      </c>
      <c r="Z3">
        <v>1.5492230784167238</v>
      </c>
      <c r="AA3">
        <v>7.6640674915452065</v>
      </c>
    </row>
    <row r="4" spans="1:27" x14ac:dyDescent="0.25">
      <c r="A4" s="1">
        <v>2</v>
      </c>
      <c r="B4" t="s">
        <v>33</v>
      </c>
      <c r="C4" t="s">
        <v>22</v>
      </c>
      <c r="D4">
        <v>11.02610535187536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0</v>
      </c>
      <c r="Y4">
        <v>1.7283797535670131</v>
      </c>
      <c r="Z4">
        <v>1.5465611336652842</v>
      </c>
      <c r="AA4">
        <v>7.6640674914023341</v>
      </c>
    </row>
    <row r="5" spans="1:27" x14ac:dyDescent="0.25">
      <c r="A5" s="1">
        <v>3</v>
      </c>
      <c r="B5" t="s">
        <v>33</v>
      </c>
      <c r="C5" t="s">
        <v>23</v>
      </c>
      <c r="D5">
        <v>11.015663193455291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0</v>
      </c>
      <c r="Y5">
        <v>1.7193781165552748</v>
      </c>
      <c r="Z5">
        <v>1.5450745303510858</v>
      </c>
      <c r="AA5">
        <v>7.6640674913841584</v>
      </c>
    </row>
    <row r="6" spans="1:27" x14ac:dyDescent="0.25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0</v>
      </c>
      <c r="Y6">
        <v>1.6401879880999952</v>
      </c>
      <c r="Z6">
        <v>1.5319964305276963</v>
      </c>
      <c r="AA6">
        <v>7.6640674907678461</v>
      </c>
    </row>
    <row r="7" spans="1:27" x14ac:dyDescent="0.25">
      <c r="A7" s="1">
        <v>5</v>
      </c>
      <c r="B7" t="s">
        <v>33</v>
      </c>
      <c r="C7" t="s">
        <v>25</v>
      </c>
      <c r="D7">
        <v>10.825717333113261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0</v>
      </c>
      <c r="Y7">
        <v>1.5900736332158676</v>
      </c>
      <c r="Z7">
        <v>1.523720139674986</v>
      </c>
      <c r="AA7">
        <v>7.664067490274161</v>
      </c>
    </row>
    <row r="8" spans="1:27" x14ac:dyDescent="0.25">
      <c r="A8" s="1">
        <v>6</v>
      </c>
      <c r="B8" t="s">
        <v>33</v>
      </c>
      <c r="C8" t="s">
        <v>26</v>
      </c>
      <c r="D8">
        <v>10.79532945823042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0</v>
      </c>
      <c r="Y8">
        <v>1.5665382855794561</v>
      </c>
      <c r="Z8">
        <v>1.5198333215605164</v>
      </c>
      <c r="AA8">
        <v>7.6640674900439452</v>
      </c>
    </row>
    <row r="9" spans="1:27" x14ac:dyDescent="0.25">
      <c r="A9" s="1">
        <v>7</v>
      </c>
      <c r="B9" t="s">
        <v>33</v>
      </c>
      <c r="C9" t="s">
        <v>27</v>
      </c>
      <c r="D9">
        <v>10.996587493295189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0</v>
      </c>
      <c r="Y9">
        <v>1.7084465432361213</v>
      </c>
      <c r="Z9">
        <v>1.5432692017086991</v>
      </c>
      <c r="AA9">
        <v>7.6640674912127844</v>
      </c>
    </row>
    <row r="10" spans="1:27" x14ac:dyDescent="0.25">
      <c r="A10" s="1">
        <v>8</v>
      </c>
      <c r="B10" t="s">
        <v>33</v>
      </c>
      <c r="C10" t="s">
        <v>28</v>
      </c>
      <c r="D10">
        <v>10.90827838482768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0</v>
      </c>
      <c r="Y10">
        <v>1.6466558636492847</v>
      </c>
      <c r="Z10">
        <v>1.5330645879322728</v>
      </c>
      <c r="AA10">
        <v>7.6640674906770707</v>
      </c>
    </row>
    <row r="11" spans="1:27" x14ac:dyDescent="0.25">
      <c r="A11" s="1">
        <v>9</v>
      </c>
      <c r="B11" t="s">
        <v>33</v>
      </c>
      <c r="C11" t="s">
        <v>29</v>
      </c>
      <c r="D11">
        <v>10.8619952521514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0</v>
      </c>
      <c r="Y11">
        <v>1.6179942126308127</v>
      </c>
      <c r="Z11">
        <v>1.5283311705173179</v>
      </c>
      <c r="AA11">
        <v>7.6640674906283612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abSelected="1" workbookViewId="0">
      <selection activeCell="X19" sqref="X19"/>
    </sheetView>
  </sheetViews>
  <sheetFormatPr defaultRowHeight="15" x14ac:dyDescent="0.25"/>
  <sheetData>
    <row r="1" spans="1:29" x14ac:dyDescent="0.25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4" t="s">
        <v>46</v>
      </c>
      <c r="AC1" s="1" t="s">
        <v>19</v>
      </c>
    </row>
    <row r="2" spans="1:29" x14ac:dyDescent="0.25">
      <c r="A2" s="1">
        <v>0</v>
      </c>
      <c r="B2" t="s">
        <v>34</v>
      </c>
      <c r="C2" t="s">
        <v>20</v>
      </c>
      <c r="D2">
        <v>4.8781666908215744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0</v>
      </c>
      <c r="AA2">
        <v>1.7394730210054847</v>
      </c>
      <c r="AB2">
        <v>0.41328841732184762</v>
      </c>
      <c r="AC2">
        <v>2.4870875078361037</v>
      </c>
    </row>
    <row r="3" spans="1:29" x14ac:dyDescent="0.25">
      <c r="A3" s="1">
        <v>1</v>
      </c>
      <c r="B3" t="s">
        <v>34</v>
      </c>
      <c r="C3" t="s">
        <v>21</v>
      </c>
      <c r="D3">
        <v>4.840360513201337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0</v>
      </c>
      <c r="AA3">
        <v>1.7171901404628815</v>
      </c>
      <c r="AB3">
        <v>0.40960844177725175</v>
      </c>
      <c r="AC3">
        <v>2.4870875085855886</v>
      </c>
    </row>
    <row r="4" spans="1:29" x14ac:dyDescent="0.25">
      <c r="A4" s="1">
        <v>2</v>
      </c>
      <c r="B4" t="s">
        <v>34</v>
      </c>
      <c r="C4" t="s">
        <v>22</v>
      </c>
      <c r="D4">
        <v>4.8128827703764676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0</v>
      </c>
      <c r="AA4">
        <v>1.7013239275948924</v>
      </c>
      <c r="AB4">
        <v>0.40698816675365601</v>
      </c>
      <c r="AC4">
        <v>2.4870875090995366</v>
      </c>
    </row>
    <row r="5" spans="1:29" x14ac:dyDescent="0.25">
      <c r="A5" s="1">
        <v>3</v>
      </c>
      <c r="B5" t="s">
        <v>34</v>
      </c>
      <c r="C5" t="s">
        <v>23</v>
      </c>
      <c r="D5">
        <v>4.7911134591729381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0</v>
      </c>
      <c r="AA5">
        <v>1.6924632010074727</v>
      </c>
      <c r="AB5">
        <v>0.40552483452931865</v>
      </c>
      <c r="AC5">
        <v>2.4870875092355385</v>
      </c>
    </row>
    <row r="6" spans="1:29" x14ac:dyDescent="0.25">
      <c r="A6" s="1">
        <v>4</v>
      </c>
      <c r="B6" t="s">
        <v>34</v>
      </c>
      <c r="C6" t="s">
        <v>24</v>
      </c>
      <c r="D6">
        <v>4.5893374681625962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0</v>
      </c>
      <c r="AA6">
        <v>1.6145127042533678</v>
      </c>
      <c r="AB6">
        <v>0.39265145753500441</v>
      </c>
      <c r="AC6">
        <v>2.4870875104071035</v>
      </c>
    </row>
    <row r="7" spans="1:29" x14ac:dyDescent="0.25">
      <c r="A7" s="1">
        <v>5</v>
      </c>
      <c r="B7" t="s">
        <v>34</v>
      </c>
      <c r="C7" t="s">
        <v>25</v>
      </c>
      <c r="D7">
        <v>4.4966330618222754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0</v>
      </c>
      <c r="AA7">
        <v>1.5651828327917381</v>
      </c>
      <c r="AB7">
        <v>0.38450472263465019</v>
      </c>
      <c r="AC7">
        <v>2.4870875118820934</v>
      </c>
    </row>
    <row r="8" spans="1:29" x14ac:dyDescent="0.25">
      <c r="A8" s="1">
        <v>6</v>
      </c>
      <c r="B8" t="s">
        <v>34</v>
      </c>
      <c r="C8" t="s">
        <v>26</v>
      </c>
      <c r="D8">
        <v>4.4595840685774766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0</v>
      </c>
      <c r="AA8">
        <v>1.5420159043459181</v>
      </c>
      <c r="AB8">
        <v>0.38067874825216319</v>
      </c>
      <c r="AC8">
        <v>2.4870875127020975</v>
      </c>
    </row>
    <row r="9" spans="1:29" x14ac:dyDescent="0.25">
      <c r="A9" s="1">
        <v>7</v>
      </c>
      <c r="B9" t="s">
        <v>34</v>
      </c>
      <c r="C9" t="s">
        <v>27</v>
      </c>
      <c r="D9">
        <v>4.7649454112354181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0</v>
      </c>
      <c r="AA9">
        <v>1.6817027490779966</v>
      </c>
      <c r="AB9">
        <v>0.40374776626053877</v>
      </c>
      <c r="AC9">
        <v>2.4870875094622824</v>
      </c>
    </row>
    <row r="10" spans="1:29" x14ac:dyDescent="0.25">
      <c r="A10" s="1">
        <v>8</v>
      </c>
      <c r="B10" t="s">
        <v>34</v>
      </c>
      <c r="C10" t="s">
        <v>28</v>
      </c>
      <c r="D10">
        <v>4.614166857046909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0</v>
      </c>
      <c r="AA10">
        <v>1.6208793325420912</v>
      </c>
      <c r="AB10">
        <v>0.39370289414613913</v>
      </c>
      <c r="AC10">
        <v>2.4870875105245225</v>
      </c>
    </row>
    <row r="11" spans="1:29" x14ac:dyDescent="0.25">
      <c r="A11" s="1">
        <v>9</v>
      </c>
      <c r="B11" t="s">
        <v>34</v>
      </c>
      <c r="C11" t="s">
        <v>29</v>
      </c>
      <c r="D11">
        <v>4.5293787287629721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0</v>
      </c>
      <c r="AA11">
        <v>1.592666347183135</v>
      </c>
      <c r="AB11">
        <v>0.38904357301561943</v>
      </c>
      <c r="AC11">
        <v>2.4870875106554444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1"/>
  <sheetViews>
    <sheetView workbookViewId="0"/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5">
      <c r="A2" s="1">
        <v>0</v>
      </c>
      <c r="B2" t="s">
        <v>35</v>
      </c>
      <c r="C2" t="s">
        <v>20</v>
      </c>
      <c r="D2">
        <v>2.3990751970328539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1.897391694870993</v>
      </c>
      <c r="M2">
        <v>0</v>
      </c>
    </row>
    <row r="3" spans="1:13" x14ac:dyDescent="0.25">
      <c r="A3" s="1">
        <v>1</v>
      </c>
      <c r="B3" t="s">
        <v>35</v>
      </c>
      <c r="C3" t="s">
        <v>21</v>
      </c>
      <c r="D3">
        <v>2.1519213145391412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1.6786344516007241</v>
      </c>
      <c r="M3">
        <v>0</v>
      </c>
    </row>
    <row r="4" spans="1:13" x14ac:dyDescent="0.25">
      <c r="A4" s="1">
        <v>2</v>
      </c>
      <c r="B4" t="s">
        <v>35</v>
      </c>
      <c r="C4" t="s">
        <v>22</v>
      </c>
      <c r="D4">
        <v>1.9406128370154081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1.46689713099452</v>
      </c>
      <c r="M4">
        <v>0</v>
      </c>
    </row>
    <row r="5" spans="1:13" x14ac:dyDescent="0.25">
      <c r="A5" s="1">
        <v>3</v>
      </c>
      <c r="B5" t="s">
        <v>35</v>
      </c>
      <c r="C5" t="s">
        <v>23</v>
      </c>
      <c r="D5">
        <v>1.8971083255038641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1.4024801073326809</v>
      </c>
      <c r="M5">
        <v>0</v>
      </c>
    </row>
    <row r="6" spans="1:13" x14ac:dyDescent="0.25">
      <c r="A6" s="1">
        <v>4</v>
      </c>
      <c r="B6" t="s">
        <v>35</v>
      </c>
      <c r="C6" t="s">
        <v>24</v>
      </c>
      <c r="D6">
        <v>1.538271021178349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1.143533535676992</v>
      </c>
      <c r="M6">
        <v>0</v>
      </c>
    </row>
    <row r="7" spans="1:13" x14ac:dyDescent="0.25">
      <c r="A7" s="1">
        <v>5</v>
      </c>
      <c r="B7" t="s">
        <v>35</v>
      </c>
      <c r="C7" t="s">
        <v>25</v>
      </c>
      <c r="D7">
        <v>1.235011769076686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0.86077188562588858</v>
      </c>
      <c r="M7">
        <v>0</v>
      </c>
    </row>
    <row r="8" spans="1:13" x14ac:dyDescent="0.25">
      <c r="A8" s="1">
        <v>6</v>
      </c>
      <c r="B8" t="s">
        <v>35</v>
      </c>
      <c r="C8" t="s">
        <v>26</v>
      </c>
      <c r="D8">
        <v>1.154061313732617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0.7859272262012732</v>
      </c>
      <c r="M8">
        <v>0</v>
      </c>
    </row>
    <row r="9" spans="1:13" x14ac:dyDescent="0.25">
      <c r="A9" s="1">
        <v>7</v>
      </c>
      <c r="B9" t="s">
        <v>35</v>
      </c>
      <c r="C9" t="s">
        <v>27</v>
      </c>
      <c r="D9">
        <v>1.9581541027618099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1.504273246881715</v>
      </c>
      <c r="M9">
        <v>0</v>
      </c>
    </row>
    <row r="10" spans="1:13" x14ac:dyDescent="0.25">
      <c r="A10" s="1">
        <v>8</v>
      </c>
      <c r="B10" t="s">
        <v>35</v>
      </c>
      <c r="C10" t="s">
        <v>28</v>
      </c>
      <c r="D10">
        <v>1.5210411084871229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1.1072289534338811</v>
      </c>
      <c r="M10">
        <v>0</v>
      </c>
    </row>
    <row r="11" spans="1:13" x14ac:dyDescent="0.25">
      <c r="A11" s="1">
        <v>9</v>
      </c>
      <c r="B11" t="s">
        <v>35</v>
      </c>
      <c r="C11" t="s">
        <v>29</v>
      </c>
      <c r="D11">
        <v>1.3222980408833731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0.9208065828980001</v>
      </c>
      <c r="M1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"/>
  <sheetViews>
    <sheetView workbookViewId="0"/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5">
      <c r="A2" s="1">
        <v>0</v>
      </c>
      <c r="B2" t="s">
        <v>40</v>
      </c>
      <c r="C2" t="s">
        <v>20</v>
      </c>
      <c r="D2">
        <v>4.0635584200231838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3.5618749575377731</v>
      </c>
      <c r="M2">
        <v>0</v>
      </c>
    </row>
    <row r="3" spans="1:13" x14ac:dyDescent="0.25">
      <c r="A3" s="1">
        <v>1</v>
      </c>
      <c r="B3" t="s">
        <v>40</v>
      </c>
      <c r="C3" t="s">
        <v>21</v>
      </c>
      <c r="D3">
        <v>3.3599393270284952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2.8866524526395119</v>
      </c>
      <c r="M3">
        <v>0</v>
      </c>
    </row>
    <row r="4" spans="1:13" x14ac:dyDescent="0.25">
      <c r="A4" s="1">
        <v>2</v>
      </c>
      <c r="B4" t="s">
        <v>40</v>
      </c>
      <c r="C4" t="s">
        <v>22</v>
      </c>
      <c r="D4">
        <v>2.920947784216021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2.447232078195134</v>
      </c>
      <c r="M4">
        <v>0</v>
      </c>
    </row>
    <row r="5" spans="1:13" x14ac:dyDescent="0.25">
      <c r="A5" s="1">
        <v>3</v>
      </c>
      <c r="B5" t="s">
        <v>40</v>
      </c>
      <c r="C5" t="s">
        <v>23</v>
      </c>
      <c r="D5">
        <v>2.7387698013796919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2.2441415832085019</v>
      </c>
      <c r="M5">
        <v>0</v>
      </c>
    </row>
    <row r="6" spans="1:13" x14ac:dyDescent="0.25">
      <c r="A6" s="1">
        <v>4</v>
      </c>
      <c r="B6" t="s">
        <v>40</v>
      </c>
      <c r="C6" t="s">
        <v>24</v>
      </c>
      <c r="D6">
        <v>2.2950944531449462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1.9003569604698149</v>
      </c>
      <c r="M6">
        <v>0</v>
      </c>
    </row>
    <row r="7" spans="1:13" x14ac:dyDescent="0.25">
      <c r="A7" s="1">
        <v>5</v>
      </c>
      <c r="B7" t="s">
        <v>40</v>
      </c>
      <c r="C7" t="s">
        <v>25</v>
      </c>
      <c r="D7">
        <v>1.8355175587360071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1.461277675285213</v>
      </c>
      <c r="M7">
        <v>0</v>
      </c>
    </row>
    <row r="8" spans="1:13" x14ac:dyDescent="0.25">
      <c r="A8" s="1">
        <v>6</v>
      </c>
      <c r="B8" t="s">
        <v>40</v>
      </c>
      <c r="C8" t="s">
        <v>26</v>
      </c>
      <c r="D8">
        <v>1.6775179614556699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1.3093838739243171</v>
      </c>
      <c r="M8">
        <v>0</v>
      </c>
    </row>
    <row r="9" spans="1:13" x14ac:dyDescent="0.25">
      <c r="A9" s="1">
        <v>7</v>
      </c>
      <c r="B9" t="s">
        <v>40</v>
      </c>
      <c r="C9" t="s">
        <v>27</v>
      </c>
      <c r="D9">
        <v>3.1168135871939779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2.662932720331193</v>
      </c>
      <c r="M9">
        <v>0</v>
      </c>
    </row>
    <row r="10" spans="1:13" x14ac:dyDescent="0.25">
      <c r="A10" s="1">
        <v>8</v>
      </c>
      <c r="B10" t="s">
        <v>40</v>
      </c>
      <c r="C10" t="s">
        <v>28</v>
      </c>
      <c r="D10">
        <v>2.3795894844844709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1.9657773294312251</v>
      </c>
      <c r="M10">
        <v>0</v>
      </c>
    </row>
    <row r="11" spans="1:13" x14ac:dyDescent="0.25">
      <c r="A11" s="1">
        <v>9</v>
      </c>
      <c r="B11" t="s">
        <v>40</v>
      </c>
      <c r="C11" t="s">
        <v>29</v>
      </c>
      <c r="D11">
        <v>1.8503324062278219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1.448840948242454</v>
      </c>
      <c r="M1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273D-583A-4357-8767-B2CE3C4BA43A}">
  <dimension ref="A1:O15"/>
  <sheetViews>
    <sheetView workbookViewId="0">
      <selection activeCell="N2" sqref="N2:O11"/>
    </sheetView>
  </sheetViews>
  <sheetFormatPr defaultRowHeight="15" x14ac:dyDescent="0.25"/>
  <cols>
    <col min="1" max="1" width="11.140625" bestFit="1" customWidth="1"/>
    <col min="2" max="2" width="13.85546875" bestFit="1" customWidth="1"/>
    <col min="3" max="3" width="19.7109375" bestFit="1" customWidth="1"/>
    <col min="4" max="4" width="11.42578125" bestFit="1" customWidth="1"/>
    <col min="5" max="5" width="13.85546875" bestFit="1" customWidth="1"/>
    <col min="6" max="6" width="19.7109375" bestFit="1" customWidth="1"/>
    <col min="8" max="8" width="13.42578125" bestFit="1" customWidth="1"/>
    <col min="9" max="9" width="12" bestFit="1" customWidth="1"/>
    <col min="10" max="10" width="15.7109375" bestFit="1" customWidth="1"/>
    <col min="12" max="12" width="13.85546875" bestFit="1" customWidth="1"/>
    <col min="13" max="13" width="24.5703125" bestFit="1" customWidth="1"/>
    <col min="14" max="14" width="13.85546875" bestFit="1" customWidth="1"/>
    <col min="15" max="15" width="24.5703125" bestFit="1" customWidth="1"/>
  </cols>
  <sheetData>
    <row r="1" spans="1:15" ht="17.25" x14ac:dyDescent="0.25">
      <c r="A1" s="3" t="s">
        <v>42</v>
      </c>
      <c r="B1" s="3" t="s">
        <v>43</v>
      </c>
      <c r="C1" s="3" t="s">
        <v>44</v>
      </c>
      <c r="D1" s="3" t="s">
        <v>45</v>
      </c>
      <c r="E1" s="3" t="s">
        <v>43</v>
      </c>
      <c r="F1" s="3" t="s">
        <v>44</v>
      </c>
      <c r="H1" s="3" t="s">
        <v>50</v>
      </c>
      <c r="I1" s="3" t="s">
        <v>47</v>
      </c>
      <c r="J1" s="3" t="s">
        <v>48</v>
      </c>
      <c r="L1" s="8" t="s">
        <v>43</v>
      </c>
      <c r="M1" s="8" t="s">
        <v>54</v>
      </c>
      <c r="N1" s="9" t="s">
        <v>43</v>
      </c>
      <c r="O1" s="9" t="s">
        <v>54</v>
      </c>
    </row>
    <row r="2" spans="1:15" x14ac:dyDescent="0.25">
      <c r="A2" s="2">
        <v>14.174001243299999</v>
      </c>
      <c r="B2" s="2">
        <v>0.29183908706271927</v>
      </c>
      <c r="C2" s="2">
        <v>1.7671355246452527</v>
      </c>
      <c r="D2" s="2">
        <v>14.174001243299999</v>
      </c>
      <c r="E2" s="2">
        <v>0.28727067694617225</v>
      </c>
      <c r="F2" s="2">
        <v>1.7394730210054847</v>
      </c>
      <c r="H2" s="3" t="s">
        <v>51</v>
      </c>
      <c r="I2" s="2">
        <v>2.8998114999999991E-2</v>
      </c>
      <c r="J2" s="2">
        <v>5.904674911480768E-2</v>
      </c>
      <c r="L2" s="5">
        <f>hydrogenBAUWOElec!Z2+heat!$J$3</f>
        <v>2.8140840647412184</v>
      </c>
      <c r="M2" s="5">
        <f>hydrogenBAUWOElec!AA2-heat!$J$3</f>
        <v>6.4029450029363044</v>
      </c>
      <c r="N2" s="5">
        <f>hydrogenBlueWOElec!AB2+heat!$J$5</f>
        <v>0.53930615769752299</v>
      </c>
      <c r="O2" s="5">
        <f>hydrogenBlueWOElec!AC2-heat!$J$5</f>
        <v>2.3610697674604282</v>
      </c>
    </row>
    <row r="3" spans="1:15" ht="17.25" x14ac:dyDescent="0.25">
      <c r="A3" s="2">
        <v>14.174001243299999</v>
      </c>
      <c r="B3" s="2">
        <v>0.28810058957747414</v>
      </c>
      <c r="C3" s="2">
        <v>1.7444982837551939</v>
      </c>
      <c r="D3" s="2">
        <v>14.174001243299999</v>
      </c>
      <c r="E3" s="2">
        <v>0.28359070140157644</v>
      </c>
      <c r="F3" s="2">
        <v>1.7171901404628815</v>
      </c>
      <c r="H3" s="3" t="s">
        <v>49</v>
      </c>
      <c r="I3" s="2">
        <f>4.36956877723609*A2/100</f>
        <v>0.61934273281229191</v>
      </c>
      <c r="J3" s="2">
        <f>I3*J2/I2</f>
        <v>1.2611224888392496</v>
      </c>
      <c r="L3" s="5">
        <f>hydrogenBAUWOElec!Z3+heat!$J$3</f>
        <v>2.8103455672559736</v>
      </c>
      <c r="M3" s="5">
        <f>hydrogenBAUWOElec!AA3-heat!$J$3</f>
        <v>6.4029450027059571</v>
      </c>
      <c r="N3" s="5">
        <f>hydrogenBlueWOElec!AB3+heat!$J$5</f>
        <v>0.53562618215292712</v>
      </c>
      <c r="O3" s="5">
        <f>hydrogenBlueWOElec!AC3-heat!$J$5</f>
        <v>2.3610697682099131</v>
      </c>
    </row>
    <row r="4" spans="1:15" x14ac:dyDescent="0.25">
      <c r="A4" s="2">
        <v>14.174001243299999</v>
      </c>
      <c r="B4" s="2">
        <v>0.28543864482603476</v>
      </c>
      <c r="C4" s="2">
        <v>1.7283797535670131</v>
      </c>
      <c r="D4" s="2">
        <v>14.174001243299999</v>
      </c>
      <c r="E4" s="2">
        <v>0.2809704263779807</v>
      </c>
      <c r="F4" s="2">
        <v>1.7013239275948924</v>
      </c>
      <c r="H4" s="3" t="s">
        <v>52</v>
      </c>
      <c r="I4" s="2">
        <v>2.8998114999999991E-2</v>
      </c>
      <c r="J4" s="2">
        <v>5.994080484482597E-3</v>
      </c>
      <c r="L4" s="5">
        <f>hydrogenBAUWOElec!Z4+heat!$J$3</f>
        <v>2.8076836225045341</v>
      </c>
      <c r="M4" s="5">
        <f>hydrogenBAUWOElec!AA4-heat!$J$3</f>
        <v>6.4029450025630847</v>
      </c>
      <c r="N4" s="5">
        <f>hydrogenBlueWOElec!AB4+heat!$J$5</f>
        <v>0.53300590712933138</v>
      </c>
      <c r="O4" s="5">
        <f>hydrogenBlueWOElec!AC4-heat!$J$5</f>
        <v>2.3610697687238611</v>
      </c>
    </row>
    <row r="5" spans="1:15" x14ac:dyDescent="0.25">
      <c r="A5" s="2">
        <v>14.174001243299999</v>
      </c>
      <c r="B5" s="2">
        <v>0.28395204151183617</v>
      </c>
      <c r="C5" s="2">
        <v>1.7193781165552748</v>
      </c>
      <c r="D5" s="2">
        <v>14.174001243299999</v>
      </c>
      <c r="E5" s="2">
        <v>0.27950709415364328</v>
      </c>
      <c r="F5" s="2">
        <v>1.6924632010074727</v>
      </c>
      <c r="H5" s="3" t="s">
        <v>53</v>
      </c>
      <c r="I5" s="7">
        <f>4.30116813081211*D2/100</f>
        <v>0.60964762433773179</v>
      </c>
      <c r="J5" s="2">
        <f>I5*J4/I4</f>
        <v>0.12601774037567534</v>
      </c>
      <c r="L5" s="5">
        <f>hydrogenBAUWOElec!Z5+heat!$J$3</f>
        <v>2.8061970191903356</v>
      </c>
      <c r="M5" s="5">
        <f>hydrogenBAUWOElec!AA5-heat!$J$3</f>
        <v>6.4029450025449091</v>
      </c>
      <c r="N5" s="5">
        <f>hydrogenBlueWOElec!AB5+heat!$J$5</f>
        <v>0.53154257490499401</v>
      </c>
      <c r="O5" s="5">
        <f>hydrogenBlueWOElec!AC5-heat!$J$5</f>
        <v>2.361069768859863</v>
      </c>
    </row>
    <row r="6" spans="1:15" x14ac:dyDescent="0.25">
      <c r="A6" s="2">
        <v>14.174001243299999</v>
      </c>
      <c r="B6" s="2">
        <v>0.2708739416884467</v>
      </c>
      <c r="C6" s="2">
        <v>1.6401879880999952</v>
      </c>
      <c r="D6" s="2">
        <v>14.174001243299999</v>
      </c>
      <c r="E6" s="2">
        <v>0.2666337171593291</v>
      </c>
      <c r="F6" s="2">
        <v>1.6145127042533678</v>
      </c>
      <c r="L6" s="5">
        <f>hydrogenBAUWOElec!Z6+heat!$J$3</f>
        <v>2.7931189193669459</v>
      </c>
      <c r="M6" s="5">
        <f>hydrogenBAUWOElec!AA6-heat!$J$3</f>
        <v>6.4029450019285967</v>
      </c>
      <c r="N6" s="5">
        <f>hydrogenBlueWOElec!AB6+heat!$J$5</f>
        <v>0.51866919791067978</v>
      </c>
      <c r="O6" s="5">
        <f>hydrogenBlueWOElec!AC6-heat!$J$5</f>
        <v>2.361069770031428</v>
      </c>
    </row>
    <row r="7" spans="1:15" x14ac:dyDescent="0.25">
      <c r="A7" s="2">
        <v>14.174001243299999</v>
      </c>
      <c r="B7" s="2">
        <v>0.26259765083573644</v>
      </c>
      <c r="C7" s="2">
        <v>1.5900736332158676</v>
      </c>
      <c r="D7" s="2">
        <v>14.174001243299999</v>
      </c>
      <c r="E7" s="2">
        <v>0.25848698225897487</v>
      </c>
      <c r="F7" s="2">
        <v>1.5651828327917381</v>
      </c>
      <c r="L7" s="5">
        <f>hydrogenBAUWOElec!Z7+heat!$J$3</f>
        <v>2.7848426285142356</v>
      </c>
      <c r="M7" s="5">
        <f>hydrogenBAUWOElec!AA7-heat!$J$3</f>
        <v>6.4029450014349116</v>
      </c>
      <c r="N7" s="5">
        <f>hydrogenBlueWOElec!AB7+heat!$J$5</f>
        <v>0.51052246301032556</v>
      </c>
      <c r="O7" s="5">
        <f>hydrogenBlueWOElec!AC7-heat!$J$5</f>
        <v>2.3610697715064179</v>
      </c>
    </row>
    <row r="8" spans="1:15" x14ac:dyDescent="0.25">
      <c r="A8" s="2">
        <v>14.174001243299999</v>
      </c>
      <c r="B8" s="2">
        <v>0.25871083272126677</v>
      </c>
      <c r="C8" s="2">
        <v>1.5665382855794561</v>
      </c>
      <c r="D8" s="2">
        <v>14.174001243299999</v>
      </c>
      <c r="E8" s="2">
        <v>0.25466100787648788</v>
      </c>
      <c r="F8" s="2">
        <v>1.5420159043459181</v>
      </c>
      <c r="L8" s="5">
        <f>hydrogenBAUWOElec!Z8+heat!$J$3</f>
        <v>2.780955810399766</v>
      </c>
      <c r="M8" s="5">
        <f>hydrogenBAUWOElec!AA8-heat!$J$3</f>
        <v>6.4029450012046958</v>
      </c>
      <c r="N8" s="5">
        <f>hydrogenBlueWOElec!AB8+heat!$J$5</f>
        <v>0.50669648862783856</v>
      </c>
      <c r="O8" s="5">
        <f>hydrogenBlueWOElec!AC8-heat!$J$5</f>
        <v>2.361069772326422</v>
      </c>
    </row>
    <row r="9" spans="1:15" x14ac:dyDescent="0.25">
      <c r="A9" s="2">
        <v>14.174001243299999</v>
      </c>
      <c r="B9" s="2">
        <v>0.28214671286944959</v>
      </c>
      <c r="C9" s="2">
        <v>1.7084465432361213</v>
      </c>
      <c r="D9" s="2">
        <v>14.174001243299999</v>
      </c>
      <c r="E9" s="2">
        <v>0.27773002588486345</v>
      </c>
      <c r="F9" s="2">
        <v>1.6817027490779966</v>
      </c>
      <c r="L9" s="5">
        <f>hydrogenBAUWOElec!Z9+heat!$J$3</f>
        <v>2.8043916905479485</v>
      </c>
      <c r="M9" s="5">
        <f>hydrogenBAUWOElec!AA9-heat!$J$3</f>
        <v>6.402945002373535</v>
      </c>
      <c r="N9" s="5">
        <f>hydrogenBlueWOElec!AB9+heat!$J$5</f>
        <v>0.52976550663621413</v>
      </c>
      <c r="O9" s="5">
        <f>hydrogenBlueWOElec!AC9-heat!$J$5</f>
        <v>2.3610697690866069</v>
      </c>
    </row>
    <row r="10" spans="1:15" x14ac:dyDescent="0.25">
      <c r="A10" s="2">
        <v>14.174001243299999</v>
      </c>
      <c r="B10" s="2">
        <v>0.27194209909302319</v>
      </c>
      <c r="C10" s="2">
        <v>1.6466558636492847</v>
      </c>
      <c r="D10" s="2">
        <v>14.174001243299999</v>
      </c>
      <c r="E10" s="2">
        <v>0.26768515377046381</v>
      </c>
      <c r="F10" s="2">
        <v>1.6208793325420912</v>
      </c>
      <c r="L10" s="5">
        <f>hydrogenBAUWOElec!Z10+heat!$J$3</f>
        <v>2.7941870767715224</v>
      </c>
      <c r="M10" s="5">
        <f>hydrogenBAUWOElec!AA10-heat!$J$3</f>
        <v>6.4029450018378213</v>
      </c>
      <c r="N10" s="5">
        <f>hydrogenBlueWOElec!AB10+heat!$J$5</f>
        <v>0.5197206345218145</v>
      </c>
      <c r="O10" s="5">
        <f>hydrogenBlueWOElec!AC10-heat!$J$5</f>
        <v>2.361069770148847</v>
      </c>
    </row>
    <row r="11" spans="1:15" x14ac:dyDescent="0.25">
      <c r="A11" s="2">
        <v>14.174001243299999</v>
      </c>
      <c r="B11" s="2">
        <v>0.26720868167806838</v>
      </c>
      <c r="C11" s="2">
        <v>1.6179942126308127</v>
      </c>
      <c r="D11" s="2">
        <v>14.174001243299999</v>
      </c>
      <c r="E11" s="2">
        <v>0.26302583263994406</v>
      </c>
      <c r="F11" s="2">
        <v>1.592666347183135</v>
      </c>
      <c r="L11" s="5">
        <f>hydrogenBAUWOElec!Z11+heat!$J$3</f>
        <v>2.7894536593565675</v>
      </c>
      <c r="M11" s="5">
        <f>hydrogenBAUWOElec!AA11-heat!$J$3</f>
        <v>6.4029450017891119</v>
      </c>
      <c r="N11" s="5">
        <f>hydrogenBlueWOElec!AB11+heat!$J$5</f>
        <v>0.51506131339129479</v>
      </c>
      <c r="O11" s="5">
        <f>hydrogenBlueWOElec!AC11-heat!$J$5</f>
        <v>2.3610697702797689</v>
      </c>
    </row>
    <row r="12" spans="1:15" x14ac:dyDescent="0.25">
      <c r="L12" s="6"/>
    </row>
    <row r="13" spans="1:15" x14ac:dyDescent="0.25">
      <c r="L13" s="6"/>
    </row>
    <row r="14" spans="1:15" x14ac:dyDescent="0.25">
      <c r="L14" s="6"/>
    </row>
    <row r="15" spans="1:15" x14ac:dyDescent="0.25">
      <c r="L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2023-12-19T11:26:00Z</dcterms:created>
  <dcterms:modified xsi:type="dcterms:W3CDTF">2023-12-21T10:39:13Z</dcterms:modified>
</cp:coreProperties>
</file>