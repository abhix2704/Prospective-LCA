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4"/>
  <workbookPr/>
  <mc:AlternateContent xmlns:mc="http://schemas.openxmlformats.org/markup-compatibility/2006">
    <mc:Choice Requires="x15">
      <x15ac:absPath xmlns:x15ac="http://schemas.microsoft.com/office/spreadsheetml/2010/11/ac" url="C:\Users\anabera\Desktop\Ongoing projects\Prospective LCA\Results\Phase 2\Hydrogen\"/>
    </mc:Choice>
  </mc:AlternateContent>
  <xr:revisionPtr revIDLastSave="0" documentId="13_ncr:1_{98A76F01-0D59-4A18-ACCC-8604C9454159}" xr6:coauthVersionLast="36" xr6:coauthVersionMax="36" xr10:uidLastSave="{00000000-0000-0000-0000-000000000000}"/>
  <bookViews>
    <workbookView xWindow="0" yWindow="0" windowWidth="28800" windowHeight="14025" firstSheet="2" activeTab="2" xr2:uid="{00000000-000D-0000-FFFF-FFFF00000000}"/>
  </bookViews>
  <sheets>
    <sheet name="hydrogenBAU" sheetId="1" r:id="rId1"/>
    <sheet name="hydrogenBlue" sheetId="2" r:id="rId2"/>
    <sheet name="hydrogenBAUWOElec" sheetId="3" r:id="rId3"/>
    <sheet name="hydrogenBlueWOElec" sheetId="4" r:id="rId4"/>
    <sheet name="hydrogenWind" sheetId="5" r:id="rId5"/>
    <sheet name="hydrogenSolar" sheetId="6" r:id="rId6"/>
    <sheet name="heat" sheetId="7" r:id="rId7"/>
  </sheets>
  <calcPr calcId="191029"/>
</workbook>
</file>

<file path=xl/calcChain.xml><?xml version="1.0" encoding="utf-8"?>
<calcChain xmlns="http://schemas.openxmlformats.org/spreadsheetml/2006/main">
  <c r="I5" i="7" l="1"/>
  <c r="J5" i="7" s="1"/>
  <c r="I3" i="7"/>
  <c r="J3" i="7" l="1"/>
</calcChain>
</file>

<file path=xl/sharedStrings.xml><?xml version="1.0" encoding="utf-8"?>
<sst xmlns="http://schemas.openxmlformats.org/spreadsheetml/2006/main" count="267" uniqueCount="55">
  <si>
    <t>name</t>
  </si>
  <si>
    <t>database</t>
  </si>
  <si>
    <t>hydrogen production, steam methane reforming of natural gas, 25 bar</t>
  </si>
  <si>
    <t>chemical factory construction, organics</t>
  </si>
  <si>
    <t>market for aluminium oxide, metallurgical</t>
  </si>
  <si>
    <t>market for chromium oxide, flakes</t>
  </si>
  <si>
    <t>market for copper oxide</t>
  </si>
  <si>
    <t>market for liquid storage tank, chemicals, organics</t>
  </si>
  <si>
    <t>market for magnesium oxide</t>
  </si>
  <si>
    <t>market for molybdenum trioxide</t>
  </si>
  <si>
    <t>market for nickel, class 1</t>
  </si>
  <si>
    <t>market for portafer</t>
  </si>
  <si>
    <t>market for quicklime, milled, packed</t>
  </si>
  <si>
    <t>market for silica sand</t>
  </si>
  <si>
    <t>market for water, deionised</t>
  </si>
  <si>
    <t>market for zeolite, powder</t>
  </si>
  <si>
    <t>market for zinc oxide</t>
  </si>
  <si>
    <t>market group for electricity, high voltage</t>
  </si>
  <si>
    <t>market group for natural gas, high pressure</t>
  </si>
  <si>
    <t>direct emissions</t>
  </si>
  <si>
    <t>lci-Abhi image SSP2-RCP6 2020</t>
  </si>
  <si>
    <t>lci-Abhi image SSP2-RCP6 2030</t>
  </si>
  <si>
    <t>lci-Abhi image SSP2-RCP6 2040</t>
  </si>
  <si>
    <t>lci-Abhi image SSP2-RCP6 2050</t>
  </si>
  <si>
    <t>lci-Abhi image SSP2-RCP19 2030</t>
  </si>
  <si>
    <t>lci-Abhi image SSP2-RCP19 2040</t>
  </si>
  <si>
    <t>lci-Abhi image SSP2-RCP19 2050</t>
  </si>
  <si>
    <t>lci-Abhi image SSP2-RCP26 2030</t>
  </si>
  <si>
    <t>lci-Abhi image SSP2-RCP26 2040</t>
  </si>
  <si>
    <t>lci-Abhi image SSP2-RCP26 2050</t>
  </si>
  <si>
    <t>hydrogen production, steam methane reforming of natural gas, with CCS (MDEA, 98% eff.), 25 bar</t>
  </si>
  <si>
    <t>carbon dioxide storage at hydrogen production plant, pre, pipeline 400km, storage 3000m</t>
  </si>
  <si>
    <t>market for diethanolamine</t>
  </si>
  <si>
    <t>hydrogen production without electricity, steam reforming of natural gas, 25 bar</t>
  </si>
  <si>
    <t>hydrogen production without electricity, steam methane reforming of natural gas, with CCS (MDEA, 98% eff.), 25 bar</t>
  </si>
  <si>
    <t>hydrogen production, gaseous, 200 bar, from PEM electrolysis, from onshore wind electricity</t>
  </si>
  <si>
    <t>electrolyzer production, 1MWe, PEM, Balance of Plant</t>
  </si>
  <si>
    <t>electrolyzer production, 1MWe, PEM, Stack</t>
  </si>
  <si>
    <t>market for heat, from steam, in chemical industry</t>
  </si>
  <si>
    <t>electricity production, wind, &gt;3MW turbine, onshore</t>
  </si>
  <si>
    <t>hydrogen production, gaseous, 200 bar, from PEM electrolysis, from solar electricity</t>
  </si>
  <si>
    <t>electricity production, photovoltaic, 570kWp open ground installation, multi-Si</t>
  </si>
  <si>
    <t>% heat BAU</t>
  </si>
  <si>
    <t>Heat modified</t>
  </si>
  <si>
    <t>Natural gas modified</t>
  </si>
  <si>
    <t>% heat blue</t>
  </si>
  <si>
    <t>heat from natural gas</t>
  </si>
  <si>
    <r>
      <t>m</t>
    </r>
    <r>
      <rPr>
        <vertAlign val="superscript"/>
        <sz val="11"/>
        <color theme="1"/>
        <rFont val="Calibri"/>
        <family val="2"/>
        <scheme val="minor"/>
      </rPr>
      <t>3</t>
    </r>
  </si>
  <si>
    <t>Direct emissions</t>
  </si>
  <si>
    <t>SMR</t>
  </si>
  <si>
    <t>Case</t>
  </si>
  <si>
    <t>Heat</t>
  </si>
  <si>
    <t>Heat with CCS</t>
  </si>
  <si>
    <t>SMR with CCS</t>
  </si>
  <si>
    <t>Direct emissions modified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</si>
</sst>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vertAlign val="superscript"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top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0" fillId="0" borderId="1" xfId="0" applyNumberForma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3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"/>
  <sheetViews>
    <sheetView workbookViewId="0">
      <selection activeCell="J19" sqref="J19"/>
    </sheetView>
  </sheetViews>
  <sheetFormatPr defaultRowHeight="15" x14ac:dyDescent="0.25"/>
  <sheetData>
    <row r="1" spans="1:26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3</v>
      </c>
      <c r="G1" s="1" t="s">
        <v>4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12</v>
      </c>
      <c r="R1" s="1" t="s">
        <v>13</v>
      </c>
      <c r="S1" s="1" t="s">
        <v>14</v>
      </c>
      <c r="T1" s="1" t="s">
        <v>14</v>
      </c>
      <c r="U1" s="1" t="s">
        <v>14</v>
      </c>
      <c r="V1" s="1" t="s">
        <v>15</v>
      </c>
      <c r="W1" s="1" t="s">
        <v>16</v>
      </c>
      <c r="X1" s="1" t="s">
        <v>17</v>
      </c>
      <c r="Y1" s="1" t="s">
        <v>18</v>
      </c>
      <c r="Z1" s="1" t="s">
        <v>19</v>
      </c>
    </row>
    <row r="2" spans="1:26" x14ac:dyDescent="0.25">
      <c r="A2" s="1">
        <v>0</v>
      </c>
      <c r="B2" t="s">
        <v>2</v>
      </c>
      <c r="C2" t="s">
        <v>20</v>
      </c>
      <c r="D2">
        <v>10.24507192971876</v>
      </c>
      <c r="E2">
        <v>2.236365771525899E-2</v>
      </c>
      <c r="F2">
        <v>5.2972668728210943E-2</v>
      </c>
      <c r="G2">
        <v>3.9870999951249037E-5</v>
      </c>
      <c r="H2">
        <v>1.115047877934225E-3</v>
      </c>
      <c r="I2">
        <v>2.2045529694571879E-4</v>
      </c>
      <c r="J2">
        <v>2.0829384534305521E-3</v>
      </c>
      <c r="K2">
        <v>3.8753588110664269E-3</v>
      </c>
      <c r="L2">
        <v>3.2812971008419799E-5</v>
      </c>
      <c r="M2">
        <v>1.2756965348521219E-4</v>
      </c>
      <c r="N2">
        <v>4.1577781500908174E-3</v>
      </c>
      <c r="O2">
        <v>3.1463843579187163E-5</v>
      </c>
      <c r="P2">
        <v>4.7762301078091157E-7</v>
      </c>
      <c r="Q2">
        <v>5.8423116832153428E-5</v>
      </c>
      <c r="R2">
        <v>5.2600353060512766E-7</v>
      </c>
      <c r="S2">
        <v>2.602430330095508E-6</v>
      </c>
      <c r="T2">
        <v>8.4008481516457283E-4</v>
      </c>
      <c r="U2">
        <v>2.9148048608447379E-3</v>
      </c>
      <c r="V2">
        <v>4.4902178779148861E-3</v>
      </c>
      <c r="W2">
        <v>2.8743436474409212E-4</v>
      </c>
      <c r="X2">
        <v>-0.83470682154664422</v>
      </c>
      <c r="Y2">
        <v>2.0589746117079719</v>
      </c>
      <c r="Z2">
        <v>8.925189945964096</v>
      </c>
    </row>
    <row r="3" spans="1:26" x14ac:dyDescent="0.25">
      <c r="A3" s="1">
        <v>1</v>
      </c>
      <c r="B3" t="s">
        <v>2</v>
      </c>
      <c r="C3" t="s">
        <v>21</v>
      </c>
      <c r="D3">
        <v>10.243291150082021</v>
      </c>
      <c r="E3">
        <v>2.005735802428359E-2</v>
      </c>
      <c r="F3">
        <v>4.9424175987306501E-2</v>
      </c>
      <c r="G3">
        <v>3.9117537466634097E-5</v>
      </c>
      <c r="H3">
        <v>1.1000742481131491E-3</v>
      </c>
      <c r="I3">
        <v>2.1529586852123069E-4</v>
      </c>
      <c r="J3">
        <v>1.9700426237010092E-3</v>
      </c>
      <c r="K3">
        <v>3.66482954191396E-3</v>
      </c>
      <c r="L3">
        <v>3.2270898362736138E-5</v>
      </c>
      <c r="M3">
        <v>1.197009649556325E-4</v>
      </c>
      <c r="N3">
        <v>4.0507368036654936E-3</v>
      </c>
      <c r="O3">
        <v>2.9570576362891221E-5</v>
      </c>
      <c r="P3">
        <v>4.7337951251293742E-7</v>
      </c>
      <c r="Q3">
        <v>5.8026899140564578E-5</v>
      </c>
      <c r="R3">
        <v>5.0258832003952536E-7</v>
      </c>
      <c r="S3">
        <v>2.3806496078013061E-6</v>
      </c>
      <c r="T3">
        <v>7.8816179266237856E-4</v>
      </c>
      <c r="U3">
        <v>2.7652897204902801E-3</v>
      </c>
      <c r="V3">
        <v>4.4807397090091596E-3</v>
      </c>
      <c r="W3">
        <v>2.716392972616097E-4</v>
      </c>
      <c r="X3">
        <v>-0.80356805738769566</v>
      </c>
      <c r="Y3">
        <v>2.0325988733326681</v>
      </c>
      <c r="Z3">
        <v>8.9251899470263911</v>
      </c>
    </row>
    <row r="4" spans="1:26" x14ac:dyDescent="0.25">
      <c r="A4" s="1">
        <v>2</v>
      </c>
      <c r="B4" t="s">
        <v>2</v>
      </c>
      <c r="C4" t="s">
        <v>22</v>
      </c>
      <c r="D4">
        <v>10.264062911809621</v>
      </c>
      <c r="E4">
        <v>2.0301050774708059E-2</v>
      </c>
      <c r="F4">
        <v>4.7834791417598561E-2</v>
      </c>
      <c r="G4">
        <v>3.8767799598242852E-5</v>
      </c>
      <c r="H4">
        <v>1.0849088577586049E-3</v>
      </c>
      <c r="I4">
        <v>2.121268381683213E-4</v>
      </c>
      <c r="J4">
        <v>1.860520502540836E-3</v>
      </c>
      <c r="K4">
        <v>3.422024622077296E-3</v>
      </c>
      <c r="L4">
        <v>3.1877729046066762E-5</v>
      </c>
      <c r="M4">
        <v>1.132308690536359E-4</v>
      </c>
      <c r="N4">
        <v>3.9196287876787786E-3</v>
      </c>
      <c r="O4">
        <v>2.7737155844988911E-5</v>
      </c>
      <c r="P4">
        <v>4.7274147903020641E-7</v>
      </c>
      <c r="Q4">
        <v>5.7612362497915897E-5</v>
      </c>
      <c r="R4">
        <v>4.2753043066419749E-7</v>
      </c>
      <c r="S4">
        <v>2.396652309378752E-6</v>
      </c>
      <c r="T4">
        <v>7.7687907682583873E-4</v>
      </c>
      <c r="U4">
        <v>2.683355646268093E-3</v>
      </c>
      <c r="V4">
        <v>4.4642582202440856E-3</v>
      </c>
      <c r="W4">
        <v>2.6490565659871741E-4</v>
      </c>
      <c r="X4">
        <v>-0.76204240843150783</v>
      </c>
      <c r="Y4">
        <v>2.013818398393048</v>
      </c>
      <c r="Z4">
        <v>8.9251899486073523</v>
      </c>
    </row>
    <row r="5" spans="1:26" x14ac:dyDescent="0.25">
      <c r="A5" s="1">
        <v>3</v>
      </c>
      <c r="B5" t="s">
        <v>2</v>
      </c>
      <c r="C5" t="s">
        <v>23</v>
      </c>
      <c r="D5">
        <v>10.322032592343881</v>
      </c>
      <c r="E5">
        <v>2.2014415625729009E-2</v>
      </c>
      <c r="F5">
        <v>4.6639103000032302E-2</v>
      </c>
      <c r="G5">
        <v>3.8746141603607751E-5</v>
      </c>
      <c r="H5">
        <v>1.059466132098393E-3</v>
      </c>
      <c r="I5">
        <v>2.0990580599569551E-4</v>
      </c>
      <c r="J5">
        <v>1.75748677613035E-3</v>
      </c>
      <c r="K5">
        <v>3.3016498555131809E-3</v>
      </c>
      <c r="L5">
        <v>3.1477071387090972E-5</v>
      </c>
      <c r="M5">
        <v>1.0686478901046321E-4</v>
      </c>
      <c r="N5">
        <v>3.8445870281558509E-3</v>
      </c>
      <c r="O5">
        <v>2.678385539397214E-5</v>
      </c>
      <c r="P5">
        <v>4.759677398392052E-7</v>
      </c>
      <c r="Q5">
        <v>5.7341583410986248E-5</v>
      </c>
      <c r="R5">
        <v>3.9138305662890838E-7</v>
      </c>
      <c r="S5">
        <v>2.4875619493387819E-6</v>
      </c>
      <c r="T5">
        <v>7.6943116553208804E-4</v>
      </c>
      <c r="U5">
        <v>2.5634927818011322E-3</v>
      </c>
      <c r="V5">
        <v>4.4590301940245292E-3</v>
      </c>
      <c r="W5">
        <v>2.5991844620971928E-4</v>
      </c>
      <c r="X5">
        <v>-0.69363057231712699</v>
      </c>
      <c r="Y5">
        <v>2.003330158067111</v>
      </c>
      <c r="Z5">
        <v>8.92518995142912</v>
      </c>
    </row>
    <row r="6" spans="1:26" x14ac:dyDescent="0.25">
      <c r="A6" s="1">
        <v>4</v>
      </c>
      <c r="B6" t="s">
        <v>2</v>
      </c>
      <c r="C6" t="s">
        <v>24</v>
      </c>
      <c r="D6">
        <v>10.672522537408129</v>
      </c>
      <c r="E6">
        <v>1.2822327361388519E-2</v>
      </c>
      <c r="F6">
        <v>2.8574767349676441E-2</v>
      </c>
      <c r="G6">
        <v>3.5338267841167579E-5</v>
      </c>
      <c r="H6">
        <v>9.4165465652592108E-4</v>
      </c>
      <c r="I6">
        <v>1.8688137969412999E-4</v>
      </c>
      <c r="J6">
        <v>1.027832706441004E-3</v>
      </c>
      <c r="K6">
        <v>2.8289961499399518E-3</v>
      </c>
      <c r="L6">
        <v>2.8819345516975301E-5</v>
      </c>
      <c r="M6">
        <v>6.3586013055210867E-5</v>
      </c>
      <c r="N6">
        <v>3.3543001938020961E-3</v>
      </c>
      <c r="O6">
        <v>2.0307280097920461E-5</v>
      </c>
      <c r="P6">
        <v>4.606506127988123E-7</v>
      </c>
      <c r="Q6">
        <v>5.5789914053547198E-5</v>
      </c>
      <c r="R6">
        <v>2.6307999762603309E-7</v>
      </c>
      <c r="S6">
        <v>1.5853701389170059E-6</v>
      </c>
      <c r="T6">
        <v>5.0741014621340566E-4</v>
      </c>
      <c r="U6">
        <v>1.7164775228068229E-3</v>
      </c>
      <c r="V6">
        <v>4.4500864515679998E-3</v>
      </c>
      <c r="W6">
        <v>1.8322644806689791E-4</v>
      </c>
      <c r="X6">
        <v>-0.22052947312013049</v>
      </c>
      <c r="Y6">
        <v>1.9110619297884419</v>
      </c>
      <c r="Z6">
        <v>8.9251899704523812</v>
      </c>
    </row>
    <row r="7" spans="1:26" x14ac:dyDescent="0.25">
      <c r="A7" s="1">
        <v>5</v>
      </c>
      <c r="B7" t="s">
        <v>2</v>
      </c>
      <c r="C7" t="s">
        <v>25</v>
      </c>
      <c r="D7">
        <v>10.75895864233426</v>
      </c>
      <c r="E7">
        <v>1.0888127992100391E-2</v>
      </c>
      <c r="F7">
        <v>2.3048946418484421E-2</v>
      </c>
      <c r="G7">
        <v>3.3854581500651191E-5</v>
      </c>
      <c r="H7">
        <v>9.0577301551992965E-4</v>
      </c>
      <c r="I7">
        <v>1.776478641214098E-4</v>
      </c>
      <c r="J7">
        <v>6.9578932461420503E-4</v>
      </c>
      <c r="K7">
        <v>2.4605638263945811E-3</v>
      </c>
      <c r="L7">
        <v>2.766097064172989E-5</v>
      </c>
      <c r="M7">
        <v>4.6312823205164957E-5</v>
      </c>
      <c r="N7">
        <v>3.0207803598020369E-3</v>
      </c>
      <c r="O7">
        <v>1.5495442705020029E-5</v>
      </c>
      <c r="P7">
        <v>4.5694468638723029E-7</v>
      </c>
      <c r="Q7">
        <v>5.4818520802527077E-5</v>
      </c>
      <c r="R7">
        <v>1.7472540584098361E-7</v>
      </c>
      <c r="S7">
        <v>1.40966439937877E-6</v>
      </c>
      <c r="T7">
        <v>4.4245432707751481E-4</v>
      </c>
      <c r="U7">
        <v>1.4560108781323819E-3</v>
      </c>
      <c r="V7">
        <v>4.4215841188658504E-3</v>
      </c>
      <c r="W7">
        <v>1.5820814978707021E-4</v>
      </c>
      <c r="X7">
        <v>-6.6758688007688305E-2</v>
      </c>
      <c r="Y7">
        <v>1.852671284051604</v>
      </c>
      <c r="Z7">
        <v>8.9251899763420965</v>
      </c>
    </row>
    <row r="8" spans="1:26" x14ac:dyDescent="0.25">
      <c r="A8" s="1">
        <v>6</v>
      </c>
      <c r="B8" t="s">
        <v>2</v>
      </c>
      <c r="C8" t="s">
        <v>26</v>
      </c>
      <c r="D8">
        <v>10.77005952698809</v>
      </c>
      <c r="E8">
        <v>1.0581814051544861E-2</v>
      </c>
      <c r="F8">
        <v>2.0917071216895181E-2</v>
      </c>
      <c r="G8">
        <v>3.3379340353647413E-5</v>
      </c>
      <c r="H8">
        <v>8.8919960485125558E-4</v>
      </c>
      <c r="I8">
        <v>1.7376249005520241E-4</v>
      </c>
      <c r="J8">
        <v>5.9638077865160248E-4</v>
      </c>
      <c r="K8">
        <v>2.3341288416082839E-3</v>
      </c>
      <c r="L8">
        <v>2.7104053422346401E-5</v>
      </c>
      <c r="M8">
        <v>4.1112665349905883E-5</v>
      </c>
      <c r="N8">
        <v>2.912538779137927E-3</v>
      </c>
      <c r="O8">
        <v>1.343481035649854E-5</v>
      </c>
      <c r="P8">
        <v>4.5568316212444719E-7</v>
      </c>
      <c r="Q8">
        <v>5.439842899292988E-5</v>
      </c>
      <c r="R8">
        <v>1.373230990401045E-7</v>
      </c>
      <c r="S8">
        <v>1.355154411771047E-6</v>
      </c>
      <c r="T8">
        <v>4.169228282149831E-4</v>
      </c>
      <c r="U8">
        <v>1.3395984412116551E-3</v>
      </c>
      <c r="V8">
        <v>4.4103584477798692E-3</v>
      </c>
      <c r="W8">
        <v>1.4720810740762781E-4</v>
      </c>
      <c r="X8">
        <v>-2.5269930193316512E-2</v>
      </c>
      <c r="Y8">
        <v>1.8252491183007229</v>
      </c>
      <c r="Z8">
        <v>8.9251899778341794</v>
      </c>
    </row>
    <row r="9" spans="1:26" x14ac:dyDescent="0.25">
      <c r="A9" s="1">
        <v>7</v>
      </c>
      <c r="B9" t="s">
        <v>2</v>
      </c>
      <c r="C9" t="s">
        <v>27</v>
      </c>
      <c r="D9">
        <v>10.34455406936768</v>
      </c>
      <c r="E9">
        <v>1.811068851555998E-2</v>
      </c>
      <c r="F9">
        <v>4.4332607081899539E-2</v>
      </c>
      <c r="G9">
        <v>3.8069217529454828E-5</v>
      </c>
      <c r="H9">
        <v>1.0744851158769231E-3</v>
      </c>
      <c r="I9">
        <v>2.085693333614092E-4</v>
      </c>
      <c r="J9">
        <v>1.697622871425571E-3</v>
      </c>
      <c r="K9">
        <v>3.338108115357711E-3</v>
      </c>
      <c r="L9">
        <v>3.149480810926924E-5</v>
      </c>
      <c r="M9">
        <v>1.0364982559765199E-4</v>
      </c>
      <c r="N9">
        <v>3.808397360833147E-3</v>
      </c>
      <c r="O9">
        <v>2.7165509980847968E-5</v>
      </c>
      <c r="P9">
        <v>4.702068263715078E-7</v>
      </c>
      <c r="Q9">
        <v>5.7481832825853718E-5</v>
      </c>
      <c r="R9">
        <v>4.8477227320119744E-7</v>
      </c>
      <c r="S9">
        <v>2.2056213562909838E-6</v>
      </c>
      <c r="T9">
        <v>7.239091855345014E-4</v>
      </c>
      <c r="U9">
        <v>2.5264132890783918E-3</v>
      </c>
      <c r="V9">
        <v>4.4704821362772139E-3</v>
      </c>
      <c r="W9">
        <v>2.5195233788745771E-4</v>
      </c>
      <c r="X9">
        <v>-0.65203339686002737</v>
      </c>
      <c r="Y9">
        <v>1.990593256105571</v>
      </c>
      <c r="Z9">
        <v>8.9251899529845442</v>
      </c>
    </row>
    <row r="10" spans="1:26" x14ac:dyDescent="0.25">
      <c r="A10" s="1">
        <v>8</v>
      </c>
      <c r="B10" t="s">
        <v>2</v>
      </c>
      <c r="C10" t="s">
        <v>28</v>
      </c>
      <c r="D10">
        <v>10.629695622731949</v>
      </c>
      <c r="E10">
        <v>1.410898328530923E-2</v>
      </c>
      <c r="F10">
        <v>3.4230954811138227E-2</v>
      </c>
      <c r="G10">
        <v>3.5975591593702567E-5</v>
      </c>
      <c r="H10">
        <v>1.019814762690256E-3</v>
      </c>
      <c r="I10">
        <v>1.9456598323361701E-4</v>
      </c>
      <c r="J10">
        <v>1.0862768494666231E-3</v>
      </c>
      <c r="K10">
        <v>2.8736080410952419E-3</v>
      </c>
      <c r="L10">
        <v>2.9920151701392569E-5</v>
      </c>
      <c r="M10">
        <v>7.1485311422341647E-5</v>
      </c>
      <c r="N10">
        <v>3.407950193712558E-3</v>
      </c>
      <c r="O10">
        <v>2.1862579527177991E-5</v>
      </c>
      <c r="P10">
        <v>4.633067793183586E-7</v>
      </c>
      <c r="Q10">
        <v>5.6264303264405472E-5</v>
      </c>
      <c r="R10">
        <v>2.9618911399729158E-7</v>
      </c>
      <c r="S10">
        <v>1.8642678124184521E-6</v>
      </c>
      <c r="T10">
        <v>6.0578483360059963E-4</v>
      </c>
      <c r="U10">
        <v>2.088265461684953E-3</v>
      </c>
      <c r="V10">
        <v>4.4435029580982E-3</v>
      </c>
      <c r="W10">
        <v>2.1260368780806391E-4</v>
      </c>
      <c r="X10">
        <v>-0.2785827505310931</v>
      </c>
      <c r="Y10">
        <v>1.918597962742308</v>
      </c>
      <c r="Z10">
        <v>8.9251899679516775</v>
      </c>
    </row>
    <row r="11" spans="1:26" x14ac:dyDescent="0.25">
      <c r="A11" s="1">
        <v>9</v>
      </c>
      <c r="B11" t="s">
        <v>2</v>
      </c>
      <c r="C11" t="s">
        <v>29</v>
      </c>
      <c r="D11">
        <v>10.81399469658048</v>
      </c>
      <c r="E11">
        <v>1.2681892024135701E-2</v>
      </c>
      <c r="F11">
        <v>2.4586228883675679E-2</v>
      </c>
      <c r="G11">
        <v>3.4516318105589219E-5</v>
      </c>
      <c r="H11">
        <v>9.020600961437607E-4</v>
      </c>
      <c r="I11">
        <v>1.8068620746124881E-4</v>
      </c>
      <c r="J11">
        <v>7.3505392397668439E-4</v>
      </c>
      <c r="K11">
        <v>2.5959835126927889E-3</v>
      </c>
      <c r="L11">
        <v>2.797459672717021E-5</v>
      </c>
      <c r="M11">
        <v>4.7731491349906923E-5</v>
      </c>
      <c r="N11">
        <v>3.1582340780101251E-3</v>
      </c>
      <c r="O11">
        <v>1.7403781689294249E-5</v>
      </c>
      <c r="P11">
        <v>4.6188351325297188E-7</v>
      </c>
      <c r="Q11">
        <v>5.5115806073205569E-5</v>
      </c>
      <c r="R11">
        <v>2.3763069911862549E-7</v>
      </c>
      <c r="S11">
        <v>1.545769971481763E-6</v>
      </c>
      <c r="T11">
        <v>4.7065281948605769E-4</v>
      </c>
      <c r="U11">
        <v>1.509076353162545E-3</v>
      </c>
      <c r="V11">
        <v>4.431192493218529E-3</v>
      </c>
      <c r="W11">
        <v>1.6633070481319369E-4</v>
      </c>
      <c r="X11">
        <v>-4.8000553578299812E-2</v>
      </c>
      <c r="Y11">
        <v>1.885202894308881</v>
      </c>
      <c r="Z11">
        <v>8.9251899774749894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1"/>
  <sheetViews>
    <sheetView workbookViewId="0"/>
  </sheetViews>
  <sheetFormatPr defaultRowHeight="15" x14ac:dyDescent="0.25"/>
  <sheetData>
    <row r="1" spans="1:28" x14ac:dyDescent="0.25">
      <c r="B1" s="1" t="s">
        <v>0</v>
      </c>
      <c r="C1" s="1" t="s">
        <v>1</v>
      </c>
      <c r="D1" s="1" t="s">
        <v>30</v>
      </c>
      <c r="E1" s="1" t="s">
        <v>31</v>
      </c>
      <c r="F1" s="1" t="s">
        <v>3</v>
      </c>
      <c r="G1" s="1" t="s">
        <v>3</v>
      </c>
      <c r="H1" s="1" t="s">
        <v>4</v>
      </c>
      <c r="I1" s="1" t="s">
        <v>4</v>
      </c>
      <c r="J1" s="1" t="s">
        <v>5</v>
      </c>
      <c r="K1" s="1" t="s">
        <v>6</v>
      </c>
      <c r="L1" s="1" t="s">
        <v>32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12</v>
      </c>
      <c r="T1" s="1" t="s">
        <v>13</v>
      </c>
      <c r="U1" s="1" t="s">
        <v>14</v>
      </c>
      <c r="V1" s="1" t="s">
        <v>14</v>
      </c>
      <c r="W1" s="1" t="s">
        <v>14</v>
      </c>
      <c r="X1" s="1" t="s">
        <v>15</v>
      </c>
      <c r="Y1" s="1" t="s">
        <v>16</v>
      </c>
      <c r="Z1" s="1" t="s">
        <v>17</v>
      </c>
      <c r="AA1" s="1" t="s">
        <v>18</v>
      </c>
      <c r="AB1" s="1" t="s">
        <v>19</v>
      </c>
    </row>
    <row r="2" spans="1:28" x14ac:dyDescent="0.25">
      <c r="A2" s="1">
        <v>0</v>
      </c>
      <c r="B2" t="s">
        <v>30</v>
      </c>
      <c r="C2" t="s">
        <v>20</v>
      </c>
      <c r="D2">
        <v>4.4983724111988561</v>
      </c>
      <c r="E2">
        <v>0.1420764499332591</v>
      </c>
      <c r="F2">
        <v>2.2361095454184139E-2</v>
      </c>
      <c r="G2">
        <v>5.2966599514988173E-2</v>
      </c>
      <c r="H2">
        <v>3.9870999951249037E-5</v>
      </c>
      <c r="I2">
        <v>1.115047877934225E-3</v>
      </c>
      <c r="J2">
        <v>2.2045529694571879E-4</v>
      </c>
      <c r="K2">
        <v>2.0829384534305521E-3</v>
      </c>
      <c r="L2">
        <v>6.3616311125962925E-4</v>
      </c>
      <c r="M2">
        <v>3.8753588110664269E-3</v>
      </c>
      <c r="N2">
        <v>3.2812971008419799E-5</v>
      </c>
      <c r="O2">
        <v>1.2756965348521219E-4</v>
      </c>
      <c r="P2">
        <v>4.1577781500908174E-3</v>
      </c>
      <c r="Q2">
        <v>3.1463843579187163E-5</v>
      </c>
      <c r="R2">
        <v>4.7762301078091157E-7</v>
      </c>
      <c r="S2">
        <v>5.8423116832153428E-5</v>
      </c>
      <c r="T2">
        <v>5.2600353060512766E-7</v>
      </c>
      <c r="U2">
        <v>2.602132163041632E-6</v>
      </c>
      <c r="V2">
        <v>8.3998856451323223E-4</v>
      </c>
      <c r="W2">
        <v>2.9144709042465979E-3</v>
      </c>
      <c r="X2">
        <v>4.4902178779148861E-3</v>
      </c>
      <c r="Y2">
        <v>2.8743436474409212E-4</v>
      </c>
      <c r="Z2">
        <v>-0.37979428217101507</v>
      </c>
      <c r="AA2">
        <v>2.0267436979516571</v>
      </c>
      <c r="AB2">
        <v>2.6131052507600758</v>
      </c>
    </row>
    <row r="3" spans="1:28" x14ac:dyDescent="0.25">
      <c r="A3" s="1">
        <v>1</v>
      </c>
      <c r="B3" t="s">
        <v>30</v>
      </c>
      <c r="C3" t="s">
        <v>21</v>
      </c>
      <c r="D3">
        <v>4.4747344710924546</v>
      </c>
      <c r="E3">
        <v>0.13679932282685409</v>
      </c>
      <c r="F3">
        <v>2.0055060001823041E-2</v>
      </c>
      <c r="G3">
        <v>4.9418513333911347E-2</v>
      </c>
      <c r="H3">
        <v>3.9117537466634097E-5</v>
      </c>
      <c r="I3">
        <v>1.1000742481131491E-3</v>
      </c>
      <c r="J3">
        <v>2.1529586852123069E-4</v>
      </c>
      <c r="K3">
        <v>1.9700426237010092E-3</v>
      </c>
      <c r="L3">
        <v>6.130805146831815E-4</v>
      </c>
      <c r="M3">
        <v>3.66482954191396E-3</v>
      </c>
      <c r="N3">
        <v>3.2270898362736138E-5</v>
      </c>
      <c r="O3">
        <v>1.197009649556325E-4</v>
      </c>
      <c r="P3">
        <v>4.0507368036654936E-3</v>
      </c>
      <c r="Q3">
        <v>2.9570576362891221E-5</v>
      </c>
      <c r="R3">
        <v>4.7337951251293742E-7</v>
      </c>
      <c r="S3">
        <v>5.8026899140564578E-5</v>
      </c>
      <c r="T3">
        <v>5.0258832003952536E-7</v>
      </c>
      <c r="U3">
        <v>2.3803768507281771E-6</v>
      </c>
      <c r="V3">
        <v>7.8807149096362685E-4</v>
      </c>
      <c r="W3">
        <v>2.764972894222869E-3</v>
      </c>
      <c r="X3">
        <v>4.4807397090091596E-3</v>
      </c>
      <c r="Y3">
        <v>2.716392972616097E-4</v>
      </c>
      <c r="Z3">
        <v>-0.36562604456211861</v>
      </c>
      <c r="AA3">
        <v>2.0007808418644579</v>
      </c>
      <c r="AB3">
        <v>2.6131052514145008</v>
      </c>
    </row>
    <row r="4" spans="1:28" x14ac:dyDescent="0.25">
      <c r="A4" s="1">
        <v>2</v>
      </c>
      <c r="B4" t="s">
        <v>30</v>
      </c>
      <c r="C4" t="s">
        <v>22</v>
      </c>
      <c r="D4">
        <v>4.4661510316613899</v>
      </c>
      <c r="E4">
        <v>0.12978134047275841</v>
      </c>
      <c r="F4">
        <v>2.029872483175002E-2</v>
      </c>
      <c r="G4">
        <v>4.782931086403118E-2</v>
      </c>
      <c r="H4">
        <v>3.8767799598242852E-5</v>
      </c>
      <c r="I4">
        <v>1.0849088577586049E-3</v>
      </c>
      <c r="J4">
        <v>2.121268381683213E-4</v>
      </c>
      <c r="K4">
        <v>1.860520502540836E-3</v>
      </c>
      <c r="L4">
        <v>6.1305643389652229E-4</v>
      </c>
      <c r="M4">
        <v>3.422024622077296E-3</v>
      </c>
      <c r="N4">
        <v>3.1877729046066762E-5</v>
      </c>
      <c r="O4">
        <v>1.132308690536359E-4</v>
      </c>
      <c r="P4">
        <v>3.9196287876787786E-3</v>
      </c>
      <c r="Q4">
        <v>2.7737155844988911E-5</v>
      </c>
      <c r="R4">
        <v>4.7274147903020641E-7</v>
      </c>
      <c r="S4">
        <v>5.7612362497915897E-5</v>
      </c>
      <c r="T4">
        <v>4.2753043066419749E-7</v>
      </c>
      <c r="U4">
        <v>2.3963777188354488E-6</v>
      </c>
      <c r="V4">
        <v>7.7679006781649989E-4</v>
      </c>
      <c r="W4">
        <v>2.683048207395167E-3</v>
      </c>
      <c r="X4">
        <v>4.4642582202440856E-3</v>
      </c>
      <c r="Y4">
        <v>2.6490565659871741E-4</v>
      </c>
      <c r="Z4">
        <v>-0.3467317410415392</v>
      </c>
      <c r="AA4">
        <v>1.982294353972873</v>
      </c>
      <c r="AB4">
        <v>2.613105251801672</v>
      </c>
    </row>
    <row r="5" spans="1:28" x14ac:dyDescent="0.25">
      <c r="A5" s="1">
        <v>3</v>
      </c>
      <c r="B5" t="s">
        <v>30</v>
      </c>
      <c r="C5" t="s">
        <v>23</v>
      </c>
      <c r="D5">
        <v>4.4755093251976712</v>
      </c>
      <c r="E5">
        <v>0.1182890106177126</v>
      </c>
      <c r="F5">
        <v>2.2011893378207529E-2</v>
      </c>
      <c r="G5">
        <v>4.6633759439524247E-2</v>
      </c>
      <c r="H5">
        <v>3.8746141603607751E-5</v>
      </c>
      <c r="I5">
        <v>1.059466132098393E-3</v>
      </c>
      <c r="J5">
        <v>2.0990580599569551E-4</v>
      </c>
      <c r="K5">
        <v>1.75748677613035E-3</v>
      </c>
      <c r="L5">
        <v>6.1409657272051962E-4</v>
      </c>
      <c r="M5">
        <v>3.3016498555131809E-3</v>
      </c>
      <c r="N5">
        <v>3.1477071387090972E-5</v>
      </c>
      <c r="O5">
        <v>1.0686478901046321E-4</v>
      </c>
      <c r="P5">
        <v>3.8445870281558509E-3</v>
      </c>
      <c r="Q5">
        <v>2.678385539397214E-5</v>
      </c>
      <c r="R5">
        <v>4.759677398392052E-7</v>
      </c>
      <c r="S5">
        <v>5.7341583410986248E-5</v>
      </c>
      <c r="T5">
        <v>3.9138305662890838E-7</v>
      </c>
      <c r="U5">
        <v>2.4872769430470931E-6</v>
      </c>
      <c r="V5">
        <v>7.6934300984859896E-4</v>
      </c>
      <c r="W5">
        <v>2.5631990759213022E-3</v>
      </c>
      <c r="X5">
        <v>4.4590301940245292E-3</v>
      </c>
      <c r="Y5">
        <v>2.5991844620971928E-4</v>
      </c>
      <c r="Z5">
        <v>-0.31560413609287019</v>
      </c>
      <c r="AA5">
        <v>1.971970295161116</v>
      </c>
      <c r="AB5">
        <v>2.6131052517288169</v>
      </c>
    </row>
    <row r="6" spans="1:28" x14ac:dyDescent="0.25">
      <c r="A6" s="1">
        <v>4</v>
      </c>
      <c r="B6" t="s">
        <v>30</v>
      </c>
      <c r="C6" t="s">
        <v>24</v>
      </c>
      <c r="D6">
        <v>4.4889958509417811</v>
      </c>
      <c r="E6">
        <v>3.7800754413894619E-2</v>
      </c>
      <c r="F6">
        <v>1.2820858274770169E-2</v>
      </c>
      <c r="G6">
        <v>2.857149346599271E-2</v>
      </c>
      <c r="H6">
        <v>3.5338267841167579E-5</v>
      </c>
      <c r="I6">
        <v>9.4165465652592108E-4</v>
      </c>
      <c r="J6">
        <v>1.8688137969412999E-4</v>
      </c>
      <c r="K6">
        <v>1.027832706441004E-3</v>
      </c>
      <c r="L6">
        <v>4.8992921418982056E-4</v>
      </c>
      <c r="M6">
        <v>2.8289961499399518E-3</v>
      </c>
      <c r="N6">
        <v>2.8819345516975301E-5</v>
      </c>
      <c r="O6">
        <v>6.3586013055210867E-5</v>
      </c>
      <c r="P6">
        <v>3.3543001938020961E-3</v>
      </c>
      <c r="Q6">
        <v>2.0307280097920461E-5</v>
      </c>
      <c r="R6">
        <v>4.606506127988123E-7</v>
      </c>
      <c r="S6">
        <v>5.5789914053547198E-5</v>
      </c>
      <c r="T6">
        <v>2.6307999762603309E-7</v>
      </c>
      <c r="U6">
        <v>1.585188499032875E-6</v>
      </c>
      <c r="V6">
        <v>5.0735201094397964E-4</v>
      </c>
      <c r="W6">
        <v>1.7162808616166679E-3</v>
      </c>
      <c r="X6">
        <v>4.4500864515679998E-3</v>
      </c>
      <c r="Y6">
        <v>1.8322644806689791E-4</v>
      </c>
      <c r="Z6">
        <v>-0.1003416178940762</v>
      </c>
      <c r="AA6">
        <v>1.8811464214126969</v>
      </c>
      <c r="AB6">
        <v>2.61310525145604</v>
      </c>
    </row>
    <row r="7" spans="1:28" x14ac:dyDescent="0.25">
      <c r="A7" s="1">
        <v>5</v>
      </c>
      <c r="B7" t="s">
        <v>30</v>
      </c>
      <c r="C7" t="s">
        <v>25</v>
      </c>
      <c r="D7">
        <v>4.4662576447705034</v>
      </c>
      <c r="E7">
        <v>1.154134168185632E-2</v>
      </c>
      <c r="F7">
        <v>1.08868805116172E-2</v>
      </c>
      <c r="G7">
        <v>2.3046305642141971E-2</v>
      </c>
      <c r="H7">
        <v>3.3854581500651191E-5</v>
      </c>
      <c r="I7">
        <v>9.0577301551992965E-4</v>
      </c>
      <c r="J7">
        <v>1.776478641214098E-4</v>
      </c>
      <c r="K7">
        <v>6.9578932461420503E-4</v>
      </c>
      <c r="L7">
        <v>4.6468881400584661E-4</v>
      </c>
      <c r="M7">
        <v>2.4605638263945811E-3</v>
      </c>
      <c r="N7">
        <v>2.766097064172989E-5</v>
      </c>
      <c r="O7">
        <v>4.6312823205164957E-5</v>
      </c>
      <c r="P7">
        <v>3.0207803598020369E-3</v>
      </c>
      <c r="Q7">
        <v>1.5495442705020029E-5</v>
      </c>
      <c r="R7">
        <v>4.5694468638723029E-7</v>
      </c>
      <c r="S7">
        <v>5.4818520802527077E-5</v>
      </c>
      <c r="T7">
        <v>1.7472540584098361E-7</v>
      </c>
      <c r="U7">
        <v>1.409502890547562E-6</v>
      </c>
      <c r="V7">
        <v>4.4240363396129461E-4</v>
      </c>
      <c r="W7">
        <v>1.4558440592673701E-3</v>
      </c>
      <c r="X7">
        <v>4.4215841188658504E-3</v>
      </c>
      <c r="Y7">
        <v>1.5820814978707021E-4</v>
      </c>
      <c r="Z7">
        <v>-3.0375417255580479E-2</v>
      </c>
      <c r="AA7">
        <v>1.8236698150507129</v>
      </c>
      <c r="AB7">
        <v>2.6131052524615779</v>
      </c>
    </row>
    <row r="8" spans="1:28" x14ac:dyDescent="0.25">
      <c r="A8" s="1">
        <v>6</v>
      </c>
      <c r="B8" t="s">
        <v>30</v>
      </c>
      <c r="C8" t="s">
        <v>26</v>
      </c>
      <c r="D8">
        <v>4.4480861693317211</v>
      </c>
      <c r="E8">
        <v>4.460776312794461E-3</v>
      </c>
      <c r="F8">
        <v>1.0580601666228011E-2</v>
      </c>
      <c r="G8">
        <v>2.091467469491021E-2</v>
      </c>
      <c r="H8">
        <v>3.3379340353647413E-5</v>
      </c>
      <c r="I8">
        <v>8.8919960485125558E-4</v>
      </c>
      <c r="J8">
        <v>1.7376249005520241E-4</v>
      </c>
      <c r="K8">
        <v>5.9638077865160248E-4</v>
      </c>
      <c r="L8">
        <v>4.5457622966673701E-4</v>
      </c>
      <c r="M8">
        <v>2.3341288416082839E-3</v>
      </c>
      <c r="N8">
        <v>2.7104053422346401E-5</v>
      </c>
      <c r="O8">
        <v>4.1112665349905883E-5</v>
      </c>
      <c r="P8">
        <v>2.912538779137927E-3</v>
      </c>
      <c r="Q8">
        <v>1.343481035649854E-5</v>
      </c>
      <c r="R8">
        <v>4.5568316212444719E-7</v>
      </c>
      <c r="S8">
        <v>5.439842899292988E-5</v>
      </c>
      <c r="T8">
        <v>1.373230990401045E-7</v>
      </c>
      <c r="U8">
        <v>1.3549991482875899E-6</v>
      </c>
      <c r="V8">
        <v>4.1687506030744538E-4</v>
      </c>
      <c r="W8">
        <v>1.3394449600148081E-3</v>
      </c>
      <c r="X8">
        <v>4.4103584477798692E-3</v>
      </c>
      <c r="Y8">
        <v>1.4720810740762781E-4</v>
      </c>
      <c r="Z8">
        <v>-1.1497899322901481E-2</v>
      </c>
      <c r="AA8">
        <v>1.796676912222406</v>
      </c>
      <c r="AB8">
        <v>2.6131052531549179</v>
      </c>
    </row>
    <row r="9" spans="1:28" x14ac:dyDescent="0.25">
      <c r="A9" s="1">
        <v>7</v>
      </c>
      <c r="B9" t="s">
        <v>30</v>
      </c>
      <c r="C9" t="s">
        <v>27</v>
      </c>
      <c r="D9">
        <v>4.4682681254411643</v>
      </c>
      <c r="E9">
        <v>0.11102322452613959</v>
      </c>
      <c r="F9">
        <v>1.810861352797017E-2</v>
      </c>
      <c r="G9">
        <v>4.4327527782488038E-2</v>
      </c>
      <c r="H9">
        <v>3.8069217529454828E-5</v>
      </c>
      <c r="I9">
        <v>1.0744851158769231E-3</v>
      </c>
      <c r="J9">
        <v>2.085693333614092E-4</v>
      </c>
      <c r="K9">
        <v>1.697622871425571E-3</v>
      </c>
      <c r="L9">
        <v>5.8743170827755718E-4</v>
      </c>
      <c r="M9">
        <v>3.338108115357711E-3</v>
      </c>
      <c r="N9">
        <v>3.149480810926924E-5</v>
      </c>
      <c r="O9">
        <v>1.0364982559765199E-4</v>
      </c>
      <c r="P9">
        <v>3.808397360833147E-3</v>
      </c>
      <c r="Q9">
        <v>2.7165509980847968E-5</v>
      </c>
      <c r="R9">
        <v>4.702068263715078E-7</v>
      </c>
      <c r="S9">
        <v>5.7481832825853718E-5</v>
      </c>
      <c r="T9">
        <v>4.8477227320119744E-7</v>
      </c>
      <c r="U9">
        <v>2.2053686526492519E-6</v>
      </c>
      <c r="V9">
        <v>7.2382624542016878E-4</v>
      </c>
      <c r="W9">
        <v>2.526123831490013E-3</v>
      </c>
      <c r="X9">
        <v>4.4704821362772139E-3</v>
      </c>
      <c r="Y9">
        <v>2.5195233788745771E-4</v>
      </c>
      <c r="Z9">
        <v>-0.29667728778486419</v>
      </c>
      <c r="AA9">
        <v>1.9594327749628599</v>
      </c>
      <c r="AB9">
        <v>2.6131052518285678</v>
      </c>
    </row>
    <row r="10" spans="1:28" x14ac:dyDescent="0.25">
      <c r="A10" s="1">
        <v>8</v>
      </c>
      <c r="B10" t="s">
        <v>30</v>
      </c>
      <c r="C10" t="s">
        <v>28</v>
      </c>
      <c r="D10">
        <v>4.4874108125027616</v>
      </c>
      <c r="E10">
        <v>4.7473776782838949E-2</v>
      </c>
      <c r="F10">
        <v>1.4107366783253181E-2</v>
      </c>
      <c r="G10">
        <v>3.4227032883688641E-2</v>
      </c>
      <c r="H10">
        <v>3.5975591593702567E-5</v>
      </c>
      <c r="I10">
        <v>1.019814762690256E-3</v>
      </c>
      <c r="J10">
        <v>1.9456598323361701E-4</v>
      </c>
      <c r="K10">
        <v>1.0862768494666231E-3</v>
      </c>
      <c r="L10">
        <v>5.3874778954990116E-4</v>
      </c>
      <c r="M10">
        <v>2.8736080410952419E-3</v>
      </c>
      <c r="N10">
        <v>2.9920151701392569E-5</v>
      </c>
      <c r="O10">
        <v>7.1485311422341647E-5</v>
      </c>
      <c r="P10">
        <v>3.407950193712558E-3</v>
      </c>
      <c r="Q10">
        <v>2.1862579527177991E-5</v>
      </c>
      <c r="R10">
        <v>4.633067793183586E-7</v>
      </c>
      <c r="S10">
        <v>5.6264303264405472E-5</v>
      </c>
      <c r="T10">
        <v>2.9618911399729158E-7</v>
      </c>
      <c r="U10">
        <v>1.864054218519383E-6</v>
      </c>
      <c r="V10">
        <v>6.0571542729333878E-4</v>
      </c>
      <c r="W10">
        <v>2.0880262038061848E-3</v>
      </c>
      <c r="X10">
        <v>4.4435029580982E-3</v>
      </c>
      <c r="Y10">
        <v>2.1260368780806391E-4</v>
      </c>
      <c r="Z10">
        <v>-0.1267560453946423</v>
      </c>
      <c r="AA10">
        <v>1.888564486312555</v>
      </c>
      <c r="AB10">
        <v>2.6131052517506932</v>
      </c>
    </row>
    <row r="11" spans="1:28" x14ac:dyDescent="0.25">
      <c r="A11" s="1">
        <v>9</v>
      </c>
      <c r="B11" t="s">
        <v>30</v>
      </c>
      <c r="C11" t="s">
        <v>29</v>
      </c>
      <c r="D11">
        <v>4.5075383230095127</v>
      </c>
      <c r="E11">
        <v>8.5076653109683771E-3</v>
      </c>
      <c r="F11">
        <v>1.2680439027550691E-2</v>
      </c>
      <c r="G11">
        <v>2.4583411976976111E-2</v>
      </c>
      <c r="H11">
        <v>3.4516318105589219E-5</v>
      </c>
      <c r="I11">
        <v>9.020600961437607E-4</v>
      </c>
      <c r="J11">
        <v>1.8068620746124881E-4</v>
      </c>
      <c r="K11">
        <v>7.3505392397668439E-4</v>
      </c>
      <c r="L11">
        <v>4.7575112588455469E-4</v>
      </c>
      <c r="M11">
        <v>2.5959835126927889E-3</v>
      </c>
      <c r="N11">
        <v>2.797459672717021E-5</v>
      </c>
      <c r="O11">
        <v>4.7731491349906923E-5</v>
      </c>
      <c r="P11">
        <v>3.1582340780101251E-3</v>
      </c>
      <c r="Q11">
        <v>1.7403781689294249E-5</v>
      </c>
      <c r="R11">
        <v>4.6188351325297188E-7</v>
      </c>
      <c r="S11">
        <v>5.5115806073205569E-5</v>
      </c>
      <c r="T11">
        <v>2.3763069911862549E-7</v>
      </c>
      <c r="U11">
        <v>1.545592868689409E-6</v>
      </c>
      <c r="V11">
        <v>4.7059889559765742E-4</v>
      </c>
      <c r="W11">
        <v>1.5089034544533461E-3</v>
      </c>
      <c r="X11">
        <v>4.431192493218529E-3</v>
      </c>
      <c r="Y11">
        <v>1.6633070481319369E-4</v>
      </c>
      <c r="Z11">
        <v>-2.1840405900004928E-2</v>
      </c>
      <c r="AA11">
        <v>1.855692179823079</v>
      </c>
      <c r="AB11">
        <v>2.6131052511776658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1"/>
  <sheetViews>
    <sheetView tabSelected="1" workbookViewId="0">
      <selection activeCell="P22" sqref="P22"/>
    </sheetView>
  </sheetViews>
  <sheetFormatPr defaultRowHeight="15" x14ac:dyDescent="0.25"/>
  <sheetData>
    <row r="1" spans="1:27" x14ac:dyDescent="0.25">
      <c r="B1" s="1" t="s">
        <v>0</v>
      </c>
      <c r="C1" s="1" t="s">
        <v>1</v>
      </c>
      <c r="D1" s="1" t="s">
        <v>33</v>
      </c>
      <c r="E1" s="1" t="s">
        <v>3</v>
      </c>
      <c r="F1" s="1" t="s">
        <v>3</v>
      </c>
      <c r="G1" s="1" t="s">
        <v>4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12</v>
      </c>
      <c r="R1" s="1" t="s">
        <v>13</v>
      </c>
      <c r="S1" s="1" t="s">
        <v>14</v>
      </c>
      <c r="T1" s="1" t="s">
        <v>14</v>
      </c>
      <c r="U1" s="1" t="s">
        <v>14</v>
      </c>
      <c r="V1" s="1" t="s">
        <v>15</v>
      </c>
      <c r="W1" s="1" t="s">
        <v>16</v>
      </c>
      <c r="X1" s="1" t="s">
        <v>17</v>
      </c>
      <c r="Y1" s="1" t="s">
        <v>18</v>
      </c>
      <c r="Z1" s="4" t="s">
        <v>46</v>
      </c>
      <c r="AA1" s="1" t="s">
        <v>19</v>
      </c>
    </row>
    <row r="2" spans="1:27" x14ac:dyDescent="0.25">
      <c r="A2" s="1">
        <v>0</v>
      </c>
      <c r="B2" t="s">
        <v>33</v>
      </c>
      <c r="C2" t="s">
        <v>20</v>
      </c>
      <c r="D2">
        <v>11.07977878591611</v>
      </c>
      <c r="E2">
        <v>2.236365771525899E-2</v>
      </c>
      <c r="F2">
        <v>5.2972668728210943E-2</v>
      </c>
      <c r="G2">
        <v>3.9870999951249037E-5</v>
      </c>
      <c r="H2">
        <v>1.115047877934225E-3</v>
      </c>
      <c r="I2">
        <v>2.2045529694571879E-4</v>
      </c>
      <c r="J2">
        <v>2.0829384534305521E-3</v>
      </c>
      <c r="K2">
        <v>3.8753588110664269E-3</v>
      </c>
      <c r="L2">
        <v>3.2812971008419799E-5</v>
      </c>
      <c r="M2">
        <v>1.2756965348521219E-4</v>
      </c>
      <c r="N2">
        <v>4.1577781500908174E-3</v>
      </c>
      <c r="O2">
        <v>3.1463843579187163E-5</v>
      </c>
      <c r="P2">
        <v>4.7762301078091157E-7</v>
      </c>
      <c r="Q2">
        <v>5.8423116832153428E-5</v>
      </c>
      <c r="R2">
        <v>5.2600353060512766E-7</v>
      </c>
      <c r="S2">
        <v>2.602430330095508E-6</v>
      </c>
      <c r="T2">
        <v>8.4008481516457283E-4</v>
      </c>
      <c r="U2">
        <v>2.9148048608447379E-3</v>
      </c>
      <c r="V2">
        <v>4.4902178779148861E-3</v>
      </c>
      <c r="W2">
        <v>2.8743436474409212E-4</v>
      </c>
      <c r="X2">
        <v>0</v>
      </c>
      <c r="Y2">
        <v>1.7671355246452527</v>
      </c>
      <c r="Z2">
        <v>1.5529615759019688</v>
      </c>
      <c r="AA2">
        <v>7.6640674917755538</v>
      </c>
    </row>
    <row r="3" spans="1:27" x14ac:dyDescent="0.25">
      <c r="A3" s="1">
        <v>1</v>
      </c>
      <c r="B3" t="s">
        <v>33</v>
      </c>
      <c r="C3" t="s">
        <v>21</v>
      </c>
      <c r="D3">
        <v>11.04685924082778</v>
      </c>
      <c r="E3">
        <v>2.005735802428359E-2</v>
      </c>
      <c r="F3">
        <v>4.9424175987306501E-2</v>
      </c>
      <c r="G3">
        <v>3.9117537466634097E-5</v>
      </c>
      <c r="H3">
        <v>1.1000742481131491E-3</v>
      </c>
      <c r="I3">
        <v>2.1529586852123069E-4</v>
      </c>
      <c r="J3">
        <v>1.9700426237010092E-3</v>
      </c>
      <c r="K3">
        <v>3.66482954191396E-3</v>
      </c>
      <c r="L3">
        <v>3.2270898362736138E-5</v>
      </c>
      <c r="M3">
        <v>1.197009649556325E-4</v>
      </c>
      <c r="N3">
        <v>4.0507368036654936E-3</v>
      </c>
      <c r="O3">
        <v>2.9570576362891221E-5</v>
      </c>
      <c r="P3">
        <v>4.7337951251293742E-7</v>
      </c>
      <c r="Q3">
        <v>5.8026899140564578E-5</v>
      </c>
      <c r="R3">
        <v>5.0258832003952536E-7</v>
      </c>
      <c r="S3">
        <v>2.3806496078013061E-6</v>
      </c>
      <c r="T3">
        <v>7.8816179266237856E-4</v>
      </c>
      <c r="U3">
        <v>2.7652897204902801E-3</v>
      </c>
      <c r="V3">
        <v>4.4807397090091596E-3</v>
      </c>
      <c r="W3">
        <v>2.716392972616097E-4</v>
      </c>
      <c r="X3">
        <v>0</v>
      </c>
      <c r="Y3">
        <v>1.7444982837551939</v>
      </c>
      <c r="Z3">
        <v>1.5492230784167238</v>
      </c>
      <c r="AA3">
        <v>7.6640674915452065</v>
      </c>
    </row>
    <row r="4" spans="1:27" x14ac:dyDescent="0.25">
      <c r="A4" s="1">
        <v>2</v>
      </c>
      <c r="B4" t="s">
        <v>33</v>
      </c>
      <c r="C4" t="s">
        <v>22</v>
      </c>
      <c r="D4">
        <v>11.02610535187536</v>
      </c>
      <c r="E4">
        <v>2.0301050774708059E-2</v>
      </c>
      <c r="F4">
        <v>4.7834791417598561E-2</v>
      </c>
      <c r="G4">
        <v>3.8767799598242852E-5</v>
      </c>
      <c r="H4">
        <v>1.0849088577586049E-3</v>
      </c>
      <c r="I4">
        <v>2.121268381683213E-4</v>
      </c>
      <c r="J4">
        <v>1.860520502540836E-3</v>
      </c>
      <c r="K4">
        <v>3.422024622077296E-3</v>
      </c>
      <c r="L4">
        <v>3.1877729046066762E-5</v>
      </c>
      <c r="M4">
        <v>1.132308690536359E-4</v>
      </c>
      <c r="N4">
        <v>3.9196287876787786E-3</v>
      </c>
      <c r="O4">
        <v>2.7737155844988911E-5</v>
      </c>
      <c r="P4">
        <v>4.7274147903020641E-7</v>
      </c>
      <c r="Q4">
        <v>5.7612362497915897E-5</v>
      </c>
      <c r="R4">
        <v>4.2753043066419749E-7</v>
      </c>
      <c r="S4">
        <v>2.396652309378752E-6</v>
      </c>
      <c r="T4">
        <v>7.7687907682583873E-4</v>
      </c>
      <c r="U4">
        <v>2.683355646268093E-3</v>
      </c>
      <c r="V4">
        <v>4.4642582202440856E-3</v>
      </c>
      <c r="W4">
        <v>2.6490565659871741E-4</v>
      </c>
      <c r="X4">
        <v>0</v>
      </c>
      <c r="Y4">
        <v>1.7283797535670131</v>
      </c>
      <c r="Z4">
        <v>1.5465611336652842</v>
      </c>
      <c r="AA4">
        <v>7.6640674914023341</v>
      </c>
    </row>
    <row r="5" spans="1:27" x14ac:dyDescent="0.25">
      <c r="A5" s="1">
        <v>3</v>
      </c>
      <c r="B5" t="s">
        <v>33</v>
      </c>
      <c r="C5" t="s">
        <v>23</v>
      </c>
      <c r="D5">
        <v>11.015663193455291</v>
      </c>
      <c r="E5">
        <v>2.2014415625729009E-2</v>
      </c>
      <c r="F5">
        <v>4.6639103000032302E-2</v>
      </c>
      <c r="G5">
        <v>3.8746141603607751E-5</v>
      </c>
      <c r="H5">
        <v>1.059466132098393E-3</v>
      </c>
      <c r="I5">
        <v>2.0990580599569551E-4</v>
      </c>
      <c r="J5">
        <v>1.75748677613035E-3</v>
      </c>
      <c r="K5">
        <v>3.3016498555131809E-3</v>
      </c>
      <c r="L5">
        <v>3.1477071387090972E-5</v>
      </c>
      <c r="M5">
        <v>1.0686478901046321E-4</v>
      </c>
      <c r="N5">
        <v>3.8445870281558509E-3</v>
      </c>
      <c r="O5">
        <v>2.678385539397214E-5</v>
      </c>
      <c r="P5">
        <v>4.759677398392052E-7</v>
      </c>
      <c r="Q5">
        <v>5.7341583410986248E-5</v>
      </c>
      <c r="R5">
        <v>3.9138305662890838E-7</v>
      </c>
      <c r="S5">
        <v>2.4875619493387819E-6</v>
      </c>
      <c r="T5">
        <v>7.6943116553208804E-4</v>
      </c>
      <c r="U5">
        <v>2.5634927818011322E-3</v>
      </c>
      <c r="V5">
        <v>4.4590301940245292E-3</v>
      </c>
      <c r="W5">
        <v>2.5991844620971928E-4</v>
      </c>
      <c r="X5">
        <v>0</v>
      </c>
      <c r="Y5">
        <v>1.7193781165552748</v>
      </c>
      <c r="Z5">
        <v>1.5450745303510858</v>
      </c>
      <c r="AA5">
        <v>7.6640674913841584</v>
      </c>
    </row>
    <row r="6" spans="1:27" x14ac:dyDescent="0.25">
      <c r="A6" s="1">
        <v>4</v>
      </c>
      <c r="B6" t="s">
        <v>33</v>
      </c>
      <c r="C6" t="s">
        <v>24</v>
      </c>
      <c r="D6">
        <v>10.893052019682971</v>
      </c>
      <c r="E6">
        <v>1.2822327361388519E-2</v>
      </c>
      <c r="F6">
        <v>2.8574767349676441E-2</v>
      </c>
      <c r="G6">
        <v>3.5338267841167579E-5</v>
      </c>
      <c r="H6">
        <v>9.4165465652592108E-4</v>
      </c>
      <c r="I6">
        <v>1.8688137969412999E-4</v>
      </c>
      <c r="J6">
        <v>1.027832706441004E-3</v>
      </c>
      <c r="K6">
        <v>2.8289961499399518E-3</v>
      </c>
      <c r="L6">
        <v>2.8819345516975301E-5</v>
      </c>
      <c r="M6">
        <v>6.3586013055210867E-5</v>
      </c>
      <c r="N6">
        <v>3.3543001938020961E-3</v>
      </c>
      <c r="O6">
        <v>2.0307280097920461E-5</v>
      </c>
      <c r="P6">
        <v>4.606506127988123E-7</v>
      </c>
      <c r="Q6">
        <v>5.5789914053547198E-5</v>
      </c>
      <c r="R6">
        <v>2.6307999762603309E-7</v>
      </c>
      <c r="S6">
        <v>1.5853701389170059E-6</v>
      </c>
      <c r="T6">
        <v>5.0741014621340566E-4</v>
      </c>
      <c r="U6">
        <v>1.7164775228068229E-3</v>
      </c>
      <c r="V6">
        <v>4.4500864515679998E-3</v>
      </c>
      <c r="W6">
        <v>1.8322644806689791E-4</v>
      </c>
      <c r="X6">
        <v>0</v>
      </c>
      <c r="Y6">
        <v>1.6401879880999952</v>
      </c>
      <c r="Z6">
        <v>1.5319964305276963</v>
      </c>
      <c r="AA6">
        <v>7.6640674907678461</v>
      </c>
    </row>
    <row r="7" spans="1:27" x14ac:dyDescent="0.25">
      <c r="A7" s="1">
        <v>5</v>
      </c>
      <c r="B7" t="s">
        <v>33</v>
      </c>
      <c r="C7" t="s">
        <v>25</v>
      </c>
      <c r="D7">
        <v>10.825717333113261</v>
      </c>
      <c r="E7">
        <v>1.0888127992100391E-2</v>
      </c>
      <c r="F7">
        <v>2.3048946418484421E-2</v>
      </c>
      <c r="G7">
        <v>3.3854581500651191E-5</v>
      </c>
      <c r="H7">
        <v>9.0577301551992965E-4</v>
      </c>
      <c r="I7">
        <v>1.776478641214098E-4</v>
      </c>
      <c r="J7">
        <v>6.9578932461420503E-4</v>
      </c>
      <c r="K7">
        <v>2.4605638263945811E-3</v>
      </c>
      <c r="L7">
        <v>2.766097064172989E-5</v>
      </c>
      <c r="M7">
        <v>4.6312823205164957E-5</v>
      </c>
      <c r="N7">
        <v>3.0207803598020369E-3</v>
      </c>
      <c r="O7">
        <v>1.5495442705020029E-5</v>
      </c>
      <c r="P7">
        <v>4.5694468638723029E-7</v>
      </c>
      <c r="Q7">
        <v>5.4818520802527077E-5</v>
      </c>
      <c r="R7">
        <v>1.7472540584098361E-7</v>
      </c>
      <c r="S7">
        <v>1.40966439937877E-6</v>
      </c>
      <c r="T7">
        <v>4.4245432707751481E-4</v>
      </c>
      <c r="U7">
        <v>1.4560108781323819E-3</v>
      </c>
      <c r="V7">
        <v>4.4215841188658504E-3</v>
      </c>
      <c r="W7">
        <v>1.5820814978707021E-4</v>
      </c>
      <c r="X7">
        <v>0</v>
      </c>
      <c r="Y7">
        <v>1.5900736332158676</v>
      </c>
      <c r="Z7">
        <v>1.523720139674986</v>
      </c>
      <c r="AA7">
        <v>7.664067490274161</v>
      </c>
    </row>
    <row r="8" spans="1:27" x14ac:dyDescent="0.25">
      <c r="A8" s="1">
        <v>6</v>
      </c>
      <c r="B8" t="s">
        <v>33</v>
      </c>
      <c r="C8" t="s">
        <v>26</v>
      </c>
      <c r="D8">
        <v>10.79532945823042</v>
      </c>
      <c r="E8">
        <v>1.0581814051544861E-2</v>
      </c>
      <c r="F8">
        <v>2.0917071216895181E-2</v>
      </c>
      <c r="G8">
        <v>3.3379340353647413E-5</v>
      </c>
      <c r="H8">
        <v>8.8919960485125558E-4</v>
      </c>
      <c r="I8">
        <v>1.7376249005520241E-4</v>
      </c>
      <c r="J8">
        <v>5.9638077865160248E-4</v>
      </c>
      <c r="K8">
        <v>2.3341288416082839E-3</v>
      </c>
      <c r="L8">
        <v>2.7104053422346401E-5</v>
      </c>
      <c r="M8">
        <v>4.1112665349905883E-5</v>
      </c>
      <c r="N8">
        <v>2.912538779137927E-3</v>
      </c>
      <c r="O8">
        <v>1.343481035649854E-5</v>
      </c>
      <c r="P8">
        <v>4.5568316212444719E-7</v>
      </c>
      <c r="Q8">
        <v>5.439842899292988E-5</v>
      </c>
      <c r="R8">
        <v>1.373230990401045E-7</v>
      </c>
      <c r="S8">
        <v>1.355154411771047E-6</v>
      </c>
      <c r="T8">
        <v>4.169228282149831E-4</v>
      </c>
      <c r="U8">
        <v>1.3395984412116551E-3</v>
      </c>
      <c r="V8">
        <v>4.4103584477798692E-3</v>
      </c>
      <c r="W8">
        <v>1.4720810740762781E-4</v>
      </c>
      <c r="X8">
        <v>0</v>
      </c>
      <c r="Y8">
        <v>1.5665382855794561</v>
      </c>
      <c r="Z8">
        <v>1.5198333215605164</v>
      </c>
      <c r="AA8">
        <v>7.6640674900439452</v>
      </c>
    </row>
    <row r="9" spans="1:27" x14ac:dyDescent="0.25">
      <c r="A9" s="1">
        <v>7</v>
      </c>
      <c r="B9" t="s">
        <v>33</v>
      </c>
      <c r="C9" t="s">
        <v>27</v>
      </c>
      <c r="D9">
        <v>10.996587493295189</v>
      </c>
      <c r="E9">
        <v>1.811068851555998E-2</v>
      </c>
      <c r="F9">
        <v>4.4332607081899539E-2</v>
      </c>
      <c r="G9">
        <v>3.8069217529454828E-5</v>
      </c>
      <c r="H9">
        <v>1.0744851158769231E-3</v>
      </c>
      <c r="I9">
        <v>2.085693333614092E-4</v>
      </c>
      <c r="J9">
        <v>1.697622871425571E-3</v>
      </c>
      <c r="K9">
        <v>3.338108115357711E-3</v>
      </c>
      <c r="L9">
        <v>3.149480810926924E-5</v>
      </c>
      <c r="M9">
        <v>1.0364982559765199E-4</v>
      </c>
      <c r="N9">
        <v>3.808397360833147E-3</v>
      </c>
      <c r="O9">
        <v>2.7165509980847968E-5</v>
      </c>
      <c r="P9">
        <v>4.702068263715078E-7</v>
      </c>
      <c r="Q9">
        <v>5.7481832825853718E-5</v>
      </c>
      <c r="R9">
        <v>4.8477227320119744E-7</v>
      </c>
      <c r="S9">
        <v>2.2056213562909838E-6</v>
      </c>
      <c r="T9">
        <v>7.239091855345014E-4</v>
      </c>
      <c r="U9">
        <v>2.5264132890783918E-3</v>
      </c>
      <c r="V9">
        <v>4.4704821362772139E-3</v>
      </c>
      <c r="W9">
        <v>2.5195233788745771E-4</v>
      </c>
      <c r="X9">
        <v>0</v>
      </c>
      <c r="Y9">
        <v>1.7084465432361213</v>
      </c>
      <c r="Z9">
        <v>1.5432692017086991</v>
      </c>
      <c r="AA9">
        <v>7.6640674912127844</v>
      </c>
    </row>
    <row r="10" spans="1:27" x14ac:dyDescent="0.25">
      <c r="A10" s="1">
        <v>8</v>
      </c>
      <c r="B10" t="s">
        <v>33</v>
      </c>
      <c r="C10" t="s">
        <v>28</v>
      </c>
      <c r="D10">
        <v>10.90827838482768</v>
      </c>
      <c r="E10">
        <v>1.410898328530923E-2</v>
      </c>
      <c r="F10">
        <v>3.4230954811138227E-2</v>
      </c>
      <c r="G10">
        <v>3.5975591593702567E-5</v>
      </c>
      <c r="H10">
        <v>1.019814762690256E-3</v>
      </c>
      <c r="I10">
        <v>1.9456598323361701E-4</v>
      </c>
      <c r="J10">
        <v>1.0862768494666231E-3</v>
      </c>
      <c r="K10">
        <v>2.8736080410952419E-3</v>
      </c>
      <c r="L10">
        <v>2.9920151701392569E-5</v>
      </c>
      <c r="M10">
        <v>7.1485311422341647E-5</v>
      </c>
      <c r="N10">
        <v>3.407950193712558E-3</v>
      </c>
      <c r="O10">
        <v>2.1862579527177991E-5</v>
      </c>
      <c r="P10">
        <v>4.633067793183586E-7</v>
      </c>
      <c r="Q10">
        <v>5.6264303264405472E-5</v>
      </c>
      <c r="R10">
        <v>2.9618911399729158E-7</v>
      </c>
      <c r="S10">
        <v>1.8642678124184521E-6</v>
      </c>
      <c r="T10">
        <v>6.0578483360059963E-4</v>
      </c>
      <c r="U10">
        <v>2.088265461684953E-3</v>
      </c>
      <c r="V10">
        <v>4.4435029580982E-3</v>
      </c>
      <c r="W10">
        <v>2.1260368780806391E-4</v>
      </c>
      <c r="X10">
        <v>0</v>
      </c>
      <c r="Y10">
        <v>1.6466558636492847</v>
      </c>
      <c r="Z10">
        <v>1.5330645879322728</v>
      </c>
      <c r="AA10">
        <v>7.6640674906770707</v>
      </c>
    </row>
    <row r="11" spans="1:27" x14ac:dyDescent="0.25">
      <c r="A11" s="1">
        <v>9</v>
      </c>
      <c r="B11" t="s">
        <v>33</v>
      </c>
      <c r="C11" t="s">
        <v>29</v>
      </c>
      <c r="D11">
        <v>10.8619952521514</v>
      </c>
      <c r="E11">
        <v>1.2681892024135701E-2</v>
      </c>
      <c r="F11">
        <v>2.4586228883675679E-2</v>
      </c>
      <c r="G11">
        <v>3.4516318105589219E-5</v>
      </c>
      <c r="H11">
        <v>9.020600961437607E-4</v>
      </c>
      <c r="I11">
        <v>1.8068620746124881E-4</v>
      </c>
      <c r="J11">
        <v>7.3505392397668439E-4</v>
      </c>
      <c r="K11">
        <v>2.5959835126927889E-3</v>
      </c>
      <c r="L11">
        <v>2.797459672717021E-5</v>
      </c>
      <c r="M11">
        <v>4.7731491349906923E-5</v>
      </c>
      <c r="N11">
        <v>3.1582340780101251E-3</v>
      </c>
      <c r="O11">
        <v>1.7403781689294249E-5</v>
      </c>
      <c r="P11">
        <v>4.6188351325297188E-7</v>
      </c>
      <c r="Q11">
        <v>5.5115806073205569E-5</v>
      </c>
      <c r="R11">
        <v>2.3763069911862549E-7</v>
      </c>
      <c r="S11">
        <v>1.545769971481763E-6</v>
      </c>
      <c r="T11">
        <v>4.7065281948605769E-4</v>
      </c>
      <c r="U11">
        <v>1.509076353162545E-3</v>
      </c>
      <c r="V11">
        <v>4.431192493218529E-3</v>
      </c>
      <c r="W11">
        <v>1.6633070481319369E-4</v>
      </c>
      <c r="X11">
        <v>0</v>
      </c>
      <c r="Y11">
        <v>1.6179942126308127</v>
      </c>
      <c r="Z11">
        <v>1.5283311705173179</v>
      </c>
      <c r="AA11">
        <v>7.6640674906283612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1"/>
  <sheetViews>
    <sheetView topLeftCell="S1" workbookViewId="0">
      <selection activeCell="AA16" sqref="AA16"/>
    </sheetView>
  </sheetViews>
  <sheetFormatPr defaultRowHeight="15" x14ac:dyDescent="0.25"/>
  <sheetData>
    <row r="1" spans="1:29" x14ac:dyDescent="0.25">
      <c r="B1" s="1" t="s">
        <v>0</v>
      </c>
      <c r="C1" s="1" t="s">
        <v>1</v>
      </c>
      <c r="D1" s="1" t="s">
        <v>34</v>
      </c>
      <c r="E1" s="1" t="s">
        <v>31</v>
      </c>
      <c r="F1" s="1" t="s">
        <v>3</v>
      </c>
      <c r="G1" s="1" t="s">
        <v>3</v>
      </c>
      <c r="H1" s="1" t="s">
        <v>4</v>
      </c>
      <c r="I1" s="1" t="s">
        <v>4</v>
      </c>
      <c r="J1" s="1" t="s">
        <v>5</v>
      </c>
      <c r="K1" s="1" t="s">
        <v>6</v>
      </c>
      <c r="L1" s="1" t="s">
        <v>32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12</v>
      </c>
      <c r="T1" s="1" t="s">
        <v>13</v>
      </c>
      <c r="U1" s="1" t="s">
        <v>14</v>
      </c>
      <c r="V1" s="1" t="s">
        <v>14</v>
      </c>
      <c r="W1" s="1" t="s">
        <v>14</v>
      </c>
      <c r="X1" s="1" t="s">
        <v>15</v>
      </c>
      <c r="Y1" s="1" t="s">
        <v>16</v>
      </c>
      <c r="Z1" s="1" t="s">
        <v>17</v>
      </c>
      <c r="AA1" s="1" t="s">
        <v>18</v>
      </c>
      <c r="AB1" s="4" t="s">
        <v>46</v>
      </c>
      <c r="AC1" s="1" t="s">
        <v>19</v>
      </c>
    </row>
    <row r="2" spans="1:29" x14ac:dyDescent="0.25">
      <c r="A2" s="1">
        <v>0</v>
      </c>
      <c r="B2" t="s">
        <v>34</v>
      </c>
      <c r="C2" t="s">
        <v>20</v>
      </c>
      <c r="D2">
        <v>4.8781666908215744</v>
      </c>
      <c r="E2">
        <v>0.1420764499332591</v>
      </c>
      <c r="F2">
        <v>2.2361095454184139E-2</v>
      </c>
      <c r="G2">
        <v>5.2966599514988173E-2</v>
      </c>
      <c r="H2">
        <v>3.9870999951249037E-5</v>
      </c>
      <c r="I2">
        <v>1.115047877934225E-3</v>
      </c>
      <c r="J2">
        <v>2.2045529694571879E-4</v>
      </c>
      <c r="K2">
        <v>2.0829384534305521E-3</v>
      </c>
      <c r="L2">
        <v>6.3616311125962925E-4</v>
      </c>
      <c r="M2">
        <v>3.8753588110664269E-3</v>
      </c>
      <c r="N2">
        <v>3.2812971008419799E-5</v>
      </c>
      <c r="O2">
        <v>1.2756965348521219E-4</v>
      </c>
      <c r="P2">
        <v>4.1577781500908174E-3</v>
      </c>
      <c r="Q2">
        <v>3.1463843579187163E-5</v>
      </c>
      <c r="R2">
        <v>4.7762301078091157E-7</v>
      </c>
      <c r="S2">
        <v>5.8423116832153428E-5</v>
      </c>
      <c r="T2">
        <v>5.2600353060512766E-7</v>
      </c>
      <c r="U2">
        <v>2.602132163041632E-6</v>
      </c>
      <c r="V2">
        <v>8.3998856451323223E-4</v>
      </c>
      <c r="W2">
        <v>2.9144709042465979E-3</v>
      </c>
      <c r="X2">
        <v>4.4902178779148861E-3</v>
      </c>
      <c r="Y2">
        <v>2.8743436474409212E-4</v>
      </c>
      <c r="Z2">
        <v>0</v>
      </c>
      <c r="AA2">
        <v>1.7394730210054847</v>
      </c>
      <c r="AB2">
        <v>0.41328841732184762</v>
      </c>
      <c r="AC2">
        <v>2.4870875078361037</v>
      </c>
    </row>
    <row r="3" spans="1:29" x14ac:dyDescent="0.25">
      <c r="A3" s="1">
        <v>1</v>
      </c>
      <c r="B3" t="s">
        <v>34</v>
      </c>
      <c r="C3" t="s">
        <v>21</v>
      </c>
      <c r="D3">
        <v>4.840360513201337</v>
      </c>
      <c r="E3">
        <v>0.13679932282685409</v>
      </c>
      <c r="F3">
        <v>2.0055060001823041E-2</v>
      </c>
      <c r="G3">
        <v>4.9418513333911347E-2</v>
      </c>
      <c r="H3">
        <v>3.9117537466634097E-5</v>
      </c>
      <c r="I3">
        <v>1.1000742481131491E-3</v>
      </c>
      <c r="J3">
        <v>2.1529586852123069E-4</v>
      </c>
      <c r="K3">
        <v>1.9700426237010092E-3</v>
      </c>
      <c r="L3">
        <v>6.130805146831815E-4</v>
      </c>
      <c r="M3">
        <v>3.66482954191396E-3</v>
      </c>
      <c r="N3">
        <v>3.2270898362736138E-5</v>
      </c>
      <c r="O3">
        <v>1.197009649556325E-4</v>
      </c>
      <c r="P3">
        <v>4.0507368036654936E-3</v>
      </c>
      <c r="Q3">
        <v>2.9570576362891221E-5</v>
      </c>
      <c r="R3">
        <v>4.7337951251293742E-7</v>
      </c>
      <c r="S3">
        <v>5.8026899140564578E-5</v>
      </c>
      <c r="T3">
        <v>5.0258832003952536E-7</v>
      </c>
      <c r="U3">
        <v>2.3803768507281771E-6</v>
      </c>
      <c r="V3">
        <v>7.8807149096362685E-4</v>
      </c>
      <c r="W3">
        <v>2.764972894222869E-3</v>
      </c>
      <c r="X3">
        <v>4.4807397090091596E-3</v>
      </c>
      <c r="Y3">
        <v>2.716392972616097E-4</v>
      </c>
      <c r="Z3">
        <v>0</v>
      </c>
      <c r="AA3">
        <v>1.7171901404628815</v>
      </c>
      <c r="AB3">
        <v>0.40960844177725175</v>
      </c>
      <c r="AC3">
        <v>2.4870875085855886</v>
      </c>
    </row>
    <row r="4" spans="1:29" x14ac:dyDescent="0.25">
      <c r="A4" s="1">
        <v>2</v>
      </c>
      <c r="B4" t="s">
        <v>34</v>
      </c>
      <c r="C4" t="s">
        <v>22</v>
      </c>
      <c r="D4">
        <v>4.8128827703764676</v>
      </c>
      <c r="E4">
        <v>0.12978134047275841</v>
      </c>
      <c r="F4">
        <v>2.029872483175002E-2</v>
      </c>
      <c r="G4">
        <v>4.782931086403118E-2</v>
      </c>
      <c r="H4">
        <v>3.8767799598242852E-5</v>
      </c>
      <c r="I4">
        <v>1.0849088577586049E-3</v>
      </c>
      <c r="J4">
        <v>2.121268381683213E-4</v>
      </c>
      <c r="K4">
        <v>1.860520502540836E-3</v>
      </c>
      <c r="L4">
        <v>6.1305643389652229E-4</v>
      </c>
      <c r="M4">
        <v>3.422024622077296E-3</v>
      </c>
      <c r="N4">
        <v>3.1877729046066762E-5</v>
      </c>
      <c r="O4">
        <v>1.132308690536359E-4</v>
      </c>
      <c r="P4">
        <v>3.9196287876787786E-3</v>
      </c>
      <c r="Q4">
        <v>2.7737155844988911E-5</v>
      </c>
      <c r="R4">
        <v>4.7274147903020641E-7</v>
      </c>
      <c r="S4">
        <v>5.7612362497915897E-5</v>
      </c>
      <c r="T4">
        <v>4.2753043066419749E-7</v>
      </c>
      <c r="U4">
        <v>2.3963777188354488E-6</v>
      </c>
      <c r="V4">
        <v>7.7679006781649989E-4</v>
      </c>
      <c r="W4">
        <v>2.683048207395167E-3</v>
      </c>
      <c r="X4">
        <v>4.4642582202440856E-3</v>
      </c>
      <c r="Y4">
        <v>2.6490565659871741E-4</v>
      </c>
      <c r="Z4">
        <v>0</v>
      </c>
      <c r="AA4">
        <v>1.7013239275948924</v>
      </c>
      <c r="AB4">
        <v>0.40698816675365601</v>
      </c>
      <c r="AC4">
        <v>2.4870875090995366</v>
      </c>
    </row>
    <row r="5" spans="1:29" x14ac:dyDescent="0.25">
      <c r="A5" s="1">
        <v>3</v>
      </c>
      <c r="B5" t="s">
        <v>34</v>
      </c>
      <c r="C5" t="s">
        <v>23</v>
      </c>
      <c r="D5">
        <v>4.7911134591729381</v>
      </c>
      <c r="E5">
        <v>0.1182890106177126</v>
      </c>
      <c r="F5">
        <v>2.2011893378207529E-2</v>
      </c>
      <c r="G5">
        <v>4.6633759439524247E-2</v>
      </c>
      <c r="H5">
        <v>3.8746141603607751E-5</v>
      </c>
      <c r="I5">
        <v>1.059466132098393E-3</v>
      </c>
      <c r="J5">
        <v>2.0990580599569551E-4</v>
      </c>
      <c r="K5">
        <v>1.75748677613035E-3</v>
      </c>
      <c r="L5">
        <v>6.1409657272051962E-4</v>
      </c>
      <c r="M5">
        <v>3.3016498555131809E-3</v>
      </c>
      <c r="N5">
        <v>3.1477071387090972E-5</v>
      </c>
      <c r="O5">
        <v>1.0686478901046321E-4</v>
      </c>
      <c r="P5">
        <v>3.8445870281558509E-3</v>
      </c>
      <c r="Q5">
        <v>2.678385539397214E-5</v>
      </c>
      <c r="R5">
        <v>4.759677398392052E-7</v>
      </c>
      <c r="S5">
        <v>5.7341583410986248E-5</v>
      </c>
      <c r="T5">
        <v>3.9138305662890838E-7</v>
      </c>
      <c r="U5">
        <v>2.4872769430470931E-6</v>
      </c>
      <c r="V5">
        <v>7.6934300984859896E-4</v>
      </c>
      <c r="W5">
        <v>2.5631990759213022E-3</v>
      </c>
      <c r="X5">
        <v>4.4590301940245292E-3</v>
      </c>
      <c r="Y5">
        <v>2.5991844620971928E-4</v>
      </c>
      <c r="Z5">
        <v>0</v>
      </c>
      <c r="AA5">
        <v>1.6924632010074727</v>
      </c>
      <c r="AB5">
        <v>0.40552483452931865</v>
      </c>
      <c r="AC5">
        <v>2.4870875092355385</v>
      </c>
    </row>
    <row r="6" spans="1:29" x14ac:dyDescent="0.25">
      <c r="A6" s="1">
        <v>4</v>
      </c>
      <c r="B6" t="s">
        <v>34</v>
      </c>
      <c r="C6" t="s">
        <v>24</v>
      </c>
      <c r="D6">
        <v>4.5893374681625962</v>
      </c>
      <c r="E6">
        <v>3.7800754413894619E-2</v>
      </c>
      <c r="F6">
        <v>1.2820858274770169E-2</v>
      </c>
      <c r="G6">
        <v>2.857149346599271E-2</v>
      </c>
      <c r="H6">
        <v>3.5338267841167579E-5</v>
      </c>
      <c r="I6">
        <v>9.4165465652592108E-4</v>
      </c>
      <c r="J6">
        <v>1.8688137969412999E-4</v>
      </c>
      <c r="K6">
        <v>1.027832706441004E-3</v>
      </c>
      <c r="L6">
        <v>4.8992921418982056E-4</v>
      </c>
      <c r="M6">
        <v>2.8289961499399518E-3</v>
      </c>
      <c r="N6">
        <v>2.8819345516975301E-5</v>
      </c>
      <c r="O6">
        <v>6.3586013055210867E-5</v>
      </c>
      <c r="P6">
        <v>3.3543001938020961E-3</v>
      </c>
      <c r="Q6">
        <v>2.0307280097920461E-5</v>
      </c>
      <c r="R6">
        <v>4.606506127988123E-7</v>
      </c>
      <c r="S6">
        <v>5.5789914053547198E-5</v>
      </c>
      <c r="T6">
        <v>2.6307999762603309E-7</v>
      </c>
      <c r="U6">
        <v>1.585188499032875E-6</v>
      </c>
      <c r="V6">
        <v>5.0735201094397964E-4</v>
      </c>
      <c r="W6">
        <v>1.7162808616166679E-3</v>
      </c>
      <c r="X6">
        <v>4.4500864515679998E-3</v>
      </c>
      <c r="Y6">
        <v>1.8322644806689791E-4</v>
      </c>
      <c r="Z6">
        <v>0</v>
      </c>
      <c r="AA6">
        <v>1.6145127042533678</v>
      </c>
      <c r="AB6">
        <v>0.39265145753500441</v>
      </c>
      <c r="AC6">
        <v>2.4870875104071035</v>
      </c>
    </row>
    <row r="7" spans="1:29" x14ac:dyDescent="0.25">
      <c r="A7" s="1">
        <v>5</v>
      </c>
      <c r="B7" t="s">
        <v>34</v>
      </c>
      <c r="C7" t="s">
        <v>25</v>
      </c>
      <c r="D7">
        <v>4.4966330618222754</v>
      </c>
      <c r="E7">
        <v>1.154134168185632E-2</v>
      </c>
      <c r="F7">
        <v>1.08868805116172E-2</v>
      </c>
      <c r="G7">
        <v>2.3046305642141971E-2</v>
      </c>
      <c r="H7">
        <v>3.3854581500651191E-5</v>
      </c>
      <c r="I7">
        <v>9.0577301551992965E-4</v>
      </c>
      <c r="J7">
        <v>1.776478641214098E-4</v>
      </c>
      <c r="K7">
        <v>6.9578932461420503E-4</v>
      </c>
      <c r="L7">
        <v>4.6468881400584661E-4</v>
      </c>
      <c r="M7">
        <v>2.4605638263945811E-3</v>
      </c>
      <c r="N7">
        <v>2.766097064172989E-5</v>
      </c>
      <c r="O7">
        <v>4.6312823205164957E-5</v>
      </c>
      <c r="P7">
        <v>3.0207803598020369E-3</v>
      </c>
      <c r="Q7">
        <v>1.5495442705020029E-5</v>
      </c>
      <c r="R7">
        <v>4.5694468638723029E-7</v>
      </c>
      <c r="S7">
        <v>5.4818520802527077E-5</v>
      </c>
      <c r="T7">
        <v>1.7472540584098361E-7</v>
      </c>
      <c r="U7">
        <v>1.409502890547562E-6</v>
      </c>
      <c r="V7">
        <v>4.4240363396129461E-4</v>
      </c>
      <c r="W7">
        <v>1.4558440592673701E-3</v>
      </c>
      <c r="X7">
        <v>4.4215841188658504E-3</v>
      </c>
      <c r="Y7">
        <v>1.5820814978707021E-4</v>
      </c>
      <c r="Z7">
        <v>0</v>
      </c>
      <c r="AA7">
        <v>1.5651828327917381</v>
      </c>
      <c r="AB7">
        <v>0.38450472263465019</v>
      </c>
      <c r="AC7">
        <v>2.4870875118820934</v>
      </c>
    </row>
    <row r="8" spans="1:29" x14ac:dyDescent="0.25">
      <c r="A8" s="1">
        <v>6</v>
      </c>
      <c r="B8" t="s">
        <v>34</v>
      </c>
      <c r="C8" t="s">
        <v>26</v>
      </c>
      <c r="D8">
        <v>4.4595840685774766</v>
      </c>
      <c r="E8">
        <v>4.460776312794461E-3</v>
      </c>
      <c r="F8">
        <v>1.0580601666228011E-2</v>
      </c>
      <c r="G8">
        <v>2.091467469491021E-2</v>
      </c>
      <c r="H8">
        <v>3.3379340353647413E-5</v>
      </c>
      <c r="I8">
        <v>8.8919960485125558E-4</v>
      </c>
      <c r="J8">
        <v>1.7376249005520241E-4</v>
      </c>
      <c r="K8">
        <v>5.9638077865160248E-4</v>
      </c>
      <c r="L8">
        <v>4.5457622966673701E-4</v>
      </c>
      <c r="M8">
        <v>2.3341288416082839E-3</v>
      </c>
      <c r="N8">
        <v>2.7104053422346401E-5</v>
      </c>
      <c r="O8">
        <v>4.1112665349905883E-5</v>
      </c>
      <c r="P8">
        <v>2.912538779137927E-3</v>
      </c>
      <c r="Q8">
        <v>1.343481035649854E-5</v>
      </c>
      <c r="R8">
        <v>4.5568316212444719E-7</v>
      </c>
      <c r="S8">
        <v>5.439842899292988E-5</v>
      </c>
      <c r="T8">
        <v>1.373230990401045E-7</v>
      </c>
      <c r="U8">
        <v>1.3549991482875899E-6</v>
      </c>
      <c r="V8">
        <v>4.1687506030744538E-4</v>
      </c>
      <c r="W8">
        <v>1.3394449600148081E-3</v>
      </c>
      <c r="X8">
        <v>4.4103584477798692E-3</v>
      </c>
      <c r="Y8">
        <v>1.4720810740762781E-4</v>
      </c>
      <c r="Z8">
        <v>0</v>
      </c>
      <c r="AA8">
        <v>1.5420159043459181</v>
      </c>
      <c r="AB8">
        <v>0.38067874825216319</v>
      </c>
      <c r="AC8">
        <v>2.4870875127020975</v>
      </c>
    </row>
    <row r="9" spans="1:29" x14ac:dyDescent="0.25">
      <c r="A9" s="1">
        <v>7</v>
      </c>
      <c r="B9" t="s">
        <v>34</v>
      </c>
      <c r="C9" t="s">
        <v>27</v>
      </c>
      <c r="D9">
        <v>4.7649454112354181</v>
      </c>
      <c r="E9">
        <v>0.11102322452613959</v>
      </c>
      <c r="F9">
        <v>1.810861352797017E-2</v>
      </c>
      <c r="G9">
        <v>4.4327527782488038E-2</v>
      </c>
      <c r="H9">
        <v>3.8069217529454828E-5</v>
      </c>
      <c r="I9">
        <v>1.0744851158769231E-3</v>
      </c>
      <c r="J9">
        <v>2.085693333614092E-4</v>
      </c>
      <c r="K9">
        <v>1.697622871425571E-3</v>
      </c>
      <c r="L9">
        <v>5.8743170827755718E-4</v>
      </c>
      <c r="M9">
        <v>3.338108115357711E-3</v>
      </c>
      <c r="N9">
        <v>3.149480810926924E-5</v>
      </c>
      <c r="O9">
        <v>1.0364982559765199E-4</v>
      </c>
      <c r="P9">
        <v>3.808397360833147E-3</v>
      </c>
      <c r="Q9">
        <v>2.7165509980847968E-5</v>
      </c>
      <c r="R9">
        <v>4.702068263715078E-7</v>
      </c>
      <c r="S9">
        <v>5.7481832825853718E-5</v>
      </c>
      <c r="T9">
        <v>4.8477227320119744E-7</v>
      </c>
      <c r="U9">
        <v>2.2053686526492519E-6</v>
      </c>
      <c r="V9">
        <v>7.2382624542016878E-4</v>
      </c>
      <c r="W9">
        <v>2.526123831490013E-3</v>
      </c>
      <c r="X9">
        <v>4.4704821362772139E-3</v>
      </c>
      <c r="Y9">
        <v>2.5195233788745771E-4</v>
      </c>
      <c r="Z9">
        <v>0</v>
      </c>
      <c r="AA9">
        <v>1.6817027490779966</v>
      </c>
      <c r="AB9">
        <v>0.40374776626053877</v>
      </c>
      <c r="AC9">
        <v>2.4870875094622824</v>
      </c>
    </row>
    <row r="10" spans="1:29" x14ac:dyDescent="0.25">
      <c r="A10" s="1">
        <v>8</v>
      </c>
      <c r="B10" t="s">
        <v>34</v>
      </c>
      <c r="C10" t="s">
        <v>28</v>
      </c>
      <c r="D10">
        <v>4.614166857046909</v>
      </c>
      <c r="E10">
        <v>4.7473776782838949E-2</v>
      </c>
      <c r="F10">
        <v>1.4107366783253181E-2</v>
      </c>
      <c r="G10">
        <v>3.4227032883688641E-2</v>
      </c>
      <c r="H10">
        <v>3.5975591593702567E-5</v>
      </c>
      <c r="I10">
        <v>1.019814762690256E-3</v>
      </c>
      <c r="J10">
        <v>1.9456598323361701E-4</v>
      </c>
      <c r="K10">
        <v>1.0862768494666231E-3</v>
      </c>
      <c r="L10">
        <v>5.3874778954990116E-4</v>
      </c>
      <c r="M10">
        <v>2.8736080410952419E-3</v>
      </c>
      <c r="N10">
        <v>2.9920151701392569E-5</v>
      </c>
      <c r="O10">
        <v>7.1485311422341647E-5</v>
      </c>
      <c r="P10">
        <v>3.407950193712558E-3</v>
      </c>
      <c r="Q10">
        <v>2.1862579527177991E-5</v>
      </c>
      <c r="R10">
        <v>4.633067793183586E-7</v>
      </c>
      <c r="S10">
        <v>5.6264303264405472E-5</v>
      </c>
      <c r="T10">
        <v>2.9618911399729158E-7</v>
      </c>
      <c r="U10">
        <v>1.864054218519383E-6</v>
      </c>
      <c r="V10">
        <v>6.0571542729333878E-4</v>
      </c>
      <c r="W10">
        <v>2.0880262038061848E-3</v>
      </c>
      <c r="X10">
        <v>4.4435029580982E-3</v>
      </c>
      <c r="Y10">
        <v>2.1260368780806391E-4</v>
      </c>
      <c r="Z10">
        <v>0</v>
      </c>
      <c r="AA10">
        <v>1.6208793325420912</v>
      </c>
      <c r="AB10">
        <v>0.39370289414613913</v>
      </c>
      <c r="AC10">
        <v>2.4870875105245225</v>
      </c>
    </row>
    <row r="11" spans="1:29" x14ac:dyDescent="0.25">
      <c r="A11" s="1">
        <v>9</v>
      </c>
      <c r="B11" t="s">
        <v>34</v>
      </c>
      <c r="C11" t="s">
        <v>29</v>
      </c>
      <c r="D11">
        <v>4.5293787287629721</v>
      </c>
      <c r="E11">
        <v>8.5076653109683771E-3</v>
      </c>
      <c r="F11">
        <v>1.2680439027550691E-2</v>
      </c>
      <c r="G11">
        <v>2.4583411976976111E-2</v>
      </c>
      <c r="H11">
        <v>3.4516318105589219E-5</v>
      </c>
      <c r="I11">
        <v>9.020600961437607E-4</v>
      </c>
      <c r="J11">
        <v>1.8068620746124881E-4</v>
      </c>
      <c r="K11">
        <v>7.3505392397668439E-4</v>
      </c>
      <c r="L11">
        <v>4.7575112588455469E-4</v>
      </c>
      <c r="M11">
        <v>2.5959835126927889E-3</v>
      </c>
      <c r="N11">
        <v>2.797459672717021E-5</v>
      </c>
      <c r="O11">
        <v>4.7731491349906923E-5</v>
      </c>
      <c r="P11">
        <v>3.1582340780101251E-3</v>
      </c>
      <c r="Q11">
        <v>1.7403781689294249E-5</v>
      </c>
      <c r="R11">
        <v>4.6188351325297188E-7</v>
      </c>
      <c r="S11">
        <v>5.5115806073205569E-5</v>
      </c>
      <c r="T11">
        <v>2.3763069911862549E-7</v>
      </c>
      <c r="U11">
        <v>1.545592868689409E-6</v>
      </c>
      <c r="V11">
        <v>4.7059889559765742E-4</v>
      </c>
      <c r="W11">
        <v>1.5089034544533461E-3</v>
      </c>
      <c r="X11">
        <v>4.431192493218529E-3</v>
      </c>
      <c r="Y11">
        <v>1.6633070481319369E-4</v>
      </c>
      <c r="Z11">
        <v>0</v>
      </c>
      <c r="AA11">
        <v>1.592666347183135</v>
      </c>
      <c r="AB11">
        <v>0.38904357301561943</v>
      </c>
      <c r="AC11">
        <v>2.4870875106554444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1"/>
  <sheetViews>
    <sheetView workbookViewId="0"/>
  </sheetViews>
  <sheetFormatPr defaultRowHeight="15" x14ac:dyDescent="0.25"/>
  <sheetData>
    <row r="1" spans="1:13" x14ac:dyDescent="0.25">
      <c r="B1" s="1" t="s">
        <v>0</v>
      </c>
      <c r="C1" s="1" t="s">
        <v>1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38</v>
      </c>
      <c r="I1" s="1" t="s">
        <v>14</v>
      </c>
      <c r="J1" s="1" t="s">
        <v>14</v>
      </c>
      <c r="K1" s="1" t="s">
        <v>14</v>
      </c>
      <c r="L1" s="1" t="s">
        <v>39</v>
      </c>
      <c r="M1" s="1" t="s">
        <v>19</v>
      </c>
    </row>
    <row r="2" spans="1:13" x14ac:dyDescent="0.25">
      <c r="A2" s="1">
        <v>0</v>
      </c>
      <c r="B2" t="s">
        <v>35</v>
      </c>
      <c r="C2" t="s">
        <v>20</v>
      </c>
      <c r="D2">
        <v>2.3990751970328539</v>
      </c>
      <c r="E2">
        <v>0.32292122580615501</v>
      </c>
      <c r="F2">
        <v>5.1320088533994737E-2</v>
      </c>
      <c r="G2">
        <v>1.6209503073538401E-2</v>
      </c>
      <c r="H2">
        <v>0.1042544840978092</v>
      </c>
      <c r="I2">
        <v>4.8331156622042957E-6</v>
      </c>
      <c r="J2">
        <v>1.5601674445605181E-3</v>
      </c>
      <c r="K2">
        <v>5.4132434833226708E-3</v>
      </c>
      <c r="L2">
        <v>1.897391694870993</v>
      </c>
      <c r="M2">
        <v>0</v>
      </c>
    </row>
    <row r="3" spans="1:13" x14ac:dyDescent="0.25">
      <c r="A3" s="1">
        <v>1</v>
      </c>
      <c r="B3" t="s">
        <v>35</v>
      </c>
      <c r="C3" t="s">
        <v>21</v>
      </c>
      <c r="D3">
        <v>2.1519213145391412</v>
      </c>
      <c r="E3">
        <v>0.30898767382703152</v>
      </c>
      <c r="F3">
        <v>3.8155151007386187E-2</v>
      </c>
      <c r="G3">
        <v>1.598108859471932E-2</v>
      </c>
      <c r="H3">
        <v>0.1035592013147192</v>
      </c>
      <c r="I3">
        <v>4.4212345562629348E-6</v>
      </c>
      <c r="J3">
        <v>1.46373836041473E-3</v>
      </c>
      <c r="K3">
        <v>5.1355707409630851E-3</v>
      </c>
      <c r="L3">
        <v>1.6786344516007241</v>
      </c>
      <c r="M3">
        <v>0</v>
      </c>
    </row>
    <row r="4" spans="1:13" x14ac:dyDescent="0.25">
      <c r="A4" s="1">
        <v>2</v>
      </c>
      <c r="B4" t="s">
        <v>35</v>
      </c>
      <c r="C4" t="s">
        <v>22</v>
      </c>
      <c r="D4">
        <v>1.9406128370154081</v>
      </c>
      <c r="E4">
        <v>0.30206041244531362</v>
      </c>
      <c r="F4">
        <v>4.6086393751925477E-2</v>
      </c>
      <c r="G4">
        <v>1.607793456641525E-2</v>
      </c>
      <c r="H4">
        <v>0.103060321274879</v>
      </c>
      <c r="I4">
        <v>4.4509540483611871E-6</v>
      </c>
      <c r="J4">
        <v>1.442784611916191E-3</v>
      </c>
      <c r="K4">
        <v>4.9834064917183337E-3</v>
      </c>
      <c r="L4">
        <v>1.46689713099452</v>
      </c>
      <c r="M4">
        <v>0</v>
      </c>
    </row>
    <row r="5" spans="1:13" x14ac:dyDescent="0.25">
      <c r="A5" s="1">
        <v>3</v>
      </c>
      <c r="B5" t="s">
        <v>35</v>
      </c>
      <c r="C5" t="s">
        <v>23</v>
      </c>
      <c r="D5">
        <v>1.8971083255038641</v>
      </c>
      <c r="E5">
        <v>0.30732380085239941</v>
      </c>
      <c r="F5">
        <v>6.2679910626577545E-2</v>
      </c>
      <c r="G5">
        <v>1.6339227334471788E-2</v>
      </c>
      <c r="H5">
        <v>0.1020909024928441</v>
      </c>
      <c r="I5">
        <v>4.6197873115056554E-6</v>
      </c>
      <c r="J5">
        <v>1.428952688615918E-3</v>
      </c>
      <c r="K5">
        <v>4.7608026122316419E-3</v>
      </c>
      <c r="L5">
        <v>1.4024801073326809</v>
      </c>
      <c r="M5">
        <v>0</v>
      </c>
    </row>
    <row r="6" spans="1:13" x14ac:dyDescent="0.25">
      <c r="A6" s="1">
        <v>4</v>
      </c>
      <c r="B6" t="s">
        <v>35</v>
      </c>
      <c r="C6" t="s">
        <v>24</v>
      </c>
      <c r="D6">
        <v>1.538271021178349</v>
      </c>
      <c r="E6">
        <v>0.25983558026878689</v>
      </c>
      <c r="F6">
        <v>1.762308555606729E-2</v>
      </c>
      <c r="G6">
        <v>1.551713341106995E-2</v>
      </c>
      <c r="H6">
        <v>9.7628625683438677E-2</v>
      </c>
      <c r="I6">
        <v>2.944277570154814E-6</v>
      </c>
      <c r="J6">
        <v>9.423391268020523E-4</v>
      </c>
      <c r="K6">
        <v>3.187764261491228E-3</v>
      </c>
      <c r="L6">
        <v>1.143533535676992</v>
      </c>
      <c r="M6">
        <v>0</v>
      </c>
    </row>
    <row r="7" spans="1:13" x14ac:dyDescent="0.25">
      <c r="A7" s="1">
        <v>5</v>
      </c>
      <c r="B7" t="s">
        <v>35</v>
      </c>
      <c r="C7" t="s">
        <v>25</v>
      </c>
      <c r="D7">
        <v>1.235011769076686</v>
      </c>
      <c r="E7">
        <v>0.24315224600432869</v>
      </c>
      <c r="F7">
        <v>1.5910718175130029E-2</v>
      </c>
      <c r="G7">
        <v>1.541053876202199E-2</v>
      </c>
      <c r="H7">
        <v>9.6238016889475697E-2</v>
      </c>
      <c r="I7">
        <v>2.6179648339862788E-6</v>
      </c>
      <c r="J7">
        <v>8.2170612341807335E-4</v>
      </c>
      <c r="K7">
        <v>2.7040374138212562E-3</v>
      </c>
      <c r="L7">
        <v>0.86077188562588858</v>
      </c>
      <c r="M7">
        <v>0</v>
      </c>
    </row>
    <row r="8" spans="1:13" x14ac:dyDescent="0.25">
      <c r="A8" s="1">
        <v>6</v>
      </c>
      <c r="B8" t="s">
        <v>35</v>
      </c>
      <c r="C8" t="s">
        <v>26</v>
      </c>
      <c r="D8">
        <v>1.154061313732617</v>
      </c>
      <c r="E8">
        <v>0.2355715821537625</v>
      </c>
      <c r="F8">
        <v>1.8408839463380958E-2</v>
      </c>
      <c r="G8">
        <v>1.5407911779979031E-2</v>
      </c>
      <c r="H8">
        <v>9.5481103594108038E-2</v>
      </c>
      <c r="I8">
        <v>2.5167313554924361E-6</v>
      </c>
      <c r="J8">
        <v>7.742901808642826E-4</v>
      </c>
      <c r="K8">
        <v>2.4878415119910981E-3</v>
      </c>
      <c r="L8">
        <v>0.7859272262012732</v>
      </c>
      <c r="M8">
        <v>0</v>
      </c>
    </row>
    <row r="9" spans="1:13" x14ac:dyDescent="0.25">
      <c r="A9" s="1">
        <v>7</v>
      </c>
      <c r="B9" t="s">
        <v>35</v>
      </c>
      <c r="C9" t="s">
        <v>27</v>
      </c>
      <c r="D9">
        <v>1.9581541027618099</v>
      </c>
      <c r="E9">
        <v>0.2960962596485861</v>
      </c>
      <c r="F9">
        <v>3.3612732923346628E-2</v>
      </c>
      <c r="G9">
        <v>1.5865174035849829E-2</v>
      </c>
      <c r="H9">
        <v>0.1022662252574716</v>
      </c>
      <c r="I9">
        <v>4.0961800201548603E-6</v>
      </c>
      <c r="J9">
        <v>1.344411330501195E-3</v>
      </c>
      <c r="K9">
        <v>4.6919402588570802E-3</v>
      </c>
      <c r="L9">
        <v>1.504273246881715</v>
      </c>
      <c r="M9">
        <v>0</v>
      </c>
    </row>
    <row r="10" spans="1:13" x14ac:dyDescent="0.25">
      <c r="A10" s="1">
        <v>8</v>
      </c>
      <c r="B10" t="s">
        <v>35</v>
      </c>
      <c r="C10" t="s">
        <v>28</v>
      </c>
      <c r="D10">
        <v>1.5210411084871229</v>
      </c>
      <c r="E10">
        <v>0.26901122474317568</v>
      </c>
      <c r="F10">
        <v>2.431599742206899E-2</v>
      </c>
      <c r="G10">
        <v>1.562330561090268E-2</v>
      </c>
      <c r="H10">
        <v>9.9854894853051851E-2</v>
      </c>
      <c r="I10">
        <v>3.4622336892347439E-6</v>
      </c>
      <c r="J10">
        <v>1.125036137698806E-3</v>
      </c>
      <c r="K10">
        <v>3.878231971473931E-3</v>
      </c>
      <c r="L10">
        <v>1.1072289534338811</v>
      </c>
      <c r="M10">
        <v>0</v>
      </c>
    </row>
    <row r="11" spans="1:13" x14ac:dyDescent="0.25">
      <c r="A11" s="1">
        <v>9</v>
      </c>
      <c r="B11" t="s">
        <v>35</v>
      </c>
      <c r="C11" t="s">
        <v>29</v>
      </c>
      <c r="D11">
        <v>1.3222980408833731</v>
      </c>
      <c r="E11">
        <v>0.25968582070672391</v>
      </c>
      <c r="F11">
        <v>2.6169942208857631E-2</v>
      </c>
      <c r="G11">
        <v>1.5619665590887399E-2</v>
      </c>
      <c r="H11">
        <v>9.6336493466909756E-2</v>
      </c>
      <c r="I11">
        <v>2.870733933945282E-6</v>
      </c>
      <c r="J11">
        <v>8.7407508551625866E-4</v>
      </c>
      <c r="K11">
        <v>2.8025882090230601E-3</v>
      </c>
      <c r="L11">
        <v>0.9208065828980001</v>
      </c>
      <c r="M11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1"/>
  <sheetViews>
    <sheetView workbookViewId="0"/>
  </sheetViews>
  <sheetFormatPr defaultRowHeight="15" x14ac:dyDescent="0.25"/>
  <sheetData>
    <row r="1" spans="1:13" x14ac:dyDescent="0.25">
      <c r="B1" s="1" t="s">
        <v>0</v>
      </c>
      <c r="C1" s="1" t="s">
        <v>1</v>
      </c>
      <c r="D1" s="1" t="s">
        <v>40</v>
      </c>
      <c r="E1" s="1" t="s">
        <v>36</v>
      </c>
      <c r="F1" s="1" t="s">
        <v>37</v>
      </c>
      <c r="G1" s="1" t="s">
        <v>38</v>
      </c>
      <c r="H1" s="1" t="s">
        <v>38</v>
      </c>
      <c r="I1" s="1" t="s">
        <v>14</v>
      </c>
      <c r="J1" s="1" t="s">
        <v>14</v>
      </c>
      <c r="K1" s="1" t="s">
        <v>14</v>
      </c>
      <c r="L1" s="1" t="s">
        <v>41</v>
      </c>
      <c r="M1" s="1" t="s">
        <v>19</v>
      </c>
    </row>
    <row r="2" spans="1:13" x14ac:dyDescent="0.25">
      <c r="A2" s="1">
        <v>0</v>
      </c>
      <c r="B2" t="s">
        <v>40</v>
      </c>
      <c r="C2" t="s">
        <v>20</v>
      </c>
      <c r="D2">
        <v>4.0635584200231838</v>
      </c>
      <c r="E2">
        <v>0.32292122580615501</v>
      </c>
      <c r="F2">
        <v>5.1320088533994737E-2</v>
      </c>
      <c r="G2">
        <v>1.6209503073538401E-2</v>
      </c>
      <c r="H2">
        <v>0.1042544840978092</v>
      </c>
      <c r="I2">
        <v>4.8331156622042957E-6</v>
      </c>
      <c r="J2">
        <v>1.5601674445605181E-3</v>
      </c>
      <c r="K2">
        <v>5.4132434833226708E-3</v>
      </c>
      <c r="L2">
        <v>3.5618749575377731</v>
      </c>
      <c r="M2">
        <v>0</v>
      </c>
    </row>
    <row r="3" spans="1:13" x14ac:dyDescent="0.25">
      <c r="A3" s="1">
        <v>1</v>
      </c>
      <c r="B3" t="s">
        <v>40</v>
      </c>
      <c r="C3" t="s">
        <v>21</v>
      </c>
      <c r="D3">
        <v>3.3599393270284952</v>
      </c>
      <c r="E3">
        <v>0.30898767382703152</v>
      </c>
      <c r="F3">
        <v>3.8155151007386187E-2</v>
      </c>
      <c r="G3">
        <v>1.598108859471932E-2</v>
      </c>
      <c r="H3">
        <v>0.1035592013147192</v>
      </c>
      <c r="I3">
        <v>4.4212345562629348E-6</v>
      </c>
      <c r="J3">
        <v>1.46373836041473E-3</v>
      </c>
      <c r="K3">
        <v>5.1355707409630851E-3</v>
      </c>
      <c r="L3">
        <v>2.8866524526395119</v>
      </c>
      <c r="M3">
        <v>0</v>
      </c>
    </row>
    <row r="4" spans="1:13" x14ac:dyDescent="0.25">
      <c r="A4" s="1">
        <v>2</v>
      </c>
      <c r="B4" t="s">
        <v>40</v>
      </c>
      <c r="C4" t="s">
        <v>22</v>
      </c>
      <c r="D4">
        <v>2.920947784216021</v>
      </c>
      <c r="E4">
        <v>0.30206041244531362</v>
      </c>
      <c r="F4">
        <v>4.6086393751925477E-2</v>
      </c>
      <c r="G4">
        <v>1.607793456641525E-2</v>
      </c>
      <c r="H4">
        <v>0.103060321274879</v>
      </c>
      <c r="I4">
        <v>4.4509540483611871E-6</v>
      </c>
      <c r="J4">
        <v>1.442784611916191E-3</v>
      </c>
      <c r="K4">
        <v>4.9834064917183337E-3</v>
      </c>
      <c r="L4">
        <v>2.447232078195134</v>
      </c>
      <c r="M4">
        <v>0</v>
      </c>
    </row>
    <row r="5" spans="1:13" x14ac:dyDescent="0.25">
      <c r="A5" s="1">
        <v>3</v>
      </c>
      <c r="B5" t="s">
        <v>40</v>
      </c>
      <c r="C5" t="s">
        <v>23</v>
      </c>
      <c r="D5">
        <v>2.7387698013796919</v>
      </c>
      <c r="E5">
        <v>0.30732380085239941</v>
      </c>
      <c r="F5">
        <v>6.2679910626577545E-2</v>
      </c>
      <c r="G5">
        <v>1.6339227334471788E-2</v>
      </c>
      <c r="H5">
        <v>0.1020909024928441</v>
      </c>
      <c r="I5">
        <v>4.6197873115056554E-6</v>
      </c>
      <c r="J5">
        <v>1.428952688615918E-3</v>
      </c>
      <c r="K5">
        <v>4.7608026122316419E-3</v>
      </c>
      <c r="L5">
        <v>2.2441415832085019</v>
      </c>
      <c r="M5">
        <v>0</v>
      </c>
    </row>
    <row r="6" spans="1:13" x14ac:dyDescent="0.25">
      <c r="A6" s="1">
        <v>4</v>
      </c>
      <c r="B6" t="s">
        <v>40</v>
      </c>
      <c r="C6" t="s">
        <v>24</v>
      </c>
      <c r="D6">
        <v>2.2950944531449462</v>
      </c>
      <c r="E6">
        <v>0.25983558026878689</v>
      </c>
      <c r="F6">
        <v>1.762308555606729E-2</v>
      </c>
      <c r="G6">
        <v>1.551713341106995E-2</v>
      </c>
      <c r="H6">
        <v>9.7628625683438677E-2</v>
      </c>
      <c r="I6">
        <v>2.944277570154814E-6</v>
      </c>
      <c r="J6">
        <v>9.423391268020523E-4</v>
      </c>
      <c r="K6">
        <v>3.187764261491228E-3</v>
      </c>
      <c r="L6">
        <v>1.9003569604698149</v>
      </c>
      <c r="M6">
        <v>0</v>
      </c>
    </row>
    <row r="7" spans="1:13" x14ac:dyDescent="0.25">
      <c r="A7" s="1">
        <v>5</v>
      </c>
      <c r="B7" t="s">
        <v>40</v>
      </c>
      <c r="C7" t="s">
        <v>25</v>
      </c>
      <c r="D7">
        <v>1.8355175587360071</v>
      </c>
      <c r="E7">
        <v>0.24315224600432869</v>
      </c>
      <c r="F7">
        <v>1.5910718175130029E-2</v>
      </c>
      <c r="G7">
        <v>1.541053876202199E-2</v>
      </c>
      <c r="H7">
        <v>9.6238016889475697E-2</v>
      </c>
      <c r="I7">
        <v>2.6179648339862788E-6</v>
      </c>
      <c r="J7">
        <v>8.2170612341807335E-4</v>
      </c>
      <c r="K7">
        <v>2.7040374138212562E-3</v>
      </c>
      <c r="L7">
        <v>1.461277675285213</v>
      </c>
      <c r="M7">
        <v>0</v>
      </c>
    </row>
    <row r="8" spans="1:13" x14ac:dyDescent="0.25">
      <c r="A8" s="1">
        <v>6</v>
      </c>
      <c r="B8" t="s">
        <v>40</v>
      </c>
      <c r="C8" t="s">
        <v>26</v>
      </c>
      <c r="D8">
        <v>1.6775179614556699</v>
      </c>
      <c r="E8">
        <v>0.2355715821537625</v>
      </c>
      <c r="F8">
        <v>1.8408839463380958E-2</v>
      </c>
      <c r="G8">
        <v>1.5407911779979031E-2</v>
      </c>
      <c r="H8">
        <v>9.5481103594108038E-2</v>
      </c>
      <c r="I8">
        <v>2.5167313554924361E-6</v>
      </c>
      <c r="J8">
        <v>7.742901808642826E-4</v>
      </c>
      <c r="K8">
        <v>2.4878415119910981E-3</v>
      </c>
      <c r="L8">
        <v>1.3093838739243171</v>
      </c>
      <c r="M8">
        <v>0</v>
      </c>
    </row>
    <row r="9" spans="1:13" x14ac:dyDescent="0.25">
      <c r="A9" s="1">
        <v>7</v>
      </c>
      <c r="B9" t="s">
        <v>40</v>
      </c>
      <c r="C9" t="s">
        <v>27</v>
      </c>
      <c r="D9">
        <v>3.1168135871939779</v>
      </c>
      <c r="E9">
        <v>0.2960962596485861</v>
      </c>
      <c r="F9">
        <v>3.3612732923346628E-2</v>
      </c>
      <c r="G9">
        <v>1.5865174035849829E-2</v>
      </c>
      <c r="H9">
        <v>0.1022662252574716</v>
      </c>
      <c r="I9">
        <v>4.0961800201548603E-6</v>
      </c>
      <c r="J9">
        <v>1.344411330501195E-3</v>
      </c>
      <c r="K9">
        <v>4.6919402588570802E-3</v>
      </c>
      <c r="L9">
        <v>2.662932720331193</v>
      </c>
      <c r="M9">
        <v>0</v>
      </c>
    </row>
    <row r="10" spans="1:13" x14ac:dyDescent="0.25">
      <c r="A10" s="1">
        <v>8</v>
      </c>
      <c r="B10" t="s">
        <v>40</v>
      </c>
      <c r="C10" t="s">
        <v>28</v>
      </c>
      <c r="D10">
        <v>2.3795894844844709</v>
      </c>
      <c r="E10">
        <v>0.26901122474317568</v>
      </c>
      <c r="F10">
        <v>2.431599742206899E-2</v>
      </c>
      <c r="G10">
        <v>1.562330561090268E-2</v>
      </c>
      <c r="H10">
        <v>9.9854894853051851E-2</v>
      </c>
      <c r="I10">
        <v>3.4622336892347439E-6</v>
      </c>
      <c r="J10">
        <v>1.125036137698806E-3</v>
      </c>
      <c r="K10">
        <v>3.878231971473931E-3</v>
      </c>
      <c r="L10">
        <v>1.9657773294312251</v>
      </c>
      <c r="M10">
        <v>0</v>
      </c>
    </row>
    <row r="11" spans="1:13" x14ac:dyDescent="0.25">
      <c r="A11" s="1">
        <v>9</v>
      </c>
      <c r="B11" t="s">
        <v>40</v>
      </c>
      <c r="C11" t="s">
        <v>29</v>
      </c>
      <c r="D11">
        <v>1.8503324062278219</v>
      </c>
      <c r="E11">
        <v>0.25968582070672391</v>
      </c>
      <c r="F11">
        <v>2.6169942208857631E-2</v>
      </c>
      <c r="G11">
        <v>1.5619665590887399E-2</v>
      </c>
      <c r="H11">
        <v>9.6336493466909756E-2</v>
      </c>
      <c r="I11">
        <v>2.870733933945282E-6</v>
      </c>
      <c r="J11">
        <v>8.7407508551625866E-4</v>
      </c>
      <c r="K11">
        <v>2.8025882090230601E-3</v>
      </c>
      <c r="L11">
        <v>1.448840948242454</v>
      </c>
      <c r="M11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D273D-583A-4357-8767-B2CE3C4BA43A}">
  <dimension ref="A1:O15"/>
  <sheetViews>
    <sheetView topLeftCell="D1" workbookViewId="0">
      <selection activeCell="K18" sqref="K18"/>
    </sheetView>
  </sheetViews>
  <sheetFormatPr defaultRowHeight="15" x14ac:dyDescent="0.25"/>
  <cols>
    <col min="1" max="1" width="11.140625" bestFit="1" customWidth="1"/>
    <col min="2" max="2" width="13.85546875" bestFit="1" customWidth="1"/>
    <col min="3" max="3" width="19.7109375" bestFit="1" customWidth="1"/>
    <col min="4" max="4" width="11.42578125" bestFit="1" customWidth="1"/>
    <col min="5" max="5" width="13.85546875" bestFit="1" customWidth="1"/>
    <col min="6" max="6" width="19.7109375" bestFit="1" customWidth="1"/>
    <col min="8" max="8" width="13.42578125" bestFit="1" customWidth="1"/>
    <col min="9" max="9" width="12" bestFit="1" customWidth="1"/>
    <col min="10" max="10" width="15.7109375" bestFit="1" customWidth="1"/>
    <col min="12" max="12" width="13.85546875" bestFit="1" customWidth="1"/>
    <col min="13" max="13" width="24.5703125" bestFit="1" customWidth="1"/>
    <col min="14" max="14" width="13.85546875" bestFit="1" customWidth="1"/>
    <col min="15" max="15" width="24.5703125" bestFit="1" customWidth="1"/>
  </cols>
  <sheetData>
    <row r="1" spans="1:15" ht="17.25" x14ac:dyDescent="0.25">
      <c r="A1" s="3" t="s">
        <v>42</v>
      </c>
      <c r="B1" s="3" t="s">
        <v>43</v>
      </c>
      <c r="C1" s="3" t="s">
        <v>44</v>
      </c>
      <c r="D1" s="3" t="s">
        <v>45</v>
      </c>
      <c r="E1" s="3" t="s">
        <v>43</v>
      </c>
      <c r="F1" s="3" t="s">
        <v>44</v>
      </c>
      <c r="H1" s="3" t="s">
        <v>50</v>
      </c>
      <c r="I1" s="3" t="s">
        <v>47</v>
      </c>
      <c r="J1" s="3" t="s">
        <v>48</v>
      </c>
      <c r="L1" s="8" t="s">
        <v>43</v>
      </c>
      <c r="M1" s="8" t="s">
        <v>54</v>
      </c>
      <c r="N1" s="9" t="s">
        <v>43</v>
      </c>
      <c r="O1" s="9" t="s">
        <v>54</v>
      </c>
    </row>
    <row r="2" spans="1:15" x14ac:dyDescent="0.25">
      <c r="A2" s="2">
        <v>14.174001243299999</v>
      </c>
      <c r="B2" s="2">
        <v>0.29183908706271927</v>
      </c>
      <c r="C2" s="2">
        <v>1.7671355246452527</v>
      </c>
      <c r="D2" s="2">
        <v>14.174001243299999</v>
      </c>
      <c r="E2" s="2">
        <v>0.28727067694617225</v>
      </c>
      <c r="F2" s="2">
        <v>1.7394730210054847</v>
      </c>
      <c r="H2" s="3" t="s">
        <v>51</v>
      </c>
      <c r="I2" s="2">
        <v>2.8998114999999991E-2</v>
      </c>
      <c r="J2" s="2">
        <v>5.904674911480768E-2</v>
      </c>
      <c r="L2" s="5">
        <v>1.5529615759019688</v>
      </c>
      <c r="M2" s="5">
        <v>7.6640674917755538</v>
      </c>
      <c r="N2" s="5">
        <v>0.41328841732184762</v>
      </c>
      <c r="O2" s="5">
        <v>2.4870875078361037</v>
      </c>
    </row>
    <row r="3" spans="1:15" ht="17.25" x14ac:dyDescent="0.25">
      <c r="A3" s="2">
        <v>14.174001243299999</v>
      </c>
      <c r="B3" s="2">
        <v>0.28810058957747414</v>
      </c>
      <c r="C3" s="2">
        <v>1.7444982837551939</v>
      </c>
      <c r="D3" s="2">
        <v>14.174001243299999</v>
      </c>
      <c r="E3" s="2">
        <v>0.28359070140157644</v>
      </c>
      <c r="F3" s="2">
        <v>1.7171901404628815</v>
      </c>
      <c r="H3" s="3" t="s">
        <v>49</v>
      </c>
      <c r="I3" s="2">
        <f>4.36956877723609*A2/100</f>
        <v>0.61934273281229191</v>
      </c>
      <c r="J3" s="2">
        <f>I3*J2/I2</f>
        <v>1.2611224888392496</v>
      </c>
      <c r="L3" s="5">
        <v>1.5492230784167238</v>
      </c>
      <c r="M3" s="5">
        <v>7.6640674915452065</v>
      </c>
      <c r="N3" s="5">
        <v>0.40960844177725175</v>
      </c>
      <c r="O3" s="5">
        <v>2.4870875085855886</v>
      </c>
    </row>
    <row r="4" spans="1:15" x14ac:dyDescent="0.25">
      <c r="A4" s="2">
        <v>14.174001243299999</v>
      </c>
      <c r="B4" s="2">
        <v>0.28543864482603476</v>
      </c>
      <c r="C4" s="2">
        <v>1.7283797535670131</v>
      </c>
      <c r="D4" s="2">
        <v>14.174001243299999</v>
      </c>
      <c r="E4" s="2">
        <v>0.2809704263779807</v>
      </c>
      <c r="F4" s="2">
        <v>1.7013239275948924</v>
      </c>
      <c r="H4" s="3" t="s">
        <v>52</v>
      </c>
      <c r="I4" s="2">
        <v>2.8998114999999991E-2</v>
      </c>
      <c r="J4" s="2">
        <v>5.994080484482597E-3</v>
      </c>
      <c r="L4" s="5">
        <v>1.5465611336652842</v>
      </c>
      <c r="M4" s="5">
        <v>7.6640674914023341</v>
      </c>
      <c r="N4" s="5">
        <v>0.40698816675365601</v>
      </c>
      <c r="O4" s="5">
        <v>2.4870875090995366</v>
      </c>
    </row>
    <row r="5" spans="1:15" x14ac:dyDescent="0.25">
      <c r="A5" s="2">
        <v>14.174001243299999</v>
      </c>
      <c r="B5" s="2">
        <v>0.28395204151183617</v>
      </c>
      <c r="C5" s="2">
        <v>1.7193781165552748</v>
      </c>
      <c r="D5" s="2">
        <v>14.174001243299999</v>
      </c>
      <c r="E5" s="2">
        <v>0.27950709415364328</v>
      </c>
      <c r="F5" s="2">
        <v>1.6924632010074727</v>
      </c>
      <c r="H5" s="3" t="s">
        <v>53</v>
      </c>
      <c r="I5" s="7">
        <f>4.30116813081211*D2/100</f>
        <v>0.60964762433773179</v>
      </c>
      <c r="J5" s="2">
        <f>I5*J4/I4</f>
        <v>0.12601774037567534</v>
      </c>
      <c r="L5" s="5">
        <v>1.5450745303510858</v>
      </c>
      <c r="M5" s="5">
        <v>7.6640674913841584</v>
      </c>
      <c r="N5" s="5">
        <v>0.40552483452931865</v>
      </c>
      <c r="O5" s="5">
        <v>2.4870875092355385</v>
      </c>
    </row>
    <row r="6" spans="1:15" x14ac:dyDescent="0.25">
      <c r="A6" s="2">
        <v>14.174001243299999</v>
      </c>
      <c r="B6" s="2">
        <v>0.2708739416884467</v>
      </c>
      <c r="C6" s="2">
        <v>1.6401879880999952</v>
      </c>
      <c r="D6" s="2">
        <v>14.174001243299999</v>
      </c>
      <c r="E6" s="2">
        <v>0.2666337171593291</v>
      </c>
      <c r="F6" s="2">
        <v>1.6145127042533678</v>
      </c>
      <c r="L6" s="5">
        <v>1.5319964305276963</v>
      </c>
      <c r="M6" s="5">
        <v>7.6640674907678461</v>
      </c>
      <c r="N6" s="5">
        <v>0.39265145753500441</v>
      </c>
      <c r="O6" s="5">
        <v>2.4870875104071035</v>
      </c>
    </row>
    <row r="7" spans="1:15" x14ac:dyDescent="0.25">
      <c r="A7" s="2">
        <v>14.174001243299999</v>
      </c>
      <c r="B7" s="2">
        <v>0.26259765083573644</v>
      </c>
      <c r="C7" s="2">
        <v>1.5900736332158676</v>
      </c>
      <c r="D7" s="2">
        <v>14.174001243299999</v>
      </c>
      <c r="E7" s="2">
        <v>0.25848698225897487</v>
      </c>
      <c r="F7" s="2">
        <v>1.5651828327917381</v>
      </c>
      <c r="L7" s="5">
        <v>1.523720139674986</v>
      </c>
      <c r="M7" s="5">
        <v>7.664067490274161</v>
      </c>
      <c r="N7" s="5">
        <v>0.38450472263465019</v>
      </c>
      <c r="O7" s="5">
        <v>2.4870875118820934</v>
      </c>
    </row>
    <row r="8" spans="1:15" x14ac:dyDescent="0.25">
      <c r="A8" s="2">
        <v>14.174001243299999</v>
      </c>
      <c r="B8" s="2">
        <v>0.25871083272126677</v>
      </c>
      <c r="C8" s="2">
        <v>1.5665382855794561</v>
      </c>
      <c r="D8" s="2">
        <v>14.174001243299999</v>
      </c>
      <c r="E8" s="2">
        <v>0.25466100787648788</v>
      </c>
      <c r="F8" s="2">
        <v>1.5420159043459181</v>
      </c>
      <c r="L8" s="5">
        <v>1.5198333215605164</v>
      </c>
      <c r="M8" s="5">
        <v>7.6640674900439452</v>
      </c>
      <c r="N8" s="5">
        <v>0.38067874825216319</v>
      </c>
      <c r="O8" s="5">
        <v>2.4870875127020975</v>
      </c>
    </row>
    <row r="9" spans="1:15" x14ac:dyDescent="0.25">
      <c r="A9" s="2">
        <v>14.174001243299999</v>
      </c>
      <c r="B9" s="2">
        <v>0.28214671286944959</v>
      </c>
      <c r="C9" s="2">
        <v>1.7084465432361213</v>
      </c>
      <c r="D9" s="2">
        <v>14.174001243299999</v>
      </c>
      <c r="E9" s="2">
        <v>0.27773002588486345</v>
      </c>
      <c r="F9" s="2">
        <v>1.6817027490779966</v>
      </c>
      <c r="L9" s="5">
        <v>1.5432692017086991</v>
      </c>
      <c r="M9" s="5">
        <v>7.6640674912127844</v>
      </c>
      <c r="N9" s="5">
        <v>0.40374776626053877</v>
      </c>
      <c r="O9" s="5">
        <v>2.4870875094622824</v>
      </c>
    </row>
    <row r="10" spans="1:15" x14ac:dyDescent="0.25">
      <c r="A10" s="2">
        <v>14.174001243299999</v>
      </c>
      <c r="B10" s="2">
        <v>0.27194209909302319</v>
      </c>
      <c r="C10" s="2">
        <v>1.6466558636492847</v>
      </c>
      <c r="D10" s="2">
        <v>14.174001243299999</v>
      </c>
      <c r="E10" s="2">
        <v>0.26768515377046381</v>
      </c>
      <c r="F10" s="2">
        <v>1.6208793325420912</v>
      </c>
      <c r="L10" s="5">
        <v>1.5330645879322728</v>
      </c>
      <c r="M10" s="5">
        <v>7.6640674906770707</v>
      </c>
      <c r="N10" s="5">
        <v>0.39370289414613913</v>
      </c>
      <c r="O10" s="5">
        <v>2.4870875105245225</v>
      </c>
    </row>
    <row r="11" spans="1:15" x14ac:dyDescent="0.25">
      <c r="A11" s="2">
        <v>14.174001243299999</v>
      </c>
      <c r="B11" s="2">
        <v>0.26720868167806838</v>
      </c>
      <c r="C11" s="2">
        <v>1.6179942126308127</v>
      </c>
      <c r="D11" s="2">
        <v>14.174001243299999</v>
      </c>
      <c r="E11" s="2">
        <v>0.26302583263994406</v>
      </c>
      <c r="F11" s="2">
        <v>1.592666347183135</v>
      </c>
      <c r="L11" s="5">
        <v>1.5283311705173179</v>
      </c>
      <c r="M11" s="5">
        <v>7.6640674906283612</v>
      </c>
      <c r="N11" s="5">
        <v>0.38904357301561943</v>
      </c>
      <c r="O11" s="5">
        <v>2.4870875106554444</v>
      </c>
    </row>
    <row r="12" spans="1:15" x14ac:dyDescent="0.25">
      <c r="L12" s="6"/>
    </row>
    <row r="13" spans="1:15" x14ac:dyDescent="0.25">
      <c r="L13" s="6"/>
    </row>
    <row r="14" spans="1:15" x14ac:dyDescent="0.25">
      <c r="L14" s="6"/>
    </row>
    <row r="15" spans="1:15" x14ac:dyDescent="0.25">
      <c r="L15" s="6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hydrogenBAU</vt:lpstr>
      <vt:lpstr>hydrogenBlue</vt:lpstr>
      <vt:lpstr>hydrogenBAUWOElec</vt:lpstr>
      <vt:lpstr>hydrogenBlueWOElec</vt:lpstr>
      <vt:lpstr>hydrogenWind</vt:lpstr>
      <vt:lpstr>hydrogenSolar</vt:lpstr>
      <vt:lpstr>heat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Nabera  Abhinandan</cp:lastModifiedBy>
  <dcterms:created xsi:type="dcterms:W3CDTF">2023-12-19T11:26:00Z</dcterms:created>
  <dcterms:modified xsi:type="dcterms:W3CDTF">2023-12-21T21:14:40Z</dcterms:modified>
</cp:coreProperties>
</file>