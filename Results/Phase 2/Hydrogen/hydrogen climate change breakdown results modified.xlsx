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Hydrogen\"/>
    </mc:Choice>
  </mc:AlternateContent>
  <xr:revisionPtr revIDLastSave="0" documentId="13_ncr:1_{30198207-D688-4700-A59B-C1E09DEDFB44}" xr6:coauthVersionLast="36" xr6:coauthVersionMax="36" xr10:uidLastSave="{00000000-0000-0000-0000-000000000000}"/>
  <bookViews>
    <workbookView xWindow="0" yWindow="0" windowWidth="28800" windowHeight="14025" activeTab="3" xr2:uid="{00000000-000D-0000-FFFF-FFFF00000000}"/>
  </bookViews>
  <sheets>
    <sheet name="hydrogenBAU" sheetId="1" r:id="rId1"/>
    <sheet name="hydrogenBlue" sheetId="2" r:id="rId2"/>
    <sheet name="hydrogenBAUWOElec" sheetId="3" r:id="rId3"/>
    <sheet name="hydrogenBlueWOElec" sheetId="4" r:id="rId4"/>
    <sheet name="hydrogenWind" sheetId="5" r:id="rId5"/>
    <sheet name="hydrogenSolar" sheetId="6" r:id="rId6"/>
    <sheet name="heat" sheetId="7" r:id="rId7"/>
  </sheets>
  <calcPr calcId="191029"/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8" i="7"/>
  <c r="F9" i="7"/>
  <c r="F10" i="7"/>
  <c r="F11" i="7"/>
  <c r="F2" i="7"/>
  <c r="E3" i="7"/>
  <c r="E4" i="7"/>
  <c r="E5" i="7"/>
  <c r="E6" i="7"/>
  <c r="E7" i="7"/>
  <c r="E8" i="7"/>
  <c r="E9" i="7"/>
  <c r="E10" i="7"/>
  <c r="E11" i="7"/>
  <c r="E2" i="7"/>
  <c r="C3" i="7"/>
  <c r="C4" i="7"/>
  <c r="C5" i="7"/>
  <c r="C6" i="7"/>
  <c r="C7" i="7"/>
  <c r="C8" i="7"/>
  <c r="C9" i="7"/>
  <c r="C10" i="7"/>
  <c r="C11" i="7"/>
  <c r="C2" i="7"/>
  <c r="B3" i="7"/>
  <c r="B4" i="7"/>
  <c r="B5" i="7"/>
  <c r="B6" i="7"/>
  <c r="B7" i="7"/>
  <c r="B8" i="7"/>
  <c r="B9" i="7"/>
  <c r="B10" i="7"/>
  <c r="B11" i="7"/>
  <c r="B2" i="7"/>
</calcChain>
</file>

<file path=xl/sharedStrings.xml><?xml version="1.0" encoding="utf-8"?>
<sst xmlns="http://schemas.openxmlformats.org/spreadsheetml/2006/main" count="256" uniqueCount="49">
  <si>
    <t>name</t>
  </si>
  <si>
    <t>database</t>
  </si>
  <si>
    <t>hydrogen production, steam methane reforming of natural gas, 25 bar</t>
  </si>
  <si>
    <t>chemical factory construction, organics</t>
  </si>
  <si>
    <t>market for aluminium oxide, metallurgical</t>
  </si>
  <si>
    <t>market for chromium oxide, flakes</t>
  </si>
  <si>
    <t>market for copper oxide</t>
  </si>
  <si>
    <t>market for liquid storage tank, chemicals, organics</t>
  </si>
  <si>
    <t>market for magnesium oxide</t>
  </si>
  <si>
    <t>market for molybdenum trioxide</t>
  </si>
  <si>
    <t>market for nickel, class 1</t>
  </si>
  <si>
    <t>market for portafer</t>
  </si>
  <si>
    <t>market for quicklime, milled, packed</t>
  </si>
  <si>
    <t>market for silica sand</t>
  </si>
  <si>
    <t>market for water, deionised</t>
  </si>
  <si>
    <t>market for zeolite, powder</t>
  </si>
  <si>
    <t>market for zinc oxide</t>
  </si>
  <si>
    <t>market group for electricity, high voltage</t>
  </si>
  <si>
    <t>market group for natural gas, high pressure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</si>
  <si>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</si>
  <si>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</si>
  <si>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</si>
  <si>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</si>
  <si>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</si>
  <si>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</si>
  <si>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</si>
  <si>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</si>
  <si>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</si>
  <si>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</si>
  <si>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</si>
  <si>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hydrogen production, steam methane reforming of natural gas, with CCS (MDEA, 98% eff.), 25 bar</t>
  </si>
  <si>
    <t>carbon dioxide storage at hydrogen production plant, pre, pipeline 400km, storage 3000m</t>
  </si>
  <si>
    <t>market for diethanolamine</t>
  </si>
  <si>
    <t>hydrogen production without electricity, steam reforming of natural gas, 25 bar</t>
  </si>
  <si>
    <t>hydrogen production without electricity, steam methane reforming of natural gas, with CCS (MDEA, 98% eff.), 25 bar</t>
  </si>
  <si>
    <t>hydrogen production, gaseous, 200 bar, from PEM electrolysis, from onshore wind electricity</t>
  </si>
  <si>
    <t>electrolyzer production, 1MWe, PEM, Balance of Plant</t>
  </si>
  <si>
    <t>electrolyzer production, 1MWe, PEM, Stack</t>
  </si>
  <si>
    <t>market for heat, from steam, in chemical industry</t>
  </si>
  <si>
    <t>electricity production, wind, &gt;3MW turbine, onshore</t>
  </si>
  <si>
    <t>hydrogen production, gaseous, 200 bar, from PEM electrolysis, from solar electricity</t>
  </si>
  <si>
    <t>electricity production, photovoltaic, 570kWp open ground installation, multi-Si</t>
  </si>
  <si>
    <t>SMR feed imapcts</t>
  </si>
  <si>
    <t>SMR fuel impacts</t>
  </si>
  <si>
    <t>% SMR fuel</t>
  </si>
  <si>
    <t>heat from natural gas</t>
  </si>
  <si>
    <t>% SMR CCS fuel</t>
  </si>
  <si>
    <t>SMR CCS fuel imapcts</t>
  </si>
  <si>
    <t>SMR CCS feed imapcts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</si>
</sst>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71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71" fontId="0" fillId="0" borderId="1" xfId="0" applyNumberFormat="1" applyFont="1" applyBorder="1" applyAlignment="1">
      <alignment horizontal="center"/>
    </xf>
    <xf numFmtId="17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"/>
  <sheetViews>
    <sheetView workbookViewId="0">
      <selection activeCell="K28" sqref="K28"/>
    </sheetView>
  </sheetViews>
  <sheetFormatPr defaultRowHeight="15" x14ac:dyDescent="0.25"/>
  <sheetData>
    <row r="1" spans="1:26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</row>
    <row r="2" spans="1:26" x14ac:dyDescent="0.25">
      <c r="A2" s="1">
        <v>0</v>
      </c>
      <c r="B2" t="s">
        <v>2</v>
      </c>
      <c r="C2" t="s">
        <v>20</v>
      </c>
      <c r="D2">
        <v>10.24507192971876</v>
      </c>
      <c r="E2">
        <v>2.2363657715259021E-2</v>
      </c>
      <c r="F2">
        <v>5.2972668728211048E-2</v>
      </c>
      <c r="G2">
        <v>3.9870999951249051E-5</v>
      </c>
      <c r="H2">
        <v>1.11504787793423E-3</v>
      </c>
      <c r="I2">
        <v>2.2045529694572061E-4</v>
      </c>
      <c r="J2">
        <v>2.082938453430559E-3</v>
      </c>
      <c r="K2">
        <v>3.8753588110664308E-3</v>
      </c>
      <c r="L2">
        <v>3.2812971008419839E-5</v>
      </c>
      <c r="M2">
        <v>1.2756965348521249E-4</v>
      </c>
      <c r="N2">
        <v>4.15777815009082E-3</v>
      </c>
      <c r="O2">
        <v>3.1463843579188017E-5</v>
      </c>
      <c r="P2">
        <v>4.7762301078091125E-7</v>
      </c>
      <c r="Q2">
        <v>5.8423116832153428E-5</v>
      </c>
      <c r="R2">
        <v>5.260035306051284E-7</v>
      </c>
      <c r="S2">
        <v>2.6024303300955089E-6</v>
      </c>
      <c r="T2">
        <v>8.400848151645762E-4</v>
      </c>
      <c r="U2">
        <v>2.914804860838993E-3</v>
      </c>
      <c r="V2">
        <v>4.4902178779148852E-3</v>
      </c>
      <c r="W2">
        <v>2.8743436474409261E-4</v>
      </c>
      <c r="X2">
        <v>-0.83470682154664444</v>
      </c>
      <c r="Y2">
        <v>2.058974611707971</v>
      </c>
      <c r="Z2">
        <v>8.9251899459641066</v>
      </c>
    </row>
    <row r="3" spans="1:26" x14ac:dyDescent="0.25">
      <c r="A3" s="1">
        <v>1</v>
      </c>
      <c r="B3" t="s">
        <v>2</v>
      </c>
      <c r="C3" t="s">
        <v>21</v>
      </c>
      <c r="D3">
        <v>10.243291150082021</v>
      </c>
      <c r="E3">
        <v>2.0057358024283611E-2</v>
      </c>
      <c r="F3">
        <v>4.9424175987306578E-2</v>
      </c>
      <c r="G3">
        <v>3.911753746663405E-5</v>
      </c>
      <c r="H3">
        <v>1.100074248113151E-3</v>
      </c>
      <c r="I3">
        <v>2.152958685212315E-4</v>
      </c>
      <c r="J3">
        <v>1.970042623701017E-3</v>
      </c>
      <c r="K3">
        <v>3.66482954191396E-3</v>
      </c>
      <c r="L3">
        <v>3.2270898362736131E-5</v>
      </c>
      <c r="M3">
        <v>1.197009649556328E-4</v>
      </c>
      <c r="N3">
        <v>4.0507368036655136E-3</v>
      </c>
      <c r="O3">
        <v>2.9570576362890852E-5</v>
      </c>
      <c r="P3">
        <v>4.7337951251293742E-7</v>
      </c>
      <c r="Q3">
        <v>5.8026899140564598E-5</v>
      </c>
      <c r="R3">
        <v>5.0258832003950641E-7</v>
      </c>
      <c r="S3">
        <v>2.3806496078013082E-6</v>
      </c>
      <c r="T3">
        <v>7.8816179266237953E-4</v>
      </c>
      <c r="U3">
        <v>2.7652897204929082E-3</v>
      </c>
      <c r="V3">
        <v>4.4807397090091596E-3</v>
      </c>
      <c r="W3">
        <v>2.7163929726161339E-4</v>
      </c>
      <c r="X3">
        <v>-0.80356805738769599</v>
      </c>
      <c r="Y3">
        <v>2.0325988733326681</v>
      </c>
      <c r="Z3">
        <v>8.9251899470263893</v>
      </c>
    </row>
    <row r="4" spans="1:26" x14ac:dyDescent="0.25">
      <c r="A4" s="1">
        <v>2</v>
      </c>
      <c r="B4" t="s">
        <v>2</v>
      </c>
      <c r="C4" t="s">
        <v>22</v>
      </c>
      <c r="D4">
        <v>10.26406291180963</v>
      </c>
      <c r="E4">
        <v>2.0301050774708011E-2</v>
      </c>
      <c r="F4">
        <v>4.7834791417598582E-2</v>
      </c>
      <c r="G4">
        <v>3.8767799598242832E-5</v>
      </c>
      <c r="H4">
        <v>1.084908857758598E-3</v>
      </c>
      <c r="I4">
        <v>2.121268381683207E-4</v>
      </c>
      <c r="J4">
        <v>1.8605205025408499E-3</v>
      </c>
      <c r="K4">
        <v>3.4220246220772938E-3</v>
      </c>
      <c r="L4">
        <v>3.1877729046066762E-5</v>
      </c>
      <c r="M4">
        <v>1.1323086905363601E-4</v>
      </c>
      <c r="N4">
        <v>3.9196287876787769E-3</v>
      </c>
      <c r="O4">
        <v>2.773715584498885E-5</v>
      </c>
      <c r="P4">
        <v>4.7274147903020663E-7</v>
      </c>
      <c r="Q4">
        <v>5.7612362497915897E-5</v>
      </c>
      <c r="R4">
        <v>4.2753043066419812E-7</v>
      </c>
      <c r="S4">
        <v>2.3966523093787529E-6</v>
      </c>
      <c r="T4">
        <v>7.7687907682583678E-4</v>
      </c>
      <c r="U4">
        <v>2.6833556462713582E-3</v>
      </c>
      <c r="V4">
        <v>4.4642582202440891E-3</v>
      </c>
      <c r="W4">
        <v>2.649056565987173E-4</v>
      </c>
      <c r="X4">
        <v>-0.7620424084315075</v>
      </c>
      <c r="Y4">
        <v>2.013818398393048</v>
      </c>
      <c r="Z4">
        <v>8.9251899486073558</v>
      </c>
    </row>
    <row r="5" spans="1:26" x14ac:dyDescent="0.25">
      <c r="A5" s="1">
        <v>3</v>
      </c>
      <c r="B5" t="s">
        <v>2</v>
      </c>
      <c r="C5" t="s">
        <v>23</v>
      </c>
      <c r="D5">
        <v>10.32203259234389</v>
      </c>
      <c r="E5">
        <v>2.2014415625728961E-2</v>
      </c>
      <c r="F5">
        <v>4.6639103000032232E-2</v>
      </c>
      <c r="G5">
        <v>3.8746141603607432E-5</v>
      </c>
      <c r="H5">
        <v>1.059466132098388E-3</v>
      </c>
      <c r="I5">
        <v>2.0990580599569391E-4</v>
      </c>
      <c r="J5">
        <v>1.7574867761303179E-3</v>
      </c>
      <c r="K5">
        <v>3.3016498555131731E-3</v>
      </c>
      <c r="L5">
        <v>3.1477071387090938E-5</v>
      </c>
      <c r="M5">
        <v>1.0686478901046321E-4</v>
      </c>
      <c r="N5">
        <v>3.8445870281558431E-3</v>
      </c>
      <c r="O5">
        <v>2.6783855393971131E-5</v>
      </c>
      <c r="P5">
        <v>4.7596773983920541E-7</v>
      </c>
      <c r="Q5">
        <v>5.7341583410986288E-5</v>
      </c>
      <c r="R5">
        <v>3.9138305662890801E-7</v>
      </c>
      <c r="S5">
        <v>2.4875619493387789E-6</v>
      </c>
      <c r="T5">
        <v>7.6943116553232634E-4</v>
      </c>
      <c r="U5">
        <v>2.5634927818013208E-3</v>
      </c>
      <c r="V5">
        <v>4.4590301940245309E-3</v>
      </c>
      <c r="W5">
        <v>2.5991844620971641E-4</v>
      </c>
      <c r="X5">
        <v>-0.69363057231712699</v>
      </c>
      <c r="Y5">
        <v>2.0033301580671221</v>
      </c>
      <c r="Z5">
        <v>8.9251899514291182</v>
      </c>
    </row>
    <row r="6" spans="1:26" x14ac:dyDescent="0.25">
      <c r="A6" s="1">
        <v>4</v>
      </c>
      <c r="B6" t="s">
        <v>2</v>
      </c>
      <c r="C6" t="s">
        <v>24</v>
      </c>
      <c r="D6">
        <v>10.672522537408129</v>
      </c>
      <c r="E6">
        <v>1.2822327361388519E-2</v>
      </c>
      <c r="F6">
        <v>2.8574767349676441E-2</v>
      </c>
      <c r="G6">
        <v>3.5338267841167498E-5</v>
      </c>
      <c r="H6">
        <v>9.4165465652592075E-4</v>
      </c>
      <c r="I6">
        <v>1.868813796941294E-4</v>
      </c>
      <c r="J6">
        <v>1.027832706440999E-3</v>
      </c>
      <c r="K6">
        <v>2.8289961499399561E-3</v>
      </c>
      <c r="L6">
        <v>2.8819345516975301E-5</v>
      </c>
      <c r="M6">
        <v>6.3586013055210813E-5</v>
      </c>
      <c r="N6">
        <v>3.3543001938020961E-3</v>
      </c>
      <c r="O6">
        <v>2.03072800979204E-5</v>
      </c>
      <c r="P6">
        <v>4.606506127988123E-7</v>
      </c>
      <c r="Q6">
        <v>5.5789914053547218E-5</v>
      </c>
      <c r="R6">
        <v>2.6307999762603351E-7</v>
      </c>
      <c r="S6">
        <v>1.585370138917008E-6</v>
      </c>
      <c r="T6">
        <v>5.0741014621340382E-4</v>
      </c>
      <c r="U6">
        <v>1.716477522806819E-3</v>
      </c>
      <c r="V6">
        <v>4.4500864515680024E-3</v>
      </c>
      <c r="W6">
        <v>1.8322644806689621E-4</v>
      </c>
      <c r="X6">
        <v>-0.22052947312013049</v>
      </c>
      <c r="Y6">
        <v>1.9110619297884419</v>
      </c>
      <c r="Z6">
        <v>8.9251899704523812</v>
      </c>
    </row>
    <row r="7" spans="1:26" x14ac:dyDescent="0.25">
      <c r="A7" s="1">
        <v>5</v>
      </c>
      <c r="B7" t="s">
        <v>2</v>
      </c>
      <c r="C7" t="s">
        <v>25</v>
      </c>
      <c r="D7">
        <v>10.75895864233425</v>
      </c>
      <c r="E7">
        <v>1.088812799210038E-2</v>
      </c>
      <c r="F7">
        <v>2.3048946418484401E-2</v>
      </c>
      <c r="G7">
        <v>3.3854581500651293E-5</v>
      </c>
      <c r="H7">
        <v>9.0577301551992943E-4</v>
      </c>
      <c r="I7">
        <v>1.776478641214098E-4</v>
      </c>
      <c r="J7">
        <v>6.9578932461420535E-4</v>
      </c>
      <c r="K7">
        <v>2.4605638263945802E-3</v>
      </c>
      <c r="L7">
        <v>2.7660970641729911E-5</v>
      </c>
      <c r="M7">
        <v>4.6312823205164937E-5</v>
      </c>
      <c r="N7">
        <v>3.0207803598020369E-3</v>
      </c>
      <c r="O7">
        <v>1.549544270502011E-5</v>
      </c>
      <c r="P7">
        <v>4.5694468638723061E-7</v>
      </c>
      <c r="Q7">
        <v>5.4818520802527029E-5</v>
      </c>
      <c r="R7">
        <v>1.747254058409849E-7</v>
      </c>
      <c r="S7">
        <v>1.4096643993787711E-6</v>
      </c>
      <c r="T7">
        <v>4.4245432707751601E-4</v>
      </c>
      <c r="U7">
        <v>1.456010878132102E-3</v>
      </c>
      <c r="V7">
        <v>4.4215841188658487E-3</v>
      </c>
      <c r="W7">
        <v>1.5820814978707181E-4</v>
      </c>
      <c r="X7">
        <v>-6.675868800768843E-2</v>
      </c>
      <c r="Y7">
        <v>1.8526712840516051</v>
      </c>
      <c r="Z7">
        <v>8.925189976342093</v>
      </c>
    </row>
    <row r="8" spans="1:26" x14ac:dyDescent="0.25">
      <c r="A8" s="1">
        <v>6</v>
      </c>
      <c r="B8" t="s">
        <v>2</v>
      </c>
      <c r="C8" t="s">
        <v>26</v>
      </c>
      <c r="D8">
        <v>10.77005952698808</v>
      </c>
      <c r="E8">
        <v>1.0581814051544869E-2</v>
      </c>
      <c r="F8">
        <v>2.0917071216895199E-2</v>
      </c>
      <c r="G8">
        <v>3.337934035364725E-5</v>
      </c>
      <c r="H8">
        <v>8.8919960485125645E-4</v>
      </c>
      <c r="I8">
        <v>1.737624900552022E-4</v>
      </c>
      <c r="J8">
        <v>5.9638077865160791E-4</v>
      </c>
      <c r="K8">
        <v>2.3341288416082822E-3</v>
      </c>
      <c r="L8">
        <v>2.7104053422346401E-5</v>
      </c>
      <c r="M8">
        <v>4.1112665349905937E-5</v>
      </c>
      <c r="N8">
        <v>2.912538779137927E-3</v>
      </c>
      <c r="O8">
        <v>1.343481035649853E-5</v>
      </c>
      <c r="P8">
        <v>4.5568316212444761E-7</v>
      </c>
      <c r="Q8">
        <v>5.439842899292986E-5</v>
      </c>
      <c r="R8">
        <v>1.3732309904010511E-7</v>
      </c>
      <c r="S8">
        <v>1.3551544117710459E-6</v>
      </c>
      <c r="T8">
        <v>4.1692282821502989E-4</v>
      </c>
      <c r="U8">
        <v>1.339598441209462E-3</v>
      </c>
      <c r="V8">
        <v>4.4103584477798692E-3</v>
      </c>
      <c r="W8">
        <v>1.4720810740762659E-4</v>
      </c>
      <c r="X8">
        <v>-2.526993019331648E-2</v>
      </c>
      <c r="Y8">
        <v>1.825249118300722</v>
      </c>
      <c r="Z8">
        <v>8.9251899778341741</v>
      </c>
    </row>
    <row r="9" spans="1:26" x14ac:dyDescent="0.25">
      <c r="A9" s="1">
        <v>7</v>
      </c>
      <c r="B9" t="s">
        <v>2</v>
      </c>
      <c r="C9" t="s">
        <v>27</v>
      </c>
      <c r="D9">
        <v>10.34455406936768</v>
      </c>
      <c r="E9">
        <v>1.8110688515560001E-2</v>
      </c>
      <c r="F9">
        <v>4.4332607081899483E-2</v>
      </c>
      <c r="G9">
        <v>3.8069217529455031E-5</v>
      </c>
      <c r="H9">
        <v>1.0744851158769209E-3</v>
      </c>
      <c r="I9">
        <v>2.0856933336140849E-4</v>
      </c>
      <c r="J9">
        <v>1.697622871425561E-3</v>
      </c>
      <c r="K9">
        <v>3.338108115357711E-3</v>
      </c>
      <c r="L9">
        <v>3.1494808109269233E-5</v>
      </c>
      <c r="M9">
        <v>1.036498255976517E-4</v>
      </c>
      <c r="N9">
        <v>3.8083973608331449E-3</v>
      </c>
      <c r="O9">
        <v>2.7165509980847691E-5</v>
      </c>
      <c r="P9">
        <v>4.702068263715078E-7</v>
      </c>
      <c r="Q9">
        <v>5.7481832825853678E-5</v>
      </c>
      <c r="R9">
        <v>4.8477227320119648E-7</v>
      </c>
      <c r="S9">
        <v>2.2056213562909851E-6</v>
      </c>
      <c r="T9">
        <v>7.2390918553450043E-4</v>
      </c>
      <c r="U9">
        <v>2.5264132890781212E-3</v>
      </c>
      <c r="V9">
        <v>4.4704821362772122E-3</v>
      </c>
      <c r="W9">
        <v>2.5195233788745581E-4</v>
      </c>
      <c r="X9">
        <v>-0.65203339686002626</v>
      </c>
      <c r="Y9">
        <v>1.990593256105569</v>
      </c>
      <c r="Z9">
        <v>8.925189952984546</v>
      </c>
    </row>
    <row r="10" spans="1:26" x14ac:dyDescent="0.25">
      <c r="A10" s="1">
        <v>8</v>
      </c>
      <c r="B10" t="s">
        <v>2</v>
      </c>
      <c r="C10" t="s">
        <v>28</v>
      </c>
      <c r="D10">
        <v>10.629695622731941</v>
      </c>
      <c r="E10">
        <v>1.410898328530928E-2</v>
      </c>
      <c r="F10">
        <v>3.423095481113831E-2</v>
      </c>
      <c r="G10">
        <v>3.5975591593702608E-5</v>
      </c>
      <c r="H10">
        <v>1.019814762690261E-3</v>
      </c>
      <c r="I10">
        <v>1.945659832336182E-4</v>
      </c>
      <c r="J10">
        <v>1.0862768494666281E-3</v>
      </c>
      <c r="K10">
        <v>2.8736080410952419E-3</v>
      </c>
      <c r="L10">
        <v>2.9920151701392579E-5</v>
      </c>
      <c r="M10">
        <v>7.1485311422341837E-5</v>
      </c>
      <c r="N10">
        <v>3.4079501937125741E-3</v>
      </c>
      <c r="O10">
        <v>2.1862579527178191E-5</v>
      </c>
      <c r="P10">
        <v>4.6330677931835871E-7</v>
      </c>
      <c r="Q10">
        <v>5.626430326440552E-5</v>
      </c>
      <c r="R10">
        <v>2.9618911399729179E-7</v>
      </c>
      <c r="S10">
        <v>1.864267812418455E-6</v>
      </c>
      <c r="T10">
        <v>6.057848336006019E-4</v>
      </c>
      <c r="U10">
        <v>2.0882654616849691E-3</v>
      </c>
      <c r="V10">
        <v>4.4435029580982E-3</v>
      </c>
      <c r="W10">
        <v>2.126036878080709E-4</v>
      </c>
      <c r="X10">
        <v>-0.27858275053109272</v>
      </c>
      <c r="Y10">
        <v>1.918597962742308</v>
      </c>
      <c r="Z10">
        <v>8.9251899679516775</v>
      </c>
    </row>
    <row r="11" spans="1:26" x14ac:dyDescent="0.25">
      <c r="A11" s="1">
        <v>9</v>
      </c>
      <c r="B11" t="s">
        <v>2</v>
      </c>
      <c r="C11" t="s">
        <v>29</v>
      </c>
      <c r="D11">
        <v>10.81399469658048</v>
      </c>
      <c r="E11">
        <v>1.268189202413572E-2</v>
      </c>
      <c r="F11">
        <v>2.4586228883675749E-2</v>
      </c>
      <c r="G11">
        <v>3.4516318105589199E-5</v>
      </c>
      <c r="H11">
        <v>9.0206009614375528E-4</v>
      </c>
      <c r="I11">
        <v>1.8068620746124881E-4</v>
      </c>
      <c r="J11">
        <v>7.350539239766871E-4</v>
      </c>
      <c r="K11">
        <v>2.5959835126927919E-3</v>
      </c>
      <c r="L11">
        <v>2.79745967271702E-5</v>
      </c>
      <c r="M11">
        <v>4.7731491349906943E-5</v>
      </c>
      <c r="N11">
        <v>3.1582340780101342E-3</v>
      </c>
      <c r="O11">
        <v>1.740378168929433E-5</v>
      </c>
      <c r="P11">
        <v>4.618835132529721E-7</v>
      </c>
      <c r="Q11">
        <v>5.511580607320561E-5</v>
      </c>
      <c r="R11">
        <v>2.3763069911862571E-7</v>
      </c>
      <c r="S11">
        <v>1.545769971481763E-6</v>
      </c>
      <c r="T11">
        <v>4.7065281948488133E-4</v>
      </c>
      <c r="U11">
        <v>1.5090763531629169E-3</v>
      </c>
      <c r="V11">
        <v>4.4311924932185299E-3</v>
      </c>
      <c r="W11">
        <v>1.6633070481319239E-4</v>
      </c>
      <c r="X11">
        <v>-4.8000553578299743E-2</v>
      </c>
      <c r="Y11">
        <v>1.8852028943088801</v>
      </c>
      <c r="Z11">
        <v>8.925189977474993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1"/>
  <sheetViews>
    <sheetView workbookViewId="0">
      <selection activeCell="A13" sqref="A13:XFD48"/>
    </sheetView>
  </sheetViews>
  <sheetFormatPr defaultRowHeight="15" x14ac:dyDescent="0.25"/>
  <sheetData>
    <row r="1" spans="1:28" x14ac:dyDescent="0.25">
      <c r="B1" s="1" t="s">
        <v>0</v>
      </c>
      <c r="C1" s="1" t="s">
        <v>1</v>
      </c>
      <c r="D1" s="1" t="s">
        <v>30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</row>
    <row r="2" spans="1:28" x14ac:dyDescent="0.25">
      <c r="A2" s="1">
        <v>0</v>
      </c>
      <c r="B2" t="s">
        <v>30</v>
      </c>
      <c r="C2" t="s">
        <v>20</v>
      </c>
      <c r="D2">
        <v>4.4983724111988614</v>
      </c>
      <c r="E2">
        <v>0.1420764499332593</v>
      </c>
      <c r="F2">
        <v>2.236109545418415E-2</v>
      </c>
      <c r="G2">
        <v>5.2966599514988361E-2</v>
      </c>
      <c r="H2">
        <v>3.9870999951249051E-5</v>
      </c>
      <c r="I2">
        <v>1.11504787793423E-3</v>
      </c>
      <c r="J2">
        <v>2.2045529694572061E-4</v>
      </c>
      <c r="K2">
        <v>2.082938453430559E-3</v>
      </c>
      <c r="L2">
        <v>6.361631112596299E-4</v>
      </c>
      <c r="M2">
        <v>3.8753588110664308E-3</v>
      </c>
      <c r="N2">
        <v>3.2812971008419839E-5</v>
      </c>
      <c r="O2">
        <v>1.2756965348521249E-4</v>
      </c>
      <c r="P2">
        <v>4.15777815009082E-3</v>
      </c>
      <c r="Q2">
        <v>3.1463843579188017E-5</v>
      </c>
      <c r="R2">
        <v>4.7762301078091125E-7</v>
      </c>
      <c r="S2">
        <v>5.8423116832153428E-5</v>
      </c>
      <c r="T2">
        <v>5.260035306051284E-7</v>
      </c>
      <c r="U2">
        <v>2.602132163041635E-6</v>
      </c>
      <c r="V2">
        <v>8.3998856451323451E-4</v>
      </c>
      <c r="W2">
        <v>2.9144709042460012E-3</v>
      </c>
      <c r="X2">
        <v>4.4902178779148852E-3</v>
      </c>
      <c r="Y2">
        <v>2.8743436474409261E-4</v>
      </c>
      <c r="Z2">
        <v>-0.37979428217101541</v>
      </c>
      <c r="AA2">
        <v>2.0267436979516562</v>
      </c>
      <c r="AB2">
        <v>2.613105250760082</v>
      </c>
    </row>
    <row r="3" spans="1:28" x14ac:dyDescent="0.25">
      <c r="A3" s="1">
        <v>1</v>
      </c>
      <c r="B3" t="s">
        <v>30</v>
      </c>
      <c r="C3" t="s">
        <v>21</v>
      </c>
      <c r="D3">
        <v>4.4747344710924546</v>
      </c>
      <c r="E3">
        <v>0.13679932282685431</v>
      </c>
      <c r="F3">
        <v>2.0055060001823059E-2</v>
      </c>
      <c r="G3">
        <v>4.9418513333911403E-2</v>
      </c>
      <c r="H3">
        <v>3.911753746663405E-5</v>
      </c>
      <c r="I3">
        <v>1.100074248113151E-3</v>
      </c>
      <c r="J3">
        <v>2.152958685212315E-4</v>
      </c>
      <c r="K3">
        <v>1.970042623701017E-3</v>
      </c>
      <c r="L3">
        <v>6.1308051468318236E-4</v>
      </c>
      <c r="M3">
        <v>3.66482954191396E-3</v>
      </c>
      <c r="N3">
        <v>3.2270898362736131E-5</v>
      </c>
      <c r="O3">
        <v>1.197009649556328E-4</v>
      </c>
      <c r="P3">
        <v>4.0507368036655136E-3</v>
      </c>
      <c r="Q3">
        <v>2.9570576362890852E-5</v>
      </c>
      <c r="R3">
        <v>4.7337951251293742E-7</v>
      </c>
      <c r="S3">
        <v>5.8026899140564598E-5</v>
      </c>
      <c r="T3">
        <v>5.0258832003950641E-7</v>
      </c>
      <c r="U3">
        <v>2.38037685072818E-6</v>
      </c>
      <c r="V3">
        <v>7.8807149096362793E-4</v>
      </c>
      <c r="W3">
        <v>2.7649728942255071E-3</v>
      </c>
      <c r="X3">
        <v>4.4807397090091596E-3</v>
      </c>
      <c r="Y3">
        <v>2.7163929726161339E-4</v>
      </c>
      <c r="Z3">
        <v>-0.36562604456211889</v>
      </c>
      <c r="AA3">
        <v>2.0007808418644561</v>
      </c>
      <c r="AB3">
        <v>2.6131052514144999</v>
      </c>
    </row>
    <row r="4" spans="1:28" x14ac:dyDescent="0.25">
      <c r="A4" s="1">
        <v>2</v>
      </c>
      <c r="B4" t="s">
        <v>30</v>
      </c>
      <c r="C4" t="s">
        <v>22</v>
      </c>
      <c r="D4">
        <v>4.4661510316613962</v>
      </c>
      <c r="E4">
        <v>0.12978134047275811</v>
      </c>
      <c r="F4">
        <v>2.0298724831749999E-2</v>
      </c>
      <c r="G4">
        <v>4.7829310864031152E-2</v>
      </c>
      <c r="H4">
        <v>3.8767799598242832E-5</v>
      </c>
      <c r="I4">
        <v>1.084908857758598E-3</v>
      </c>
      <c r="J4">
        <v>2.121268381683207E-4</v>
      </c>
      <c r="K4">
        <v>1.8605205025408499E-3</v>
      </c>
      <c r="L4">
        <v>6.1305643389652153E-4</v>
      </c>
      <c r="M4">
        <v>3.4220246220772938E-3</v>
      </c>
      <c r="N4">
        <v>3.1877729046066762E-5</v>
      </c>
      <c r="O4">
        <v>1.1323086905363601E-4</v>
      </c>
      <c r="P4">
        <v>3.9196287876787769E-3</v>
      </c>
      <c r="Q4">
        <v>2.773715584498885E-5</v>
      </c>
      <c r="R4">
        <v>4.7274147903020663E-7</v>
      </c>
      <c r="S4">
        <v>5.7612362497915897E-5</v>
      </c>
      <c r="T4">
        <v>4.2753043066419812E-7</v>
      </c>
      <c r="U4">
        <v>2.396377718835448E-6</v>
      </c>
      <c r="V4">
        <v>7.7679006781649794E-4</v>
      </c>
      <c r="W4">
        <v>2.6830482073999921E-3</v>
      </c>
      <c r="X4">
        <v>4.4642582202440891E-3</v>
      </c>
      <c r="Y4">
        <v>2.649056565987173E-4</v>
      </c>
      <c r="Z4">
        <v>-0.34673174104153881</v>
      </c>
      <c r="AA4">
        <v>1.982294353972873</v>
      </c>
      <c r="AB4">
        <v>2.6131052518016729</v>
      </c>
    </row>
    <row r="5" spans="1:28" x14ac:dyDescent="0.25">
      <c r="A5" s="1">
        <v>3</v>
      </c>
      <c r="B5" t="s">
        <v>30</v>
      </c>
      <c r="C5" t="s">
        <v>23</v>
      </c>
      <c r="D5">
        <v>4.4755093251977014</v>
      </c>
      <c r="E5">
        <v>0.11828901061771251</v>
      </c>
      <c r="F5">
        <v>2.2011893378207449E-2</v>
      </c>
      <c r="G5">
        <v>4.6633759439524143E-2</v>
      </c>
      <c r="H5">
        <v>3.8746141603607432E-5</v>
      </c>
      <c r="I5">
        <v>1.059466132098388E-3</v>
      </c>
      <c r="J5">
        <v>2.0990580599569391E-4</v>
      </c>
      <c r="K5">
        <v>1.7574867761303179E-3</v>
      </c>
      <c r="L5">
        <v>6.1409657272051919E-4</v>
      </c>
      <c r="M5">
        <v>3.3016498555131731E-3</v>
      </c>
      <c r="N5">
        <v>3.1477071387090938E-5</v>
      </c>
      <c r="O5">
        <v>1.0686478901046321E-4</v>
      </c>
      <c r="P5">
        <v>3.8445870281558431E-3</v>
      </c>
      <c r="Q5">
        <v>2.6783855393971131E-5</v>
      </c>
      <c r="R5">
        <v>4.7596773983920541E-7</v>
      </c>
      <c r="S5">
        <v>5.7341583410986288E-5</v>
      </c>
      <c r="T5">
        <v>3.9138305662890801E-7</v>
      </c>
      <c r="U5">
        <v>2.487276943047091E-6</v>
      </c>
      <c r="V5">
        <v>7.693430098491055E-4</v>
      </c>
      <c r="W5">
        <v>2.5631990759228491E-3</v>
      </c>
      <c r="X5">
        <v>4.4590301940245309E-3</v>
      </c>
      <c r="Y5">
        <v>2.5991844620971641E-4</v>
      </c>
      <c r="Z5">
        <v>-0.31560413609287008</v>
      </c>
      <c r="AA5">
        <v>1.9719702951611231</v>
      </c>
      <c r="AB5">
        <v>2.6131052517288378</v>
      </c>
    </row>
    <row r="6" spans="1:28" x14ac:dyDescent="0.25">
      <c r="A6" s="1">
        <v>4</v>
      </c>
      <c r="B6" t="s">
        <v>30</v>
      </c>
      <c r="C6" t="s">
        <v>24</v>
      </c>
      <c r="D6">
        <v>4.4889958509417811</v>
      </c>
      <c r="E6">
        <v>3.7800754413894688E-2</v>
      </c>
      <c r="F6">
        <v>1.282085827477019E-2</v>
      </c>
      <c r="G6">
        <v>2.8571493465992678E-2</v>
      </c>
      <c r="H6">
        <v>3.5338267841167498E-5</v>
      </c>
      <c r="I6">
        <v>9.4165465652592075E-4</v>
      </c>
      <c r="J6">
        <v>1.868813796941294E-4</v>
      </c>
      <c r="K6">
        <v>1.027832706440999E-3</v>
      </c>
      <c r="L6">
        <v>4.8992921418982034E-4</v>
      </c>
      <c r="M6">
        <v>2.8289961499399561E-3</v>
      </c>
      <c r="N6">
        <v>2.8819345516975301E-5</v>
      </c>
      <c r="O6">
        <v>6.3586013055210813E-5</v>
      </c>
      <c r="P6">
        <v>3.3543001938020961E-3</v>
      </c>
      <c r="Q6">
        <v>2.03072800979204E-5</v>
      </c>
      <c r="R6">
        <v>4.606506127988123E-7</v>
      </c>
      <c r="S6">
        <v>5.5789914053547218E-5</v>
      </c>
      <c r="T6">
        <v>2.6307999762603351E-7</v>
      </c>
      <c r="U6">
        <v>1.5851884990328769E-6</v>
      </c>
      <c r="V6">
        <v>5.0735201094397877E-4</v>
      </c>
      <c r="W6">
        <v>1.7162808616166629E-3</v>
      </c>
      <c r="X6">
        <v>4.4500864515680024E-3</v>
      </c>
      <c r="Y6">
        <v>1.8322644806689621E-4</v>
      </c>
      <c r="Z6">
        <v>-0.1003416178940761</v>
      </c>
      <c r="AA6">
        <v>1.8811464214126981</v>
      </c>
      <c r="AB6">
        <v>2.6131052514560391</v>
      </c>
    </row>
    <row r="7" spans="1:28" x14ac:dyDescent="0.25">
      <c r="A7" s="1">
        <v>5</v>
      </c>
      <c r="B7" t="s">
        <v>30</v>
      </c>
      <c r="C7" t="s">
        <v>25</v>
      </c>
      <c r="D7">
        <v>4.4662576447705016</v>
      </c>
      <c r="E7">
        <v>1.154134168185628E-2</v>
      </c>
      <c r="F7">
        <v>1.08868805116172E-2</v>
      </c>
      <c r="G7">
        <v>2.3046305642141999E-2</v>
      </c>
      <c r="H7">
        <v>3.3854581500651293E-5</v>
      </c>
      <c r="I7">
        <v>9.0577301551992943E-4</v>
      </c>
      <c r="J7">
        <v>1.776478641214098E-4</v>
      </c>
      <c r="K7">
        <v>6.9578932461420535E-4</v>
      </c>
      <c r="L7">
        <v>4.6468881400584682E-4</v>
      </c>
      <c r="M7">
        <v>2.4605638263945802E-3</v>
      </c>
      <c r="N7">
        <v>2.7660970641729911E-5</v>
      </c>
      <c r="O7">
        <v>4.6312823205164937E-5</v>
      </c>
      <c r="P7">
        <v>3.0207803598020369E-3</v>
      </c>
      <c r="Q7">
        <v>1.549544270502011E-5</v>
      </c>
      <c r="R7">
        <v>4.5694468638723061E-7</v>
      </c>
      <c r="S7">
        <v>5.4818520802527029E-5</v>
      </c>
      <c r="T7">
        <v>1.747254058409849E-7</v>
      </c>
      <c r="U7">
        <v>1.4095028905475639E-6</v>
      </c>
      <c r="V7">
        <v>4.4240363396129341E-4</v>
      </c>
      <c r="W7">
        <v>1.455844059265567E-3</v>
      </c>
      <c r="X7">
        <v>4.4215841188658487E-3</v>
      </c>
      <c r="Y7">
        <v>1.5820814978707181E-4</v>
      </c>
      <c r="Z7">
        <v>-3.03754172555805E-2</v>
      </c>
      <c r="AA7">
        <v>1.823669815050712</v>
      </c>
      <c r="AB7">
        <v>2.6131052524615801</v>
      </c>
    </row>
    <row r="8" spans="1:28" x14ac:dyDescent="0.25">
      <c r="A8" s="1">
        <v>6</v>
      </c>
      <c r="B8" t="s">
        <v>30</v>
      </c>
      <c r="C8" t="s">
        <v>26</v>
      </c>
      <c r="D8">
        <v>4.4480861693317184</v>
      </c>
      <c r="E8">
        <v>4.4607763127944618E-3</v>
      </c>
      <c r="F8">
        <v>1.0580601666228011E-2</v>
      </c>
      <c r="G8">
        <v>2.091467469491021E-2</v>
      </c>
      <c r="H8">
        <v>3.337934035364725E-5</v>
      </c>
      <c r="I8">
        <v>8.8919960485125645E-4</v>
      </c>
      <c r="J8">
        <v>1.737624900552022E-4</v>
      </c>
      <c r="K8">
        <v>5.9638077865160791E-4</v>
      </c>
      <c r="L8">
        <v>4.5457622966673641E-4</v>
      </c>
      <c r="M8">
        <v>2.3341288416082822E-3</v>
      </c>
      <c r="N8">
        <v>2.7104053422346401E-5</v>
      </c>
      <c r="O8">
        <v>4.1112665349905937E-5</v>
      </c>
      <c r="P8">
        <v>2.912538779137927E-3</v>
      </c>
      <c r="Q8">
        <v>1.343481035649853E-5</v>
      </c>
      <c r="R8">
        <v>4.5568316212444761E-7</v>
      </c>
      <c r="S8">
        <v>5.439842899292986E-5</v>
      </c>
      <c r="T8">
        <v>1.3732309904010511E-7</v>
      </c>
      <c r="U8">
        <v>1.354999148287588E-6</v>
      </c>
      <c r="V8">
        <v>4.168750603074418E-4</v>
      </c>
      <c r="W8">
        <v>1.3394449600147671E-3</v>
      </c>
      <c r="X8">
        <v>4.4103584477798692E-3</v>
      </c>
      <c r="Y8">
        <v>1.4720810740762659E-4</v>
      </c>
      <c r="Z8">
        <v>-1.149789932290151E-2</v>
      </c>
      <c r="AA8">
        <v>1.7966769122224031</v>
      </c>
      <c r="AB8">
        <v>2.6131052531549179</v>
      </c>
    </row>
    <row r="9" spans="1:28" x14ac:dyDescent="0.25">
      <c r="A9" s="1">
        <v>7</v>
      </c>
      <c r="B9" t="s">
        <v>30</v>
      </c>
      <c r="C9" t="s">
        <v>27</v>
      </c>
      <c r="D9">
        <v>4.4682681254411651</v>
      </c>
      <c r="E9">
        <v>0.1110232245261394</v>
      </c>
      <c r="F9">
        <v>1.8108613527970181E-2</v>
      </c>
      <c r="G9">
        <v>4.4327527782488017E-2</v>
      </c>
      <c r="H9">
        <v>3.8069217529455031E-5</v>
      </c>
      <c r="I9">
        <v>1.0744851158769209E-3</v>
      </c>
      <c r="J9">
        <v>2.0856933336140849E-4</v>
      </c>
      <c r="K9">
        <v>1.697622871425561E-3</v>
      </c>
      <c r="L9">
        <v>5.8743170827755696E-4</v>
      </c>
      <c r="M9">
        <v>3.338108115357711E-3</v>
      </c>
      <c r="N9">
        <v>3.1494808109269233E-5</v>
      </c>
      <c r="O9">
        <v>1.036498255976517E-4</v>
      </c>
      <c r="P9">
        <v>3.8083973608331449E-3</v>
      </c>
      <c r="Q9">
        <v>2.7165509980847691E-5</v>
      </c>
      <c r="R9">
        <v>4.702068263715078E-7</v>
      </c>
      <c r="S9">
        <v>5.7481832825853678E-5</v>
      </c>
      <c r="T9">
        <v>4.8477227320119648E-7</v>
      </c>
      <c r="U9">
        <v>2.2053686526492511E-6</v>
      </c>
      <c r="V9">
        <v>7.2382624542016857E-4</v>
      </c>
      <c r="W9">
        <v>2.5261238314897251E-3</v>
      </c>
      <c r="X9">
        <v>4.4704821362772122E-3</v>
      </c>
      <c r="Y9">
        <v>2.5195233788745581E-4</v>
      </c>
      <c r="Z9">
        <v>-0.29667728778486402</v>
      </c>
      <c r="AA9">
        <v>1.9594327749628611</v>
      </c>
      <c r="AB9">
        <v>2.6131052518285691</v>
      </c>
    </row>
    <row r="10" spans="1:28" x14ac:dyDescent="0.25">
      <c r="A10" s="1">
        <v>8</v>
      </c>
      <c r="B10" t="s">
        <v>30</v>
      </c>
      <c r="C10" t="s">
        <v>28</v>
      </c>
      <c r="D10">
        <v>4.4874108125027634</v>
      </c>
      <c r="E10">
        <v>4.7473776782838942E-2</v>
      </c>
      <c r="F10">
        <v>1.4107366783253229E-2</v>
      </c>
      <c r="G10">
        <v>3.4227032883688703E-2</v>
      </c>
      <c r="H10">
        <v>3.5975591593702608E-5</v>
      </c>
      <c r="I10">
        <v>1.019814762690261E-3</v>
      </c>
      <c r="J10">
        <v>1.945659832336182E-4</v>
      </c>
      <c r="K10">
        <v>1.0862768494666281E-3</v>
      </c>
      <c r="L10">
        <v>5.3874778954990181E-4</v>
      </c>
      <c r="M10">
        <v>2.8736080410952419E-3</v>
      </c>
      <c r="N10">
        <v>2.9920151701392579E-5</v>
      </c>
      <c r="O10">
        <v>7.1485311422341837E-5</v>
      </c>
      <c r="P10">
        <v>3.4079501937125741E-3</v>
      </c>
      <c r="Q10">
        <v>2.1862579527178191E-5</v>
      </c>
      <c r="R10">
        <v>4.6330677931835871E-7</v>
      </c>
      <c r="S10">
        <v>5.626430326440552E-5</v>
      </c>
      <c r="T10">
        <v>2.9618911399729179E-7</v>
      </c>
      <c r="U10">
        <v>1.864054218519383E-6</v>
      </c>
      <c r="V10">
        <v>6.0571542729334019E-4</v>
      </c>
      <c r="W10">
        <v>2.0880262038062E-3</v>
      </c>
      <c r="X10">
        <v>4.4435029580982E-3</v>
      </c>
      <c r="Y10">
        <v>2.126036878080709E-4</v>
      </c>
      <c r="Z10">
        <v>-0.12675604539464219</v>
      </c>
      <c r="AA10">
        <v>1.888564486312555</v>
      </c>
      <c r="AB10">
        <v>2.6131052517506932</v>
      </c>
    </row>
    <row r="11" spans="1:28" x14ac:dyDescent="0.25">
      <c r="A11" s="1">
        <v>9</v>
      </c>
      <c r="B11" t="s">
        <v>30</v>
      </c>
      <c r="C11" t="s">
        <v>29</v>
      </c>
      <c r="D11">
        <v>4.5075383230095074</v>
      </c>
      <c r="E11">
        <v>8.5076653109683962E-3</v>
      </c>
      <c r="F11">
        <v>1.26804390275507E-2</v>
      </c>
      <c r="G11">
        <v>2.458341197697617E-2</v>
      </c>
      <c r="H11">
        <v>3.4516318105589199E-5</v>
      </c>
      <c r="I11">
        <v>9.0206009614375528E-4</v>
      </c>
      <c r="J11">
        <v>1.8068620746124881E-4</v>
      </c>
      <c r="K11">
        <v>7.350539239766871E-4</v>
      </c>
      <c r="L11">
        <v>4.7575112588455458E-4</v>
      </c>
      <c r="M11">
        <v>2.5959835126927919E-3</v>
      </c>
      <c r="N11">
        <v>2.79745967271702E-5</v>
      </c>
      <c r="O11">
        <v>4.7731491349906943E-5</v>
      </c>
      <c r="P11">
        <v>3.1582340780101342E-3</v>
      </c>
      <c r="Q11">
        <v>1.740378168929433E-5</v>
      </c>
      <c r="R11">
        <v>4.618835132529721E-7</v>
      </c>
      <c r="S11">
        <v>5.511580607320561E-5</v>
      </c>
      <c r="T11">
        <v>2.3763069911862571E-7</v>
      </c>
      <c r="U11">
        <v>1.545592868689408E-6</v>
      </c>
      <c r="V11">
        <v>4.7059889559575258E-4</v>
      </c>
      <c r="W11">
        <v>1.5089034544510499E-3</v>
      </c>
      <c r="X11">
        <v>4.4311924932185299E-3</v>
      </c>
      <c r="Y11">
        <v>1.6633070481319239E-4</v>
      </c>
      <c r="Z11">
        <v>-2.1840405900004869E-2</v>
      </c>
      <c r="AA11">
        <v>1.8556921798230781</v>
      </c>
      <c r="AB11">
        <v>2.613105251177664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1"/>
  <sheetViews>
    <sheetView workbookViewId="0">
      <selection activeCell="W18" sqref="W18"/>
    </sheetView>
  </sheetViews>
  <sheetFormatPr defaultRowHeight="15" x14ac:dyDescent="0.25"/>
  <sheetData>
    <row r="1" spans="1:27" x14ac:dyDescent="0.25">
      <c r="B1" s="1" t="s">
        <v>0</v>
      </c>
      <c r="C1" s="1" t="s">
        <v>1</v>
      </c>
      <c r="D1" s="1" t="s">
        <v>33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45</v>
      </c>
      <c r="AA1" s="1" t="s">
        <v>19</v>
      </c>
    </row>
    <row r="2" spans="1:27" x14ac:dyDescent="0.25">
      <c r="A2" s="1">
        <v>0</v>
      </c>
      <c r="B2" t="s">
        <v>33</v>
      </c>
      <c r="C2" t="s">
        <v>20</v>
      </c>
      <c r="D2">
        <v>11.07977878591611</v>
      </c>
      <c r="E2">
        <v>2.2363657715259021E-2</v>
      </c>
      <c r="F2">
        <v>5.2972668728211048E-2</v>
      </c>
      <c r="G2">
        <v>3.9870999951249051E-5</v>
      </c>
      <c r="H2">
        <v>1.11504787793423E-3</v>
      </c>
      <c r="I2">
        <v>2.2045529694572061E-4</v>
      </c>
      <c r="J2">
        <v>2.082938453430559E-3</v>
      </c>
      <c r="K2">
        <v>3.8753588110664308E-3</v>
      </c>
      <c r="L2">
        <v>3.2812971008419839E-5</v>
      </c>
      <c r="M2">
        <v>1.2756965348521249E-4</v>
      </c>
      <c r="N2">
        <v>4.15777815009082E-3</v>
      </c>
      <c r="O2">
        <v>3.1463843579188017E-5</v>
      </c>
      <c r="P2">
        <v>4.7762301078091125E-7</v>
      </c>
      <c r="Q2">
        <v>5.8423116832153428E-5</v>
      </c>
      <c r="R2">
        <v>5.260035306051284E-7</v>
      </c>
      <c r="S2">
        <v>2.6024303300955089E-6</v>
      </c>
      <c r="T2">
        <v>8.400848151645762E-4</v>
      </c>
      <c r="U2">
        <v>2.914804860838993E-3</v>
      </c>
      <c r="V2">
        <v>4.4902178779148852E-3</v>
      </c>
      <c r="W2">
        <v>2.8743436474409261E-4</v>
      </c>
      <c r="X2">
        <v>0</v>
      </c>
      <c r="Y2">
        <v>1.767135524645252</v>
      </c>
      <c r="Z2">
        <v>0.29183908706271916</v>
      </c>
      <c r="AA2">
        <v>8.9251899806148138</v>
      </c>
    </row>
    <row r="3" spans="1:27" x14ac:dyDescent="0.25">
      <c r="A3" s="1">
        <v>1</v>
      </c>
      <c r="B3" t="s">
        <v>33</v>
      </c>
      <c r="C3" t="s">
        <v>21</v>
      </c>
      <c r="D3">
        <v>11.04685924082778</v>
      </c>
      <c r="E3">
        <v>2.0057358024283611E-2</v>
      </c>
      <c r="F3">
        <v>4.9424175987306578E-2</v>
      </c>
      <c r="G3">
        <v>3.911753746663405E-5</v>
      </c>
      <c r="H3">
        <v>1.100074248113151E-3</v>
      </c>
      <c r="I3">
        <v>2.152958685212315E-4</v>
      </c>
      <c r="J3">
        <v>1.970042623701017E-3</v>
      </c>
      <c r="K3">
        <v>3.66482954191396E-3</v>
      </c>
      <c r="L3">
        <v>3.2270898362736131E-5</v>
      </c>
      <c r="M3">
        <v>1.197009649556328E-4</v>
      </c>
      <c r="N3">
        <v>4.0507368036655136E-3</v>
      </c>
      <c r="O3">
        <v>2.9570576362890852E-5</v>
      </c>
      <c r="P3">
        <v>4.7337951251293742E-7</v>
      </c>
      <c r="Q3">
        <v>5.8026899140564598E-5</v>
      </c>
      <c r="R3">
        <v>5.0258832003950641E-7</v>
      </c>
      <c r="S3">
        <v>2.3806496078013082E-6</v>
      </c>
      <c r="T3">
        <v>7.8816179266237953E-4</v>
      </c>
      <c r="U3">
        <v>2.7652897204929082E-3</v>
      </c>
      <c r="V3">
        <v>4.4807397090091596E-3</v>
      </c>
      <c r="W3">
        <v>2.7163929726161339E-4</v>
      </c>
      <c r="X3">
        <v>0</v>
      </c>
      <c r="Y3">
        <v>1.7444982837551941</v>
      </c>
      <c r="Z3">
        <v>0.28810058957747414</v>
      </c>
      <c r="AA3">
        <v>8.9251899803844541</v>
      </c>
    </row>
    <row r="4" spans="1:27" x14ac:dyDescent="0.25">
      <c r="A4" s="1">
        <v>2</v>
      </c>
      <c r="B4" t="s">
        <v>33</v>
      </c>
      <c r="C4" t="s">
        <v>22</v>
      </c>
      <c r="D4">
        <v>11.02610535187536</v>
      </c>
      <c r="E4">
        <v>2.0301050774708011E-2</v>
      </c>
      <c r="F4">
        <v>4.7834791417598582E-2</v>
      </c>
      <c r="G4">
        <v>3.8767799598242832E-5</v>
      </c>
      <c r="H4">
        <v>1.084908857758598E-3</v>
      </c>
      <c r="I4">
        <v>2.121268381683207E-4</v>
      </c>
      <c r="J4">
        <v>1.8605205025408499E-3</v>
      </c>
      <c r="K4">
        <v>3.4220246220772938E-3</v>
      </c>
      <c r="L4">
        <v>3.1877729046066762E-5</v>
      </c>
      <c r="M4">
        <v>1.1323086905363601E-4</v>
      </c>
      <c r="N4">
        <v>3.9196287876787769E-3</v>
      </c>
      <c r="O4">
        <v>2.773715584498885E-5</v>
      </c>
      <c r="P4">
        <v>4.7274147903020663E-7</v>
      </c>
      <c r="Q4">
        <v>5.7612362497915897E-5</v>
      </c>
      <c r="R4">
        <v>4.2753043066419812E-7</v>
      </c>
      <c r="S4">
        <v>2.3966523093787529E-6</v>
      </c>
      <c r="T4">
        <v>7.7687907682583678E-4</v>
      </c>
      <c r="U4">
        <v>2.6833556462713582E-3</v>
      </c>
      <c r="V4">
        <v>4.4642582202440891E-3</v>
      </c>
      <c r="W4">
        <v>2.649056565987173E-4</v>
      </c>
      <c r="X4">
        <v>0</v>
      </c>
      <c r="Y4">
        <v>1.7283797535670133</v>
      </c>
      <c r="Z4">
        <v>0.28543864482603476</v>
      </c>
      <c r="AA4">
        <v>8.9251899802415835</v>
      </c>
    </row>
    <row r="5" spans="1:27" x14ac:dyDescent="0.25">
      <c r="A5" s="1">
        <v>3</v>
      </c>
      <c r="B5" t="s">
        <v>33</v>
      </c>
      <c r="C5" t="s">
        <v>23</v>
      </c>
      <c r="D5">
        <v>11.01566319345531</v>
      </c>
      <c r="E5">
        <v>2.2014415625728961E-2</v>
      </c>
      <c r="F5">
        <v>4.6639103000032232E-2</v>
      </c>
      <c r="G5">
        <v>3.8746141603607432E-5</v>
      </c>
      <c r="H5">
        <v>1.059466132098388E-3</v>
      </c>
      <c r="I5">
        <v>2.0990580599569391E-4</v>
      </c>
      <c r="J5">
        <v>1.7574867761303179E-3</v>
      </c>
      <c r="K5">
        <v>3.3016498555131731E-3</v>
      </c>
      <c r="L5">
        <v>3.1477071387090938E-5</v>
      </c>
      <c r="M5">
        <v>1.0686478901046321E-4</v>
      </c>
      <c r="N5">
        <v>3.8445870281558431E-3</v>
      </c>
      <c r="O5">
        <v>2.6783855393971131E-5</v>
      </c>
      <c r="P5">
        <v>4.7596773983920541E-7</v>
      </c>
      <c r="Q5">
        <v>5.7341583410986288E-5</v>
      </c>
      <c r="R5">
        <v>3.9138305662890801E-7</v>
      </c>
      <c r="S5">
        <v>2.4875619493387789E-6</v>
      </c>
      <c r="T5">
        <v>7.6943116553232634E-4</v>
      </c>
      <c r="U5">
        <v>2.5634927818013208E-3</v>
      </c>
      <c r="V5">
        <v>4.4590301940245309E-3</v>
      </c>
      <c r="W5">
        <v>2.5991844620971641E-4</v>
      </c>
      <c r="X5">
        <v>0</v>
      </c>
      <c r="Y5">
        <v>1.7193781165552844</v>
      </c>
      <c r="Z5">
        <v>0.28395204151183773</v>
      </c>
      <c r="AA5">
        <v>8.9251899802234114</v>
      </c>
    </row>
    <row r="6" spans="1:27" x14ac:dyDescent="0.25">
      <c r="A6" s="1">
        <v>4</v>
      </c>
      <c r="B6" t="s">
        <v>33</v>
      </c>
      <c r="C6" t="s">
        <v>24</v>
      </c>
      <c r="D6">
        <v>10.893052019682971</v>
      </c>
      <c r="E6">
        <v>1.2822327361388519E-2</v>
      </c>
      <c r="F6">
        <v>2.8574767349676441E-2</v>
      </c>
      <c r="G6">
        <v>3.5338267841167498E-5</v>
      </c>
      <c r="H6">
        <v>9.4165465652592075E-4</v>
      </c>
      <c r="I6">
        <v>1.868813796941294E-4</v>
      </c>
      <c r="J6">
        <v>1.027832706440999E-3</v>
      </c>
      <c r="K6">
        <v>2.8289961499399561E-3</v>
      </c>
      <c r="L6">
        <v>2.8819345516975301E-5</v>
      </c>
      <c r="M6">
        <v>6.3586013055210813E-5</v>
      </c>
      <c r="N6">
        <v>3.3543001938020961E-3</v>
      </c>
      <c r="O6">
        <v>2.03072800979204E-5</v>
      </c>
      <c r="P6">
        <v>4.606506127988123E-7</v>
      </c>
      <c r="Q6">
        <v>5.5789914053547218E-5</v>
      </c>
      <c r="R6">
        <v>2.6307999762603351E-7</v>
      </c>
      <c r="S6">
        <v>1.585370138917008E-6</v>
      </c>
      <c r="T6">
        <v>5.0741014621340382E-4</v>
      </c>
      <c r="U6">
        <v>1.716477522806819E-3</v>
      </c>
      <c r="V6">
        <v>4.4500864515680024E-3</v>
      </c>
      <c r="W6">
        <v>1.8322644806689621E-4</v>
      </c>
      <c r="X6">
        <v>0</v>
      </c>
      <c r="Y6">
        <v>1.6401879880999952</v>
      </c>
      <c r="Z6">
        <v>0.2708739416884467</v>
      </c>
      <c r="AA6">
        <v>8.9251899796070955</v>
      </c>
    </row>
    <row r="7" spans="1:27" x14ac:dyDescent="0.25">
      <c r="A7" s="1">
        <v>5</v>
      </c>
      <c r="B7" t="s">
        <v>33</v>
      </c>
      <c r="C7" t="s">
        <v>25</v>
      </c>
      <c r="D7">
        <v>10.825717333113261</v>
      </c>
      <c r="E7">
        <v>1.088812799210038E-2</v>
      </c>
      <c r="F7">
        <v>2.3048946418484401E-2</v>
      </c>
      <c r="G7">
        <v>3.3854581500651293E-5</v>
      </c>
      <c r="H7">
        <v>9.0577301551992943E-4</v>
      </c>
      <c r="I7">
        <v>1.776478641214098E-4</v>
      </c>
      <c r="J7">
        <v>6.9578932461420535E-4</v>
      </c>
      <c r="K7">
        <v>2.4605638263945802E-3</v>
      </c>
      <c r="L7">
        <v>2.7660970641729911E-5</v>
      </c>
      <c r="M7">
        <v>4.6312823205164937E-5</v>
      </c>
      <c r="N7">
        <v>3.0207803598020369E-3</v>
      </c>
      <c r="O7">
        <v>1.549544270502011E-5</v>
      </c>
      <c r="P7">
        <v>4.5694468638723061E-7</v>
      </c>
      <c r="Q7">
        <v>5.4818520802527029E-5</v>
      </c>
      <c r="R7">
        <v>1.747254058409849E-7</v>
      </c>
      <c r="S7">
        <v>1.4096643993787711E-6</v>
      </c>
      <c r="T7">
        <v>4.4245432707751601E-4</v>
      </c>
      <c r="U7">
        <v>1.456010878132102E-3</v>
      </c>
      <c r="V7">
        <v>4.4215841188658487E-3</v>
      </c>
      <c r="W7">
        <v>1.5820814978707181E-4</v>
      </c>
      <c r="X7">
        <v>0</v>
      </c>
      <c r="Y7">
        <v>1.5900736332158687</v>
      </c>
      <c r="Z7">
        <v>0.26259765083573661</v>
      </c>
      <c r="AA7">
        <v>8.9251899791134086</v>
      </c>
    </row>
    <row r="8" spans="1:27" x14ac:dyDescent="0.25">
      <c r="A8" s="1">
        <v>6</v>
      </c>
      <c r="B8" t="s">
        <v>33</v>
      </c>
      <c r="C8" t="s">
        <v>26</v>
      </c>
      <c r="D8">
        <v>10.79532945823042</v>
      </c>
      <c r="E8">
        <v>1.0581814051544869E-2</v>
      </c>
      <c r="F8">
        <v>2.0917071216895199E-2</v>
      </c>
      <c r="G8">
        <v>3.337934035364725E-5</v>
      </c>
      <c r="H8">
        <v>8.8919960485125645E-4</v>
      </c>
      <c r="I8">
        <v>1.737624900552022E-4</v>
      </c>
      <c r="J8">
        <v>5.9638077865160791E-4</v>
      </c>
      <c r="K8">
        <v>2.3341288416082822E-3</v>
      </c>
      <c r="L8">
        <v>2.7104053422346401E-5</v>
      </c>
      <c r="M8">
        <v>4.1112665349905937E-5</v>
      </c>
      <c r="N8">
        <v>2.912538779137927E-3</v>
      </c>
      <c r="O8">
        <v>1.343481035649853E-5</v>
      </c>
      <c r="P8">
        <v>4.5568316212444761E-7</v>
      </c>
      <c r="Q8">
        <v>5.439842899292986E-5</v>
      </c>
      <c r="R8">
        <v>1.3732309904010511E-7</v>
      </c>
      <c r="S8">
        <v>1.3551544117710459E-6</v>
      </c>
      <c r="T8">
        <v>4.1692282821502989E-4</v>
      </c>
      <c r="U8">
        <v>1.339598441209462E-3</v>
      </c>
      <c r="V8">
        <v>4.4103584477798692E-3</v>
      </c>
      <c r="W8">
        <v>1.4720810740762659E-4</v>
      </c>
      <c r="X8">
        <v>0</v>
      </c>
      <c r="Y8">
        <v>1.5665382855794554</v>
      </c>
      <c r="Z8">
        <v>0.2587108327212666</v>
      </c>
      <c r="AA8">
        <v>8.9251899788831945</v>
      </c>
    </row>
    <row r="9" spans="1:27" x14ac:dyDescent="0.25">
      <c r="A9" s="1">
        <v>7</v>
      </c>
      <c r="B9" t="s">
        <v>33</v>
      </c>
      <c r="C9" t="s">
        <v>27</v>
      </c>
      <c r="D9">
        <v>10.9965874932952</v>
      </c>
      <c r="E9">
        <v>1.8110688515560001E-2</v>
      </c>
      <c r="F9">
        <v>4.4332607081899483E-2</v>
      </c>
      <c r="G9">
        <v>3.8069217529455031E-5</v>
      </c>
      <c r="H9">
        <v>1.0744851158769209E-3</v>
      </c>
      <c r="I9">
        <v>2.0856933336140849E-4</v>
      </c>
      <c r="J9">
        <v>1.697622871425561E-3</v>
      </c>
      <c r="K9">
        <v>3.338108115357711E-3</v>
      </c>
      <c r="L9">
        <v>3.1494808109269233E-5</v>
      </c>
      <c r="M9">
        <v>1.036498255976517E-4</v>
      </c>
      <c r="N9">
        <v>3.8083973608331449E-3</v>
      </c>
      <c r="O9">
        <v>2.7165509980847691E-5</v>
      </c>
      <c r="P9">
        <v>4.702068263715078E-7</v>
      </c>
      <c r="Q9">
        <v>5.7481832825853678E-5</v>
      </c>
      <c r="R9">
        <v>4.8477227320119648E-7</v>
      </c>
      <c r="S9">
        <v>2.2056213562909851E-6</v>
      </c>
      <c r="T9">
        <v>7.2390918553450043E-4</v>
      </c>
      <c r="U9">
        <v>2.5264132890781212E-3</v>
      </c>
      <c r="V9">
        <v>4.4704821362772122E-3</v>
      </c>
      <c r="W9">
        <v>2.5195233788745581E-4</v>
      </c>
      <c r="X9">
        <v>0</v>
      </c>
      <c r="Y9">
        <v>1.7084465432361198</v>
      </c>
      <c r="Z9">
        <v>0.28214671286944931</v>
      </c>
      <c r="AA9">
        <v>8.9251899800520409</v>
      </c>
    </row>
    <row r="10" spans="1:27" x14ac:dyDescent="0.25">
      <c r="A10" s="1">
        <v>8</v>
      </c>
      <c r="B10" t="s">
        <v>33</v>
      </c>
      <c r="C10" t="s">
        <v>28</v>
      </c>
      <c r="D10">
        <v>10.90827838482768</v>
      </c>
      <c r="E10">
        <v>1.410898328530928E-2</v>
      </c>
      <c r="F10">
        <v>3.423095481113831E-2</v>
      </c>
      <c r="G10">
        <v>3.5975591593702608E-5</v>
      </c>
      <c r="H10">
        <v>1.019814762690261E-3</v>
      </c>
      <c r="I10">
        <v>1.945659832336182E-4</v>
      </c>
      <c r="J10">
        <v>1.0862768494666281E-3</v>
      </c>
      <c r="K10">
        <v>2.8736080410952419E-3</v>
      </c>
      <c r="L10">
        <v>2.9920151701392579E-5</v>
      </c>
      <c r="M10">
        <v>7.1485311422341837E-5</v>
      </c>
      <c r="N10">
        <v>3.4079501937125741E-3</v>
      </c>
      <c r="O10">
        <v>2.1862579527178191E-5</v>
      </c>
      <c r="P10">
        <v>4.6330677931835871E-7</v>
      </c>
      <c r="Q10">
        <v>5.626430326440552E-5</v>
      </c>
      <c r="R10">
        <v>2.9618911399729179E-7</v>
      </c>
      <c r="S10">
        <v>1.864267812418455E-6</v>
      </c>
      <c r="T10">
        <v>6.057848336006019E-4</v>
      </c>
      <c r="U10">
        <v>2.0882654616849691E-3</v>
      </c>
      <c r="V10">
        <v>4.4435029580982E-3</v>
      </c>
      <c r="W10">
        <v>2.126036878080709E-4</v>
      </c>
      <c r="X10">
        <v>0</v>
      </c>
      <c r="Y10">
        <v>1.646655863649285</v>
      </c>
      <c r="Z10">
        <v>0.27194209909302319</v>
      </c>
      <c r="AA10">
        <v>8.9251899795163183</v>
      </c>
    </row>
    <row r="11" spans="1:27" x14ac:dyDescent="0.25">
      <c r="A11" s="1">
        <v>9</v>
      </c>
      <c r="B11" t="s">
        <v>33</v>
      </c>
      <c r="C11" t="s">
        <v>29</v>
      </c>
      <c r="D11">
        <v>10.8619952521514</v>
      </c>
      <c r="E11">
        <v>1.268189202413572E-2</v>
      </c>
      <c r="F11">
        <v>2.4586228883675749E-2</v>
      </c>
      <c r="G11">
        <v>3.4516318105589199E-5</v>
      </c>
      <c r="H11">
        <v>9.0206009614375528E-4</v>
      </c>
      <c r="I11">
        <v>1.8068620746124881E-4</v>
      </c>
      <c r="J11">
        <v>7.350539239766871E-4</v>
      </c>
      <c r="K11">
        <v>2.5959835126927919E-3</v>
      </c>
      <c r="L11">
        <v>2.79745967271702E-5</v>
      </c>
      <c r="M11">
        <v>4.7731491349906943E-5</v>
      </c>
      <c r="N11">
        <v>3.1582340780101342E-3</v>
      </c>
      <c r="O11">
        <v>1.740378168929433E-5</v>
      </c>
      <c r="P11">
        <v>4.618835132529721E-7</v>
      </c>
      <c r="Q11">
        <v>5.511580607320561E-5</v>
      </c>
      <c r="R11">
        <v>2.3763069911862571E-7</v>
      </c>
      <c r="S11">
        <v>1.545769971481763E-6</v>
      </c>
      <c r="T11">
        <v>4.7065281948488133E-4</v>
      </c>
      <c r="U11">
        <v>1.5090763531629169E-3</v>
      </c>
      <c r="V11">
        <v>4.4311924932185299E-3</v>
      </c>
      <c r="W11">
        <v>1.6633070481319239E-4</v>
      </c>
      <c r="X11">
        <v>0</v>
      </c>
      <c r="Y11">
        <v>1.617994212630812</v>
      </c>
      <c r="Z11">
        <v>0.26720868167806822</v>
      </c>
      <c r="AA11">
        <v>8.9251899794676142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1"/>
  <sheetViews>
    <sheetView tabSelected="1" topLeftCell="D1" workbookViewId="0">
      <selection activeCell="Z8" sqref="Z8"/>
    </sheetView>
  </sheetViews>
  <sheetFormatPr defaultRowHeight="15" x14ac:dyDescent="0.25"/>
  <sheetData>
    <row r="1" spans="1:29" x14ac:dyDescent="0.25">
      <c r="B1" s="1" t="s">
        <v>0</v>
      </c>
      <c r="C1" s="1" t="s">
        <v>1</v>
      </c>
      <c r="D1" s="1" t="s">
        <v>34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45</v>
      </c>
      <c r="AC1" s="1" t="s">
        <v>19</v>
      </c>
    </row>
    <row r="2" spans="1:29" x14ac:dyDescent="0.25">
      <c r="A2" s="1">
        <v>0</v>
      </c>
      <c r="B2" t="s">
        <v>34</v>
      </c>
      <c r="C2" t="s">
        <v>20</v>
      </c>
      <c r="D2">
        <v>4.8781666908215744</v>
      </c>
      <c r="E2">
        <v>0.1420764499332593</v>
      </c>
      <c r="F2">
        <v>2.236109545418415E-2</v>
      </c>
      <c r="G2">
        <v>5.2966599514988361E-2</v>
      </c>
      <c r="H2">
        <v>3.9870999951249051E-5</v>
      </c>
      <c r="I2">
        <v>1.11504787793423E-3</v>
      </c>
      <c r="J2">
        <v>2.2045529694572061E-4</v>
      </c>
      <c r="K2">
        <v>2.082938453430559E-3</v>
      </c>
      <c r="L2">
        <v>6.361631112596299E-4</v>
      </c>
      <c r="M2">
        <v>3.8753588110664308E-3</v>
      </c>
      <c r="N2">
        <v>3.2812971008419839E-5</v>
      </c>
      <c r="O2">
        <v>1.2756965348521249E-4</v>
      </c>
      <c r="P2">
        <v>4.15777815009082E-3</v>
      </c>
      <c r="Q2">
        <v>3.1463843579188017E-5</v>
      </c>
      <c r="R2">
        <v>4.7762301078091125E-7</v>
      </c>
      <c r="S2">
        <v>5.8423116832153428E-5</v>
      </c>
      <c r="T2">
        <v>5.260035306051284E-7</v>
      </c>
      <c r="U2">
        <v>2.602132163041635E-6</v>
      </c>
      <c r="V2">
        <v>8.3998856451323451E-4</v>
      </c>
      <c r="W2">
        <v>2.9144709042460012E-3</v>
      </c>
      <c r="X2">
        <v>4.4902178779148852E-3</v>
      </c>
      <c r="Y2">
        <v>2.8743436474409261E-4</v>
      </c>
      <c r="Z2">
        <v>0</v>
      </c>
      <c r="AA2">
        <v>1.7394730210054843</v>
      </c>
      <c r="AB2">
        <v>0.2465529276241854</v>
      </c>
      <c r="AC2">
        <v>2.61310524821178</v>
      </c>
    </row>
    <row r="3" spans="1:29" x14ac:dyDescent="0.25">
      <c r="A3" s="1">
        <v>1</v>
      </c>
      <c r="B3" t="s">
        <v>34</v>
      </c>
      <c r="C3" t="s">
        <v>21</v>
      </c>
      <c r="D3">
        <v>4.8403605132013379</v>
      </c>
      <c r="E3">
        <v>0.13679932282685431</v>
      </c>
      <c r="F3">
        <v>2.0055060001823059E-2</v>
      </c>
      <c r="G3">
        <v>4.9418513333911403E-2</v>
      </c>
      <c r="H3">
        <v>3.911753746663405E-5</v>
      </c>
      <c r="I3">
        <v>1.100074248113151E-3</v>
      </c>
      <c r="J3">
        <v>2.152958685212315E-4</v>
      </c>
      <c r="K3">
        <v>1.970042623701017E-3</v>
      </c>
      <c r="L3">
        <v>6.1308051468318236E-4</v>
      </c>
      <c r="M3">
        <v>3.66482954191396E-3</v>
      </c>
      <c r="N3">
        <v>3.2270898362736131E-5</v>
      </c>
      <c r="O3">
        <v>1.197009649556328E-4</v>
      </c>
      <c r="P3">
        <v>4.0507368036655136E-3</v>
      </c>
      <c r="Q3">
        <v>2.9570576362890852E-5</v>
      </c>
      <c r="R3">
        <v>4.7337951251293742E-7</v>
      </c>
      <c r="S3">
        <v>5.8026899140564598E-5</v>
      </c>
      <c r="T3">
        <v>5.0258832003950641E-7</v>
      </c>
      <c r="U3">
        <v>2.38037685072818E-6</v>
      </c>
      <c r="V3">
        <v>7.8807149096362793E-4</v>
      </c>
      <c r="W3">
        <v>2.7649728942255071E-3</v>
      </c>
      <c r="X3">
        <v>4.4807397090091596E-3</v>
      </c>
      <c r="Y3">
        <v>2.7163929726161339E-4</v>
      </c>
      <c r="Z3">
        <v>0</v>
      </c>
      <c r="AA3">
        <v>1.71719014046288</v>
      </c>
      <c r="AB3">
        <v>0.24339455185903361</v>
      </c>
      <c r="AC3">
        <v>2.6131052489612632</v>
      </c>
    </row>
    <row r="4" spans="1:29" x14ac:dyDescent="0.25">
      <c r="A4" s="1">
        <v>2</v>
      </c>
      <c r="B4" t="s">
        <v>34</v>
      </c>
      <c r="C4" t="s">
        <v>22</v>
      </c>
      <c r="D4">
        <v>4.8128827703764712</v>
      </c>
      <c r="E4">
        <v>0.12978134047275811</v>
      </c>
      <c r="F4">
        <v>2.0298724831749999E-2</v>
      </c>
      <c r="G4">
        <v>4.7829310864031152E-2</v>
      </c>
      <c r="H4">
        <v>3.8767799598242832E-5</v>
      </c>
      <c r="I4">
        <v>1.084908857758598E-3</v>
      </c>
      <c r="J4">
        <v>2.121268381683207E-4</v>
      </c>
      <c r="K4">
        <v>1.8605205025408499E-3</v>
      </c>
      <c r="L4">
        <v>6.1305643389652153E-4</v>
      </c>
      <c r="M4">
        <v>3.4220246220772938E-3</v>
      </c>
      <c r="N4">
        <v>3.1877729046066762E-5</v>
      </c>
      <c r="O4">
        <v>1.1323086905363601E-4</v>
      </c>
      <c r="P4">
        <v>3.9196287876787769E-3</v>
      </c>
      <c r="Q4">
        <v>2.773715584498885E-5</v>
      </c>
      <c r="R4">
        <v>4.7274147903020663E-7</v>
      </c>
      <c r="S4">
        <v>5.7612362497915897E-5</v>
      </c>
      <c r="T4">
        <v>4.2753043066419812E-7</v>
      </c>
      <c r="U4">
        <v>2.396377718835448E-6</v>
      </c>
      <c r="V4">
        <v>7.7679006781649794E-4</v>
      </c>
      <c r="W4">
        <v>2.6830482073999921E-3</v>
      </c>
      <c r="X4">
        <v>4.4642582202440891E-3</v>
      </c>
      <c r="Y4">
        <v>2.649056565987173E-4</v>
      </c>
      <c r="Z4">
        <v>0</v>
      </c>
      <c r="AA4">
        <v>1.7013239275948924</v>
      </c>
      <c r="AB4">
        <v>0.24114567464986042</v>
      </c>
      <c r="AC4">
        <v>2.6131052494752089</v>
      </c>
    </row>
    <row r="5" spans="1:29" x14ac:dyDescent="0.25">
      <c r="A5" s="1">
        <v>3</v>
      </c>
      <c r="B5" t="s">
        <v>34</v>
      </c>
      <c r="C5" t="s">
        <v>23</v>
      </c>
      <c r="D5">
        <v>4.7911134591729629</v>
      </c>
      <c r="E5">
        <v>0.11828901061771251</v>
      </c>
      <c r="F5">
        <v>2.2011893378207449E-2</v>
      </c>
      <c r="G5">
        <v>4.6633759439524143E-2</v>
      </c>
      <c r="H5">
        <v>3.8746141603607432E-5</v>
      </c>
      <c r="I5">
        <v>1.059466132098388E-3</v>
      </c>
      <c r="J5">
        <v>2.0990580599569391E-4</v>
      </c>
      <c r="K5">
        <v>1.7574867761303179E-3</v>
      </c>
      <c r="L5">
        <v>6.1409657272051919E-4</v>
      </c>
      <c r="M5">
        <v>3.3016498555131731E-3</v>
      </c>
      <c r="N5">
        <v>3.1477071387090938E-5</v>
      </c>
      <c r="O5">
        <v>1.0686478901046321E-4</v>
      </c>
      <c r="P5">
        <v>3.8445870281558431E-3</v>
      </c>
      <c r="Q5">
        <v>2.6783855393971131E-5</v>
      </c>
      <c r="R5">
        <v>4.7596773983920541E-7</v>
      </c>
      <c r="S5">
        <v>5.7341583410986288E-5</v>
      </c>
      <c r="T5">
        <v>3.9138305662890801E-7</v>
      </c>
      <c r="U5">
        <v>2.487276943047091E-6</v>
      </c>
      <c r="V5">
        <v>7.693430098491055E-4</v>
      </c>
      <c r="W5">
        <v>2.5631990759228491E-3</v>
      </c>
      <c r="X5">
        <v>4.4590301940245309E-3</v>
      </c>
      <c r="Y5">
        <v>2.5991844620971641E-4</v>
      </c>
      <c r="Z5">
        <v>0</v>
      </c>
      <c r="AA5">
        <v>1.6924632010074789</v>
      </c>
      <c r="AB5">
        <v>0.23988975515319502</v>
      </c>
      <c r="AC5">
        <v>2.6131052496112299</v>
      </c>
    </row>
    <row r="6" spans="1:29" x14ac:dyDescent="0.25">
      <c r="A6" s="1">
        <v>4</v>
      </c>
      <c r="B6" t="s">
        <v>34</v>
      </c>
      <c r="C6" t="s">
        <v>24</v>
      </c>
      <c r="D6">
        <v>4.5893374681625954</v>
      </c>
      <c r="E6">
        <v>3.7800754413894688E-2</v>
      </c>
      <c r="F6">
        <v>1.282085827477019E-2</v>
      </c>
      <c r="G6">
        <v>2.8571493465992678E-2</v>
      </c>
      <c r="H6">
        <v>3.5338267841167498E-5</v>
      </c>
      <c r="I6">
        <v>9.4165465652592075E-4</v>
      </c>
      <c r="J6">
        <v>1.868813796941294E-4</v>
      </c>
      <c r="K6">
        <v>1.027832706440999E-3</v>
      </c>
      <c r="L6">
        <v>4.8992921418982034E-4</v>
      </c>
      <c r="M6">
        <v>2.8289961499399561E-3</v>
      </c>
      <c r="N6">
        <v>2.8819345516975301E-5</v>
      </c>
      <c r="O6">
        <v>6.3586013055210813E-5</v>
      </c>
      <c r="P6">
        <v>3.3543001938020961E-3</v>
      </c>
      <c r="Q6">
        <v>2.03072800979204E-5</v>
      </c>
      <c r="R6">
        <v>4.606506127988123E-7</v>
      </c>
      <c r="S6">
        <v>5.5789914053547218E-5</v>
      </c>
      <c r="T6">
        <v>2.6307999762603351E-7</v>
      </c>
      <c r="U6">
        <v>1.5851884990328769E-6</v>
      </c>
      <c r="V6">
        <v>5.0735201094397877E-4</v>
      </c>
      <c r="W6">
        <v>1.7162808616166629E-3</v>
      </c>
      <c r="X6">
        <v>4.4500864515680024E-3</v>
      </c>
      <c r="Y6">
        <v>1.8322644806689621E-4</v>
      </c>
      <c r="Z6">
        <v>0</v>
      </c>
      <c r="AA6">
        <v>1.6145127042533689</v>
      </c>
      <c r="AB6">
        <v>0.22884105077410896</v>
      </c>
      <c r="AC6">
        <v>2.6131052507827768</v>
      </c>
    </row>
    <row r="7" spans="1:29" x14ac:dyDescent="0.25">
      <c r="A7" s="1">
        <v>5</v>
      </c>
      <c r="B7" t="s">
        <v>34</v>
      </c>
      <c r="C7" t="s">
        <v>25</v>
      </c>
      <c r="D7">
        <v>4.4966330618222736</v>
      </c>
      <c r="E7">
        <v>1.154134168185628E-2</v>
      </c>
      <c r="F7">
        <v>1.08868805116172E-2</v>
      </c>
      <c r="G7">
        <v>2.3046305642141999E-2</v>
      </c>
      <c r="H7">
        <v>3.3854581500651293E-5</v>
      </c>
      <c r="I7">
        <v>9.0577301551992943E-4</v>
      </c>
      <c r="J7">
        <v>1.776478641214098E-4</v>
      </c>
      <c r="K7">
        <v>6.9578932461420535E-4</v>
      </c>
      <c r="L7">
        <v>4.6468881400584682E-4</v>
      </c>
      <c r="M7">
        <v>2.4605638263945802E-3</v>
      </c>
      <c r="N7">
        <v>2.7660970641729911E-5</v>
      </c>
      <c r="O7">
        <v>4.6312823205164937E-5</v>
      </c>
      <c r="P7">
        <v>3.0207803598020369E-3</v>
      </c>
      <c r="Q7">
        <v>1.549544270502011E-5</v>
      </c>
      <c r="R7">
        <v>4.5694468638723061E-7</v>
      </c>
      <c r="S7">
        <v>5.4818520802527029E-5</v>
      </c>
      <c r="T7">
        <v>1.747254058409849E-7</v>
      </c>
      <c r="U7">
        <v>1.4095028905475639E-6</v>
      </c>
      <c r="V7">
        <v>4.4240363396129341E-4</v>
      </c>
      <c r="W7">
        <v>1.455844059265567E-3</v>
      </c>
      <c r="X7">
        <v>4.4215841188658487E-3</v>
      </c>
      <c r="Y7">
        <v>1.5820814978707181E-4</v>
      </c>
      <c r="Z7">
        <v>0</v>
      </c>
      <c r="AA7">
        <v>1.5651828327917374</v>
      </c>
      <c r="AB7">
        <v>0.22184903417981902</v>
      </c>
      <c r="AC7">
        <v>2.6131052522577698</v>
      </c>
    </row>
    <row r="8" spans="1:29" x14ac:dyDescent="0.25">
      <c r="A8" s="1">
        <v>6</v>
      </c>
      <c r="B8" t="s">
        <v>34</v>
      </c>
      <c r="C8" t="s">
        <v>26</v>
      </c>
      <c r="D8">
        <v>4.4595840685774739</v>
      </c>
      <c r="E8">
        <v>4.4607763127944618E-3</v>
      </c>
      <c r="F8">
        <v>1.0580601666228011E-2</v>
      </c>
      <c r="G8">
        <v>2.091467469491021E-2</v>
      </c>
      <c r="H8">
        <v>3.337934035364725E-5</v>
      </c>
      <c r="I8">
        <v>8.8919960485125645E-4</v>
      </c>
      <c r="J8">
        <v>1.737624900552022E-4</v>
      </c>
      <c r="K8">
        <v>5.9638077865160791E-4</v>
      </c>
      <c r="L8">
        <v>4.5457622966673641E-4</v>
      </c>
      <c r="M8">
        <v>2.3341288416082822E-3</v>
      </c>
      <c r="N8">
        <v>2.7104053422346401E-5</v>
      </c>
      <c r="O8">
        <v>4.1112665349905937E-5</v>
      </c>
      <c r="P8">
        <v>2.912538779137927E-3</v>
      </c>
      <c r="Q8">
        <v>1.343481035649853E-5</v>
      </c>
      <c r="R8">
        <v>4.5568316212444761E-7</v>
      </c>
      <c r="S8">
        <v>5.439842899292986E-5</v>
      </c>
      <c r="T8">
        <v>1.3732309904010511E-7</v>
      </c>
      <c r="U8">
        <v>1.354999148287588E-6</v>
      </c>
      <c r="V8">
        <v>4.168750603074418E-4</v>
      </c>
      <c r="W8">
        <v>1.3394449600147671E-3</v>
      </c>
      <c r="X8">
        <v>4.4103584477798692E-3</v>
      </c>
      <c r="Y8">
        <v>1.4720810740762659E-4</v>
      </c>
      <c r="Z8">
        <v>0</v>
      </c>
      <c r="AA8">
        <v>1.5420159043459158</v>
      </c>
      <c r="AB8">
        <v>0.21856535345387385</v>
      </c>
      <c r="AC8">
        <v>2.6131052530777721</v>
      </c>
    </row>
    <row r="9" spans="1:29" x14ac:dyDescent="0.25">
      <c r="A9" s="1">
        <v>7</v>
      </c>
      <c r="B9" t="s">
        <v>34</v>
      </c>
      <c r="C9" t="s">
        <v>27</v>
      </c>
      <c r="D9">
        <v>4.7649454112354208</v>
      </c>
      <c r="E9">
        <v>0.1110232245261394</v>
      </c>
      <c r="F9">
        <v>1.8108613527970181E-2</v>
      </c>
      <c r="G9">
        <v>4.4327527782488017E-2</v>
      </c>
      <c r="H9">
        <v>3.8069217529455031E-5</v>
      </c>
      <c r="I9">
        <v>1.0744851158769209E-3</v>
      </c>
      <c r="J9">
        <v>2.0856933336140849E-4</v>
      </c>
      <c r="K9">
        <v>1.697622871425561E-3</v>
      </c>
      <c r="L9">
        <v>5.8743170827755696E-4</v>
      </c>
      <c r="M9">
        <v>3.338108115357711E-3</v>
      </c>
      <c r="N9">
        <v>3.1494808109269233E-5</v>
      </c>
      <c r="O9">
        <v>1.036498255976517E-4</v>
      </c>
      <c r="P9">
        <v>3.8083973608331449E-3</v>
      </c>
      <c r="Q9">
        <v>2.7165509980847691E-5</v>
      </c>
      <c r="R9">
        <v>4.702068263715078E-7</v>
      </c>
      <c r="S9">
        <v>5.7481832825853678E-5</v>
      </c>
      <c r="T9">
        <v>4.8477227320119648E-7</v>
      </c>
      <c r="U9">
        <v>2.2053686526492511E-6</v>
      </c>
      <c r="V9">
        <v>7.2382624542016857E-4</v>
      </c>
      <c r="W9">
        <v>2.5261238314897251E-3</v>
      </c>
      <c r="X9">
        <v>4.4704821362772122E-3</v>
      </c>
      <c r="Y9">
        <v>2.5195233788745581E-4</v>
      </c>
      <c r="Z9">
        <v>0</v>
      </c>
      <c r="AA9">
        <v>1.6817027490779977</v>
      </c>
      <c r="AB9">
        <v>0.23836456856292565</v>
      </c>
      <c r="AC9">
        <v>2.613105249837961</v>
      </c>
    </row>
    <row r="10" spans="1:29" x14ac:dyDescent="0.25">
      <c r="A10" s="1">
        <v>8</v>
      </c>
      <c r="B10" t="s">
        <v>34</v>
      </c>
      <c r="C10" t="s">
        <v>28</v>
      </c>
      <c r="D10">
        <v>4.6141668570469081</v>
      </c>
      <c r="E10">
        <v>4.7473776782838942E-2</v>
      </c>
      <c r="F10">
        <v>1.4107366783253229E-2</v>
      </c>
      <c r="G10">
        <v>3.4227032883688703E-2</v>
      </c>
      <c r="H10">
        <v>3.5975591593702608E-5</v>
      </c>
      <c r="I10">
        <v>1.019814762690261E-3</v>
      </c>
      <c r="J10">
        <v>1.945659832336182E-4</v>
      </c>
      <c r="K10">
        <v>1.0862768494666281E-3</v>
      </c>
      <c r="L10">
        <v>5.3874778954990181E-4</v>
      </c>
      <c r="M10">
        <v>2.8736080410952419E-3</v>
      </c>
      <c r="N10">
        <v>2.9920151701392579E-5</v>
      </c>
      <c r="O10">
        <v>7.1485311422341837E-5</v>
      </c>
      <c r="P10">
        <v>3.4079501937125741E-3</v>
      </c>
      <c r="Q10">
        <v>2.1862579527178191E-5</v>
      </c>
      <c r="R10">
        <v>4.6330677931835871E-7</v>
      </c>
      <c r="S10">
        <v>5.626430326440552E-5</v>
      </c>
      <c r="T10">
        <v>2.9618911399729179E-7</v>
      </c>
      <c r="U10">
        <v>1.864054218519383E-6</v>
      </c>
      <c r="V10">
        <v>6.0571542729334019E-4</v>
      </c>
      <c r="W10">
        <v>2.0880262038062E-3</v>
      </c>
      <c r="X10">
        <v>4.4435029580982E-3</v>
      </c>
      <c r="Y10">
        <v>2.126036878080709E-4</v>
      </c>
      <c r="Z10">
        <v>0</v>
      </c>
      <c r="AA10">
        <v>1.6208793325420914</v>
      </c>
      <c r="AB10">
        <v>0.22974345674690877</v>
      </c>
      <c r="AC10">
        <v>2.6131052509001971</v>
      </c>
    </row>
    <row r="11" spans="1:29" x14ac:dyDescent="0.25">
      <c r="A11" s="1">
        <v>9</v>
      </c>
      <c r="B11" t="s">
        <v>34</v>
      </c>
      <c r="C11" t="s">
        <v>29</v>
      </c>
      <c r="D11">
        <v>4.5293787287629703</v>
      </c>
      <c r="E11">
        <v>8.5076653109683962E-3</v>
      </c>
      <c r="F11">
        <v>1.26804390275507E-2</v>
      </c>
      <c r="G11">
        <v>2.458341197697617E-2</v>
      </c>
      <c r="H11">
        <v>3.4516318105589199E-5</v>
      </c>
      <c r="I11">
        <v>9.0206009614375528E-4</v>
      </c>
      <c r="J11">
        <v>1.8068620746124881E-4</v>
      </c>
      <c r="K11">
        <v>7.350539239766871E-4</v>
      </c>
      <c r="L11">
        <v>4.7575112588455458E-4</v>
      </c>
      <c r="M11">
        <v>2.5959835126927919E-3</v>
      </c>
      <c r="N11">
        <v>2.79745967271702E-5</v>
      </c>
      <c r="O11">
        <v>4.7731491349906943E-5</v>
      </c>
      <c r="P11">
        <v>3.1582340780101342E-3</v>
      </c>
      <c r="Q11">
        <v>1.740378168929433E-5</v>
      </c>
      <c r="R11">
        <v>4.618835132529721E-7</v>
      </c>
      <c r="S11">
        <v>5.511580607320561E-5</v>
      </c>
      <c r="T11">
        <v>2.3763069911862571E-7</v>
      </c>
      <c r="U11">
        <v>1.545592868689408E-6</v>
      </c>
      <c r="V11">
        <v>4.7059889559575258E-4</v>
      </c>
      <c r="W11">
        <v>1.5089034544510499E-3</v>
      </c>
      <c r="X11">
        <v>4.4311924932185299E-3</v>
      </c>
      <c r="Y11">
        <v>1.6633070481319239E-4</v>
      </c>
      <c r="Z11">
        <v>0</v>
      </c>
      <c r="AA11">
        <v>1.5926663471831342</v>
      </c>
      <c r="AB11">
        <v>0.22574454785135811</v>
      </c>
      <c r="AC11">
        <v>2.613105251031123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1"/>
  <sheetViews>
    <sheetView topLeftCell="A11" workbookViewId="0">
      <selection activeCell="A13" sqref="A13:XFD37"/>
    </sheetView>
  </sheetViews>
  <sheetFormatPr defaultRowHeight="15" x14ac:dyDescent="0.25"/>
  <sheetData>
    <row r="1" spans="1:13" x14ac:dyDescent="0.25">
      <c r="B1" s="1" t="s">
        <v>0</v>
      </c>
      <c r="C1" s="1" t="s">
        <v>1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39</v>
      </c>
      <c r="M1" s="1" t="s">
        <v>19</v>
      </c>
    </row>
    <row r="2" spans="1:13" x14ac:dyDescent="0.25">
      <c r="A2" s="1">
        <v>0</v>
      </c>
      <c r="B2" t="s">
        <v>35</v>
      </c>
      <c r="C2" t="s">
        <v>20</v>
      </c>
      <c r="D2">
        <v>2.399075197032861</v>
      </c>
      <c r="E2">
        <v>0.32292122580615479</v>
      </c>
      <c r="F2">
        <v>5.1320088533994827E-2</v>
      </c>
      <c r="G2">
        <v>1.6209503073538401E-2</v>
      </c>
      <c r="H2">
        <v>0.10425448409781</v>
      </c>
      <c r="I2">
        <v>4.8331156622042991E-6</v>
      </c>
      <c r="J2">
        <v>1.560167444560522E-3</v>
      </c>
      <c r="K2">
        <v>5.4132434833306341E-3</v>
      </c>
      <c r="L2">
        <v>1.8973916948709999</v>
      </c>
      <c r="M2">
        <v>0</v>
      </c>
    </row>
    <row r="3" spans="1:13" x14ac:dyDescent="0.25">
      <c r="A3" s="1">
        <v>1</v>
      </c>
      <c r="B3" t="s">
        <v>35</v>
      </c>
      <c r="C3" t="s">
        <v>21</v>
      </c>
      <c r="D3">
        <v>2.151921314539146</v>
      </c>
      <c r="E3">
        <v>0.30898767382703179</v>
      </c>
      <c r="F3">
        <v>3.8155151007386208E-2</v>
      </c>
      <c r="G3">
        <v>1.5981088594719261E-2</v>
      </c>
      <c r="H3">
        <v>0.1035592013147193</v>
      </c>
      <c r="I3">
        <v>4.4212345562629382E-6</v>
      </c>
      <c r="J3">
        <v>1.46373836041473E-3</v>
      </c>
      <c r="K3">
        <v>5.135570740970298E-3</v>
      </c>
      <c r="L3">
        <v>1.6786344516007221</v>
      </c>
      <c r="M3">
        <v>0</v>
      </c>
    </row>
    <row r="4" spans="1:13" x14ac:dyDescent="0.25">
      <c r="A4" s="1">
        <v>2</v>
      </c>
      <c r="B4" t="s">
        <v>35</v>
      </c>
      <c r="C4" t="s">
        <v>22</v>
      </c>
      <c r="D4">
        <v>1.940612837015411</v>
      </c>
      <c r="E4">
        <v>0.30206041244531362</v>
      </c>
      <c r="F4">
        <v>4.6086393751925532E-2</v>
      </c>
      <c r="G4">
        <v>1.6077934566415261E-2</v>
      </c>
      <c r="H4">
        <v>0.10306032127487889</v>
      </c>
      <c r="I4">
        <v>4.4509540483611897E-6</v>
      </c>
      <c r="J4">
        <v>1.4427846119161899E-3</v>
      </c>
      <c r="K4">
        <v>4.9834064917257436E-3</v>
      </c>
      <c r="L4">
        <v>1.466897130994518</v>
      </c>
      <c r="M4">
        <v>0</v>
      </c>
    </row>
    <row r="5" spans="1:13" x14ac:dyDescent="0.25">
      <c r="A5" s="1">
        <v>3</v>
      </c>
      <c r="B5" t="s">
        <v>35</v>
      </c>
      <c r="C5" t="s">
        <v>23</v>
      </c>
      <c r="D5">
        <v>1.8971083255038561</v>
      </c>
      <c r="E5">
        <v>0.30732380085239852</v>
      </c>
      <c r="F5">
        <v>6.2679910626577434E-2</v>
      </c>
      <c r="G5">
        <v>1.6339227334471851E-2</v>
      </c>
      <c r="H5">
        <v>0.1020909024928436</v>
      </c>
      <c r="I5">
        <v>4.6197873115056529E-6</v>
      </c>
      <c r="J5">
        <v>1.428952688614687E-3</v>
      </c>
      <c r="K5">
        <v>4.760802612233609E-3</v>
      </c>
      <c r="L5">
        <v>1.4024801073326749</v>
      </c>
      <c r="M5">
        <v>0</v>
      </c>
    </row>
    <row r="6" spans="1:13" x14ac:dyDescent="0.25">
      <c r="A6" s="1">
        <v>4</v>
      </c>
      <c r="B6" t="s">
        <v>35</v>
      </c>
      <c r="C6" t="s">
        <v>24</v>
      </c>
      <c r="D6">
        <v>1.538271021178349</v>
      </c>
      <c r="E6">
        <v>0.25983558026878739</v>
      </c>
      <c r="F6">
        <v>1.7623085556067349E-2</v>
      </c>
      <c r="G6">
        <v>1.551713341106996E-2</v>
      </c>
      <c r="H6">
        <v>9.76286256834379E-2</v>
      </c>
      <c r="I6">
        <v>2.9442775701548169E-6</v>
      </c>
      <c r="J6">
        <v>9.4233912680205046E-4</v>
      </c>
      <c r="K6">
        <v>3.1877642614912181E-3</v>
      </c>
      <c r="L6">
        <v>1.1435335356769929</v>
      </c>
      <c r="M6">
        <v>0</v>
      </c>
    </row>
    <row r="7" spans="1:13" x14ac:dyDescent="0.25">
      <c r="A7" s="1">
        <v>5</v>
      </c>
      <c r="B7" t="s">
        <v>35</v>
      </c>
      <c r="C7" t="s">
        <v>25</v>
      </c>
      <c r="D7">
        <v>1.235011769076674</v>
      </c>
      <c r="E7">
        <v>0.2431522460043293</v>
      </c>
      <c r="F7">
        <v>1.5910718175130019E-2</v>
      </c>
      <c r="G7">
        <v>1.541053876202195E-2</v>
      </c>
      <c r="H7">
        <v>9.6238016889476072E-2</v>
      </c>
      <c r="I7">
        <v>2.617964833986283E-6</v>
      </c>
      <c r="J7">
        <v>8.2170612341807172E-4</v>
      </c>
      <c r="K7">
        <v>2.7040374138137448E-3</v>
      </c>
      <c r="L7">
        <v>0.8607718856258888</v>
      </c>
      <c r="M7">
        <v>0</v>
      </c>
    </row>
    <row r="8" spans="1:13" x14ac:dyDescent="0.25">
      <c r="A8" s="1">
        <v>6</v>
      </c>
      <c r="B8" t="s">
        <v>35</v>
      </c>
      <c r="C8" t="s">
        <v>26</v>
      </c>
      <c r="D8">
        <v>1.154061313732617</v>
      </c>
      <c r="E8">
        <v>0.23557158215376239</v>
      </c>
      <c r="F8">
        <v>1.8408839463380969E-2</v>
      </c>
      <c r="G8">
        <v>1.5407911779979079E-2</v>
      </c>
      <c r="H8">
        <v>9.5481103594107719E-2</v>
      </c>
      <c r="I8">
        <v>2.5167313554924352E-6</v>
      </c>
      <c r="J8">
        <v>7.7429018086441119E-4</v>
      </c>
      <c r="K8">
        <v>2.487841511987725E-3</v>
      </c>
      <c r="L8">
        <v>0.78592722620127309</v>
      </c>
      <c r="M8">
        <v>0</v>
      </c>
    </row>
    <row r="9" spans="1:13" x14ac:dyDescent="0.25">
      <c r="A9" s="1">
        <v>7</v>
      </c>
      <c r="B9" t="s">
        <v>35</v>
      </c>
      <c r="C9" t="s">
        <v>27</v>
      </c>
      <c r="D9">
        <v>1.9581541027618079</v>
      </c>
      <c r="E9">
        <v>0.29609625964858588</v>
      </c>
      <c r="F9">
        <v>3.3612732923346579E-2</v>
      </c>
      <c r="G9">
        <v>1.5865174035849871E-2</v>
      </c>
      <c r="H9">
        <v>0.1022662252574716</v>
      </c>
      <c r="I9">
        <v>4.0961800201548603E-6</v>
      </c>
      <c r="J9">
        <v>1.3444113305011911E-3</v>
      </c>
      <c r="K9">
        <v>4.6919402588602938E-3</v>
      </c>
      <c r="L9">
        <v>1.504273246881715</v>
      </c>
      <c r="M9">
        <v>0</v>
      </c>
    </row>
    <row r="10" spans="1:13" x14ac:dyDescent="0.25">
      <c r="A10" s="1">
        <v>8</v>
      </c>
      <c r="B10" t="s">
        <v>35</v>
      </c>
      <c r="C10" t="s">
        <v>28</v>
      </c>
      <c r="D10">
        <v>1.5210411084871249</v>
      </c>
      <c r="E10">
        <v>0.26901122474317579</v>
      </c>
      <c r="F10">
        <v>2.4315997422068979E-2</v>
      </c>
      <c r="G10">
        <v>1.56233056109026E-2</v>
      </c>
      <c r="H10">
        <v>9.9854894853052517E-2</v>
      </c>
      <c r="I10">
        <v>3.4622336892347439E-6</v>
      </c>
      <c r="J10">
        <v>1.125036137698804E-3</v>
      </c>
      <c r="K10">
        <v>3.8782319714739479E-3</v>
      </c>
      <c r="L10">
        <v>1.1072289534338819</v>
      </c>
      <c r="M10">
        <v>0</v>
      </c>
    </row>
    <row r="11" spans="1:13" x14ac:dyDescent="0.25">
      <c r="A11" s="1">
        <v>9</v>
      </c>
      <c r="B11" t="s">
        <v>35</v>
      </c>
      <c r="C11" t="s">
        <v>29</v>
      </c>
      <c r="D11">
        <v>1.322298040883372</v>
      </c>
      <c r="E11">
        <v>0.25968582070672358</v>
      </c>
      <c r="F11">
        <v>2.616994220885761E-2</v>
      </c>
      <c r="G11">
        <v>1.561966559088734E-2</v>
      </c>
      <c r="H11">
        <v>9.6336493466910186E-2</v>
      </c>
      <c r="I11">
        <v>2.8707339339452812E-6</v>
      </c>
      <c r="J11">
        <v>8.7407508551036212E-4</v>
      </c>
      <c r="K11">
        <v>2.8025882090267108E-3</v>
      </c>
      <c r="L11">
        <v>0.92080658289800354</v>
      </c>
      <c r="M1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1"/>
  <sheetViews>
    <sheetView workbookViewId="0">
      <selection activeCell="G6" sqref="G6"/>
    </sheetView>
  </sheetViews>
  <sheetFormatPr defaultRowHeight="15" x14ac:dyDescent="0.25"/>
  <cols>
    <col min="3" max="3" width="29.42578125" bestFit="1" customWidth="1"/>
  </cols>
  <sheetData>
    <row r="1" spans="1:13" x14ac:dyDescent="0.25">
      <c r="B1" s="1" t="s">
        <v>0</v>
      </c>
      <c r="C1" s="1" t="s">
        <v>1</v>
      </c>
      <c r="D1" s="1" t="s">
        <v>40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41</v>
      </c>
      <c r="M1" s="1" t="s">
        <v>19</v>
      </c>
    </row>
    <row r="2" spans="1:13" x14ac:dyDescent="0.25">
      <c r="A2" s="1">
        <v>0</v>
      </c>
      <c r="B2" t="s">
        <v>40</v>
      </c>
      <c r="C2" t="s">
        <v>20</v>
      </c>
      <c r="D2">
        <v>4.063558420023198</v>
      </c>
      <c r="E2">
        <v>0.32292122580615479</v>
      </c>
      <c r="F2">
        <v>5.1320088533994827E-2</v>
      </c>
      <c r="G2">
        <v>1.6209503073538401E-2</v>
      </c>
      <c r="H2">
        <v>0.10425448409781</v>
      </c>
      <c r="I2">
        <v>4.8331156622042991E-6</v>
      </c>
      <c r="J2">
        <v>1.560167444560522E-3</v>
      </c>
      <c r="K2">
        <v>5.4132434833306341E-3</v>
      </c>
      <c r="L2">
        <v>3.5618749575377731</v>
      </c>
      <c r="M2">
        <v>0</v>
      </c>
    </row>
    <row r="3" spans="1:13" x14ac:dyDescent="0.25">
      <c r="A3" s="1">
        <v>1</v>
      </c>
      <c r="B3" t="s">
        <v>40</v>
      </c>
      <c r="C3" t="s">
        <v>21</v>
      </c>
      <c r="D3">
        <v>3.359939327028501</v>
      </c>
      <c r="E3">
        <v>0.30898767382703179</v>
      </c>
      <c r="F3">
        <v>3.8155151007386208E-2</v>
      </c>
      <c r="G3">
        <v>1.5981088594719261E-2</v>
      </c>
      <c r="H3">
        <v>0.1035592013147193</v>
      </c>
      <c r="I3">
        <v>4.4212345562629382E-6</v>
      </c>
      <c r="J3">
        <v>1.46373836041473E-3</v>
      </c>
      <c r="K3">
        <v>5.135570740970298E-3</v>
      </c>
      <c r="L3">
        <v>2.886652452639515</v>
      </c>
      <c r="M3">
        <v>0</v>
      </c>
    </row>
    <row r="4" spans="1:13" x14ac:dyDescent="0.25">
      <c r="A4" s="1">
        <v>2</v>
      </c>
      <c r="B4" t="s">
        <v>40</v>
      </c>
      <c r="C4" t="s">
        <v>22</v>
      </c>
      <c r="D4">
        <v>2.9209477842160241</v>
      </c>
      <c r="E4">
        <v>0.30206041244531362</v>
      </c>
      <c r="F4">
        <v>4.6086393751925532E-2</v>
      </c>
      <c r="G4">
        <v>1.6077934566415261E-2</v>
      </c>
      <c r="H4">
        <v>0.10306032127487889</v>
      </c>
      <c r="I4">
        <v>4.4509540483611897E-6</v>
      </c>
      <c r="J4">
        <v>1.4427846119161899E-3</v>
      </c>
      <c r="K4">
        <v>4.9834064917257436E-3</v>
      </c>
      <c r="L4">
        <v>2.44723207819513</v>
      </c>
      <c r="M4">
        <v>0</v>
      </c>
    </row>
    <row r="5" spans="1:13" x14ac:dyDescent="0.25">
      <c r="A5" s="1">
        <v>3</v>
      </c>
      <c r="B5" t="s">
        <v>40</v>
      </c>
      <c r="C5" t="s">
        <v>23</v>
      </c>
      <c r="D5">
        <v>2.7387698013796831</v>
      </c>
      <c r="E5">
        <v>0.30732380085239852</v>
      </c>
      <c r="F5">
        <v>6.2679910626577434E-2</v>
      </c>
      <c r="G5">
        <v>1.6339227334471851E-2</v>
      </c>
      <c r="H5">
        <v>0.1020909024928436</v>
      </c>
      <c r="I5">
        <v>4.6197873115056529E-6</v>
      </c>
      <c r="J5">
        <v>1.428952688614687E-3</v>
      </c>
      <c r="K5">
        <v>4.760802612233609E-3</v>
      </c>
      <c r="L5">
        <v>2.2441415832084992</v>
      </c>
      <c r="M5">
        <v>0</v>
      </c>
    </row>
    <row r="6" spans="1:13" x14ac:dyDescent="0.25">
      <c r="A6" s="1">
        <v>4</v>
      </c>
      <c r="B6" t="s">
        <v>40</v>
      </c>
      <c r="C6" t="s">
        <v>24</v>
      </c>
      <c r="D6">
        <v>2.295094453144944</v>
      </c>
      <c r="E6">
        <v>0.25983558026878739</v>
      </c>
      <c r="F6">
        <v>1.7623085556067349E-2</v>
      </c>
      <c r="G6">
        <v>1.551713341106996E-2</v>
      </c>
      <c r="H6">
        <v>9.76286256834379E-2</v>
      </c>
      <c r="I6">
        <v>2.9442775701548169E-6</v>
      </c>
      <c r="J6">
        <v>9.4233912680205046E-4</v>
      </c>
      <c r="K6">
        <v>3.1877642614912181E-3</v>
      </c>
      <c r="L6">
        <v>1.9003569604698161</v>
      </c>
      <c r="M6">
        <v>0</v>
      </c>
    </row>
    <row r="7" spans="1:13" x14ac:dyDescent="0.25">
      <c r="A7" s="1">
        <v>5</v>
      </c>
      <c r="B7" t="s">
        <v>40</v>
      </c>
      <c r="C7" t="s">
        <v>25</v>
      </c>
      <c r="D7">
        <v>1.83551755873601</v>
      </c>
      <c r="E7">
        <v>0.2431522460043293</v>
      </c>
      <c r="F7">
        <v>1.5910718175130019E-2</v>
      </c>
      <c r="G7">
        <v>1.541053876202195E-2</v>
      </c>
      <c r="H7">
        <v>9.6238016889476072E-2</v>
      </c>
      <c r="I7">
        <v>2.617964833986283E-6</v>
      </c>
      <c r="J7">
        <v>8.2170612341807172E-4</v>
      </c>
      <c r="K7">
        <v>2.7040374138137448E-3</v>
      </c>
      <c r="L7">
        <v>1.461277675285215</v>
      </c>
      <c r="M7">
        <v>0</v>
      </c>
    </row>
    <row r="8" spans="1:13" x14ac:dyDescent="0.25">
      <c r="A8" s="1">
        <v>6</v>
      </c>
      <c r="B8" t="s">
        <v>40</v>
      </c>
      <c r="C8" t="s">
        <v>26</v>
      </c>
      <c r="D8">
        <v>1.6775179614556699</v>
      </c>
      <c r="E8">
        <v>0.23557158215376239</v>
      </c>
      <c r="F8">
        <v>1.8408839463380969E-2</v>
      </c>
      <c r="G8">
        <v>1.5407911779979079E-2</v>
      </c>
      <c r="H8">
        <v>9.5481103594107719E-2</v>
      </c>
      <c r="I8">
        <v>2.5167313554924352E-6</v>
      </c>
      <c r="J8">
        <v>7.7429018086441119E-4</v>
      </c>
      <c r="K8">
        <v>2.487841511987725E-3</v>
      </c>
      <c r="L8">
        <v>1.3093838739243191</v>
      </c>
      <c r="M8">
        <v>0</v>
      </c>
    </row>
    <row r="9" spans="1:13" x14ac:dyDescent="0.25">
      <c r="A9" s="1">
        <v>7</v>
      </c>
      <c r="B9" t="s">
        <v>40</v>
      </c>
      <c r="C9" t="s">
        <v>27</v>
      </c>
      <c r="D9">
        <v>3.1168135871939779</v>
      </c>
      <c r="E9">
        <v>0.29609625964858588</v>
      </c>
      <c r="F9">
        <v>3.3612732923346579E-2</v>
      </c>
      <c r="G9">
        <v>1.5865174035849871E-2</v>
      </c>
      <c r="H9">
        <v>0.1022662252574716</v>
      </c>
      <c r="I9">
        <v>4.0961800201548603E-6</v>
      </c>
      <c r="J9">
        <v>1.3444113305011911E-3</v>
      </c>
      <c r="K9">
        <v>4.6919402588602938E-3</v>
      </c>
      <c r="L9">
        <v>2.6629327203311872</v>
      </c>
      <c r="M9">
        <v>0</v>
      </c>
    </row>
    <row r="10" spans="1:13" x14ac:dyDescent="0.25">
      <c r="A10" s="1">
        <v>8</v>
      </c>
      <c r="B10" t="s">
        <v>40</v>
      </c>
      <c r="C10" t="s">
        <v>28</v>
      </c>
      <c r="D10">
        <v>2.379589484484474</v>
      </c>
      <c r="E10">
        <v>0.26901122474317579</v>
      </c>
      <c r="F10">
        <v>2.4315997422068979E-2</v>
      </c>
      <c r="G10">
        <v>1.56233056109026E-2</v>
      </c>
      <c r="H10">
        <v>9.9854894853052517E-2</v>
      </c>
      <c r="I10">
        <v>3.4622336892347439E-6</v>
      </c>
      <c r="J10">
        <v>1.125036137698804E-3</v>
      </c>
      <c r="K10">
        <v>3.8782319714739479E-3</v>
      </c>
      <c r="L10">
        <v>1.96577732943123</v>
      </c>
      <c r="M10">
        <v>0</v>
      </c>
    </row>
    <row r="11" spans="1:13" x14ac:dyDescent="0.25">
      <c r="A11" s="1">
        <v>9</v>
      </c>
      <c r="B11" t="s">
        <v>40</v>
      </c>
      <c r="C11" t="s">
        <v>29</v>
      </c>
      <c r="D11">
        <v>1.850332406227821</v>
      </c>
      <c r="E11">
        <v>0.25968582070672358</v>
      </c>
      <c r="F11">
        <v>2.616994220885761E-2</v>
      </c>
      <c r="G11">
        <v>1.561966559088734E-2</v>
      </c>
      <c r="H11">
        <v>9.6336493466910186E-2</v>
      </c>
      <c r="I11">
        <v>2.8707339339452812E-6</v>
      </c>
      <c r="J11">
        <v>8.7407508551036212E-4</v>
      </c>
      <c r="K11">
        <v>2.8025882090267108E-3</v>
      </c>
      <c r="L11">
        <v>1.4488409482424529</v>
      </c>
      <c r="M1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B22D-589F-4E0B-8A1F-EF6A7A53ABF5}">
  <dimension ref="A1:F14"/>
  <sheetViews>
    <sheetView workbookViewId="0">
      <selection activeCell="E2" sqref="E2:E11"/>
    </sheetView>
  </sheetViews>
  <sheetFormatPr defaultRowHeight="15" x14ac:dyDescent="0.25"/>
  <cols>
    <col min="1" max="1" width="12" bestFit="1" customWidth="1"/>
    <col min="2" max="2" width="16.28515625" bestFit="1" customWidth="1"/>
    <col min="3" max="3" width="16.85546875" bestFit="1" customWidth="1"/>
    <col min="4" max="4" width="14.85546875" bestFit="1" customWidth="1"/>
    <col min="5" max="5" width="20.28515625" bestFit="1" customWidth="1"/>
    <col min="6" max="6" width="20.85546875" bestFit="1" customWidth="1"/>
  </cols>
  <sheetData>
    <row r="1" spans="1:6" x14ac:dyDescent="0.25">
      <c r="A1" s="3" t="s">
        <v>44</v>
      </c>
      <c r="B1" s="4" t="s">
        <v>43</v>
      </c>
      <c r="C1" s="4" t="s">
        <v>42</v>
      </c>
      <c r="D1" s="3" t="s">
        <v>46</v>
      </c>
      <c r="E1" s="3" t="s">
        <v>47</v>
      </c>
      <c r="F1" s="3" t="s">
        <v>48</v>
      </c>
    </row>
    <row r="2" spans="1:6" x14ac:dyDescent="0.25">
      <c r="A2" s="5">
        <v>14.174001243299999</v>
      </c>
      <c r="B2" s="5">
        <f>A2*hydrogenBAUWOElec!Y2/100</f>
        <v>0.25047381123401397</v>
      </c>
      <c r="C2" s="5">
        <f>(100-A2)/100*hydrogenBAUWOElec!Y2</f>
        <v>1.5166617134112381</v>
      </c>
      <c r="D2" s="5">
        <v>14.174001243299999</v>
      </c>
      <c r="E2" s="6">
        <f>D2/100*hydrogenBlueWOElec!AA2</f>
        <v>0.2465529276241854</v>
      </c>
      <c r="F2" s="6">
        <f>(100-D2)/100*hydrogenBlueWOElec!AA2</f>
        <v>1.4929200933812989</v>
      </c>
    </row>
    <row r="3" spans="1:6" x14ac:dyDescent="0.25">
      <c r="A3" s="5">
        <v>14.174001243299999</v>
      </c>
      <c r="B3" s="5">
        <f>A3*hydrogenBAUWOElec!Y3/100</f>
        <v>0.24726520842880839</v>
      </c>
      <c r="C3" s="5">
        <f>(100-A3)/100*hydrogenBAUWOElec!Y3</f>
        <v>1.4972330753263858</v>
      </c>
      <c r="D3" s="5">
        <v>14.174001243299999</v>
      </c>
      <c r="E3" s="6">
        <f>D3/100*hydrogenBlueWOElec!AA3</f>
        <v>0.24339455185903361</v>
      </c>
      <c r="F3" s="6">
        <f>(100-D3)/100*hydrogenBlueWOElec!AA3</f>
        <v>1.4737955886038465</v>
      </c>
    </row>
    <row r="4" spans="1:6" x14ac:dyDescent="0.25">
      <c r="A4" s="5">
        <v>14.174001243299999</v>
      </c>
      <c r="B4" s="5">
        <f>A4*hydrogenBAUWOElec!Y4/100</f>
        <v>0.24498056775953395</v>
      </c>
      <c r="C4" s="5">
        <f>(100-A4)/100*hydrogenBAUWOElec!Y4</f>
        <v>1.4833991858074795</v>
      </c>
      <c r="D4" s="5">
        <v>14.174001243299999</v>
      </c>
      <c r="E4" s="6">
        <f>D4/100*hydrogenBlueWOElec!AA4</f>
        <v>0.24114567464986042</v>
      </c>
      <c r="F4" s="6">
        <f>(100-D4)/100*hydrogenBlueWOElec!AA4</f>
        <v>1.460178252945032</v>
      </c>
    </row>
    <row r="5" spans="1:6" x14ac:dyDescent="0.25">
      <c r="A5" s="5">
        <v>14.174001243299999</v>
      </c>
      <c r="B5" s="5">
        <f>A5*hydrogenBAUWOElec!Y5/100</f>
        <v>0.24370467561757411</v>
      </c>
      <c r="C5" s="5">
        <f>(100-A5)/100*hydrogenBAUWOElec!Y5</f>
        <v>1.4756734409377104</v>
      </c>
      <c r="D5" s="5">
        <v>14.174001243299999</v>
      </c>
      <c r="E5" s="6">
        <f>D5/100*hydrogenBlueWOElec!AA5</f>
        <v>0.23988975515319502</v>
      </c>
      <c r="F5" s="6">
        <f>(100-D5)/100*hydrogenBlueWOElec!AA5</f>
        <v>1.4525734458542841</v>
      </c>
    </row>
    <row r="6" spans="1:6" x14ac:dyDescent="0.25">
      <c r="A6" s="5">
        <v>14.174001243299999</v>
      </c>
      <c r="B6" s="5">
        <f>A6*hydrogenBAUWOElec!Y6/100</f>
        <v>0.23248026582575057</v>
      </c>
      <c r="C6" s="5">
        <f>(100-A6)/100*hydrogenBAUWOElec!Y6</f>
        <v>1.4077077222742447</v>
      </c>
      <c r="D6" s="5">
        <v>14.174001243299999</v>
      </c>
      <c r="E6" s="6">
        <f>D6/100*hydrogenBlueWOElec!AA6</f>
        <v>0.22884105077410896</v>
      </c>
      <c r="F6" s="6">
        <f>(100-D6)/100*hydrogenBlueWOElec!AA6</f>
        <v>1.3856716534792601</v>
      </c>
    </row>
    <row r="7" spans="1:6" x14ac:dyDescent="0.25">
      <c r="A7" s="5">
        <v>14.174001243299999</v>
      </c>
      <c r="B7" s="5">
        <f>A7*hydrogenBAUWOElec!Y7/100</f>
        <v>0.22537705654140272</v>
      </c>
      <c r="C7" s="5">
        <f>(100-A7)/100*hydrogenBAUWOElec!Y7</f>
        <v>1.3646965766744661</v>
      </c>
      <c r="D7" s="5">
        <v>14.174001243299999</v>
      </c>
      <c r="E7" s="6">
        <f>D7/100*hydrogenBlueWOElec!AA7</f>
        <v>0.22184903417981902</v>
      </c>
      <c r="F7" s="6">
        <f>(100-D7)/100*hydrogenBlueWOElec!AA7</f>
        <v>1.3433337986119185</v>
      </c>
    </row>
    <row r="8" spans="1:6" x14ac:dyDescent="0.25">
      <c r="A8" s="5">
        <v>14.174001243299999</v>
      </c>
      <c r="B8" s="5">
        <f>A8*hydrogenBAUWOElec!Y8/100</f>
        <v>0.22204115607480251</v>
      </c>
      <c r="C8" s="5">
        <f>(100-A8)/100*hydrogenBAUWOElec!Y8</f>
        <v>1.3444971295046531</v>
      </c>
      <c r="D8" s="5">
        <v>14.174001243299999</v>
      </c>
      <c r="E8" s="6">
        <f>D8/100*hydrogenBlueWOElec!AA8</f>
        <v>0.21856535345387385</v>
      </c>
      <c r="F8" s="6">
        <f>(100-D8)/100*hydrogenBlueWOElec!AA8</f>
        <v>1.323450550892042</v>
      </c>
    </row>
    <row r="9" spans="1:6" x14ac:dyDescent="0.25">
      <c r="A9" s="5">
        <v>14.174001243299999</v>
      </c>
      <c r="B9" s="5">
        <f>A9*hydrogenBAUWOElec!Y9/100</f>
        <v>0.24215523427940347</v>
      </c>
      <c r="C9" s="5">
        <f>(100-A9)/100*hydrogenBAUWOElec!Y9</f>
        <v>1.4662913089567164</v>
      </c>
      <c r="D9" s="5">
        <v>14.174001243299999</v>
      </c>
      <c r="E9" s="6">
        <f>D9/100*hydrogenBlueWOElec!AA9</f>
        <v>0.23836456856292565</v>
      </c>
      <c r="F9" s="6">
        <f>(100-D9)/100*hydrogenBlueWOElec!AA9</f>
        <v>1.443338180515072</v>
      </c>
    </row>
    <row r="10" spans="1:6" x14ac:dyDescent="0.25">
      <c r="A10" s="5">
        <v>14.174001243299999</v>
      </c>
      <c r="B10" s="5">
        <f>A10*hydrogenBAUWOElec!Y10/100</f>
        <v>0.23339702258652198</v>
      </c>
      <c r="C10" s="5">
        <f>(100-A10)/100*hydrogenBAUWOElec!Y10</f>
        <v>1.4132588410627631</v>
      </c>
      <c r="D10" s="5">
        <v>14.174001243299999</v>
      </c>
      <c r="E10" s="6">
        <f>D10/100*hydrogenBlueWOElec!AA10</f>
        <v>0.22974345674690877</v>
      </c>
      <c r="F10" s="6">
        <f>(100-D10)/100*hydrogenBlueWOElec!AA10</f>
        <v>1.3911358757951826</v>
      </c>
    </row>
    <row r="11" spans="1:6" x14ac:dyDescent="0.25">
      <c r="A11" s="5">
        <v>14.174001243299999</v>
      </c>
      <c r="B11" s="5">
        <f>A11*hydrogenBAUWOElec!Y11/100</f>
        <v>0.22933451981481334</v>
      </c>
      <c r="C11" s="5">
        <f>(100-A11)/100*hydrogenBAUWOElec!Y11</f>
        <v>1.3886596928159987</v>
      </c>
      <c r="D11" s="5">
        <v>14.174001243299999</v>
      </c>
      <c r="E11" s="6">
        <f>D11/100*hydrogenBlueWOElec!AA11</f>
        <v>0.22574454785135811</v>
      </c>
      <c r="F11" s="6">
        <f>(100-D11)/100*hydrogenBlueWOElec!AA11</f>
        <v>1.3669217993317762</v>
      </c>
    </row>
    <row r="12" spans="1:6" x14ac:dyDescent="0.25">
      <c r="A12" s="2"/>
    </row>
    <row r="13" spans="1:6" x14ac:dyDescent="0.25">
      <c r="A13" s="2"/>
    </row>
    <row r="14" spans="1:6" x14ac:dyDescent="0.25">
      <c r="A14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hydrogenBAU</vt:lpstr>
      <vt:lpstr>hydrogenBlue</vt:lpstr>
      <vt:lpstr>hydrogenBAUWOElec</vt:lpstr>
      <vt:lpstr>hydrogenBlueWOElec</vt:lpstr>
      <vt:lpstr>hydrogenWind</vt:lpstr>
      <vt:lpstr>hydrogenSolar</vt:lpstr>
      <vt:lpstr>heat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2023-09-14T15:22:50Z</dcterms:created>
  <dcterms:modified xsi:type="dcterms:W3CDTF">2023-12-18T10:09:16Z</dcterms:modified>
</cp:coreProperties>
</file>