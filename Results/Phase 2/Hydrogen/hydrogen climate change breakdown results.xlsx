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Hydrogen\"/>
    </mc:Choice>
  </mc:AlternateContent>
  <xr:revisionPtr revIDLastSave="0" documentId="13_ncr:1_{0820F976-4D19-4CEB-9F60-4147B7C2DFA4}" xr6:coauthVersionLast="36" xr6:coauthVersionMax="36" xr10:uidLastSave="{00000000-0000-0000-0000-000000000000}"/>
  <bookViews>
    <workbookView xWindow="0" yWindow="0" windowWidth="28800" windowHeight="14025" activeTab="4" xr2:uid="{00000000-000D-0000-FFFF-FFFF00000000}"/>
  </bookViews>
  <sheets>
    <sheet name="hydrogenBAU" sheetId="1" r:id="rId1"/>
    <sheet name="hydrogenBlue" sheetId="2" r:id="rId2"/>
    <sheet name="hydrogenBAUWOElec" sheetId="3" r:id="rId3"/>
    <sheet name="hydrogenBlueWOElec" sheetId="4" r:id="rId4"/>
    <sheet name="hydrogenWind" sheetId="5" r:id="rId5"/>
    <sheet name="hydrogenSolar" sheetId="6" r:id="rId6"/>
  </sheets>
  <calcPr calcId="191029"/>
</workbook>
</file>

<file path=xl/calcChain.xml><?xml version="1.0" encoding="utf-8"?>
<calcChain xmlns="http://schemas.openxmlformats.org/spreadsheetml/2006/main">
  <c r="M23" i="6" l="1"/>
  <c r="L23" i="6"/>
  <c r="K23" i="6"/>
  <c r="J23" i="6"/>
  <c r="I23" i="6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D22" i="6"/>
  <c r="M21" i="6"/>
  <c r="L21" i="6"/>
  <c r="K21" i="6"/>
  <c r="J21" i="6"/>
  <c r="I21" i="6"/>
  <c r="H21" i="6"/>
  <c r="G21" i="6"/>
  <c r="F21" i="6"/>
  <c r="E21" i="6"/>
  <c r="D21" i="6"/>
  <c r="M20" i="6"/>
  <c r="L20" i="6"/>
  <c r="K20" i="6"/>
  <c r="J20" i="6"/>
  <c r="I20" i="6"/>
  <c r="H20" i="6"/>
  <c r="G20" i="6"/>
  <c r="F20" i="6"/>
  <c r="E20" i="6"/>
  <c r="D20" i="6"/>
  <c r="M19" i="6"/>
  <c r="L19" i="6"/>
  <c r="K19" i="6"/>
  <c r="J19" i="6"/>
  <c r="I19" i="6"/>
  <c r="H19" i="6"/>
  <c r="G19" i="6"/>
  <c r="F19" i="6"/>
  <c r="E19" i="6"/>
  <c r="D19" i="6"/>
  <c r="M18" i="6"/>
  <c r="L18" i="6"/>
  <c r="K18" i="6"/>
  <c r="J18" i="6"/>
  <c r="I18" i="6"/>
  <c r="H18" i="6"/>
  <c r="G18" i="6"/>
  <c r="F18" i="6"/>
  <c r="E18" i="6"/>
  <c r="D18" i="6"/>
  <c r="M17" i="6"/>
  <c r="L17" i="6"/>
  <c r="K17" i="6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E16" i="6"/>
  <c r="D16" i="6"/>
  <c r="M15" i="6"/>
  <c r="L15" i="6"/>
  <c r="K15" i="6"/>
  <c r="J15" i="6"/>
  <c r="I15" i="6"/>
  <c r="H15" i="6"/>
  <c r="G15" i="6"/>
  <c r="F15" i="6"/>
  <c r="E15" i="6"/>
  <c r="D15" i="6"/>
  <c r="M14" i="6"/>
  <c r="L14" i="6"/>
  <c r="K14" i="6"/>
  <c r="J14" i="6"/>
  <c r="I14" i="6"/>
  <c r="H14" i="6"/>
  <c r="G14" i="6"/>
  <c r="F14" i="6"/>
  <c r="E14" i="6"/>
  <c r="M23" i="5"/>
  <c r="L23" i="5"/>
  <c r="K23" i="5"/>
  <c r="J23" i="5"/>
  <c r="I23" i="5"/>
  <c r="H23" i="5"/>
  <c r="G23" i="5"/>
  <c r="F23" i="5"/>
  <c r="E23" i="5"/>
  <c r="D23" i="5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D20" i="5"/>
  <c r="M19" i="5"/>
  <c r="L19" i="5"/>
  <c r="K19" i="5"/>
  <c r="J19" i="5"/>
  <c r="I19" i="5"/>
  <c r="H19" i="5"/>
  <c r="G19" i="5"/>
  <c r="F19" i="5"/>
  <c r="E19" i="5"/>
  <c r="D19" i="5"/>
  <c r="M18" i="5"/>
  <c r="L18" i="5"/>
  <c r="K18" i="5"/>
  <c r="J18" i="5"/>
  <c r="I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5" i="5"/>
  <c r="L15" i="5"/>
  <c r="K15" i="5"/>
  <c r="J15" i="5"/>
  <c r="I15" i="5"/>
  <c r="H15" i="5"/>
  <c r="G15" i="5"/>
  <c r="F15" i="5"/>
  <c r="E15" i="5"/>
  <c r="D15" i="5"/>
  <c r="M14" i="5"/>
  <c r="L14" i="5"/>
  <c r="K14" i="5"/>
  <c r="J14" i="5"/>
  <c r="I14" i="5"/>
  <c r="H14" i="5"/>
  <c r="G14" i="5"/>
  <c r="F14" i="5"/>
  <c r="E14" i="5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</calcChain>
</file>

<file path=xl/sharedStrings.xml><?xml version="1.0" encoding="utf-8"?>
<sst xmlns="http://schemas.openxmlformats.org/spreadsheetml/2006/main" count="248" uniqueCount="42">
  <si>
    <t>name</t>
  </si>
  <si>
    <t>database</t>
  </si>
  <si>
    <t>hydrogen production, steam methane reforming of natural gas, 25 bar</t>
  </si>
  <si>
    <t>chemical factory construction, organics</t>
  </si>
  <si>
    <t>market for aluminium oxide, metallurgical</t>
  </si>
  <si>
    <t>market for chromium oxide, flakes</t>
  </si>
  <si>
    <t>market for copper oxide</t>
  </si>
  <si>
    <t>market for liquid storage tank, chemicals, organics</t>
  </si>
  <si>
    <t>market for magnesium oxide</t>
  </si>
  <si>
    <t>market for molybdenum trioxide</t>
  </si>
  <si>
    <t>market for nickel, class 1</t>
  </si>
  <si>
    <t>market for portafer</t>
  </si>
  <si>
    <t>market for quicklime, milled, packed</t>
  </si>
  <si>
    <t>market for silica sand</t>
  </si>
  <si>
    <t>market for water, deionised</t>
  </si>
  <si>
    <t>market for zeolite, powder</t>
  </si>
  <si>
    <t>market for zinc oxide</t>
  </si>
  <si>
    <t>market group for electricity, high voltage</t>
  </si>
  <si>
    <t>market group for natural gas, high pressure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</si>
  <si>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</si>
  <si>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</si>
  <si>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</si>
  <si>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</si>
  <si>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</si>
  <si>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</si>
  <si>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</si>
  <si>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</si>
  <si>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</si>
  <si>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</si>
  <si>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</si>
  <si>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hydrogen production, steam methane reforming of natural gas, with CCS (MDEA, 98% eff.), 25 bar</t>
  </si>
  <si>
    <t>carbon dioxide storage at hydrogen production plant, pre, pipeline 400km, storage 3000m</t>
  </si>
  <si>
    <t>market for diethanolamine</t>
  </si>
  <si>
    <t>hydrogen production without electricity, steam reforming of natural gas, 25 bar</t>
  </si>
  <si>
    <t>hydrogen production without electricity, steam methane reforming of natural gas, with CCS (MDEA, 98% eff.), 25 bar</t>
  </si>
  <si>
    <t>hydrogen production, gaseous, 200 bar, from PEM electrolysis, from onshore wind electricity</t>
  </si>
  <si>
    <t>electrolyzer production, 1MWe, PEM, Balance of Plant</t>
  </si>
  <si>
    <t>electrolyzer production, 1MWe, PEM, Stack</t>
  </si>
  <si>
    <t>market for heat, from steam, in chemical industry</t>
  </si>
  <si>
    <t>electricity production, wind, &gt;3MW turbine, onshore</t>
  </si>
  <si>
    <t>hydrogen production, gaseous, 200 bar, from PEM electrolysis, from solar electricity</t>
  </si>
  <si>
    <t>electricity production, photovoltaic, 570kWp open ground installation, multi-Si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</si>
</sst>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workbookViewId="0">
      <selection activeCell="H28" sqref="H28"/>
    </sheetView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25">
      <c r="A2" s="1">
        <v>0</v>
      </c>
      <c r="B2" t="s">
        <v>2</v>
      </c>
      <c r="C2" t="s">
        <v>20</v>
      </c>
      <c r="D2">
        <v>10.24507192971876</v>
      </c>
      <c r="E2">
        <v>2.2363657715259021E-2</v>
      </c>
      <c r="F2">
        <v>5.2972668728211048E-2</v>
      </c>
      <c r="G2">
        <v>3.9870999951249051E-5</v>
      </c>
      <c r="H2">
        <v>1.11504787793423E-3</v>
      </c>
      <c r="I2">
        <v>2.2045529694572061E-4</v>
      </c>
      <c r="J2">
        <v>2.082938453430559E-3</v>
      </c>
      <c r="K2">
        <v>3.8753588110664308E-3</v>
      </c>
      <c r="L2">
        <v>3.2812971008419839E-5</v>
      </c>
      <c r="M2">
        <v>1.2756965348521249E-4</v>
      </c>
      <c r="N2">
        <v>4.15777815009082E-3</v>
      </c>
      <c r="O2">
        <v>3.1463843579188017E-5</v>
      </c>
      <c r="P2">
        <v>4.7762301078091125E-7</v>
      </c>
      <c r="Q2">
        <v>5.8423116832153428E-5</v>
      </c>
      <c r="R2">
        <v>5.260035306051284E-7</v>
      </c>
      <c r="S2">
        <v>2.6024303300955089E-6</v>
      </c>
      <c r="T2">
        <v>8.400848151645762E-4</v>
      </c>
      <c r="U2">
        <v>2.914804860838993E-3</v>
      </c>
      <c r="V2">
        <v>4.4902178779148852E-3</v>
      </c>
      <c r="W2">
        <v>2.8743436474409261E-4</v>
      </c>
      <c r="X2">
        <v>-0.83470682154664444</v>
      </c>
      <c r="Y2">
        <v>2.058974611707971</v>
      </c>
      <c r="Z2">
        <v>8.9251899459641066</v>
      </c>
    </row>
    <row r="3" spans="1:26" x14ac:dyDescent="0.25">
      <c r="A3" s="1">
        <v>1</v>
      </c>
      <c r="B3" t="s">
        <v>2</v>
      </c>
      <c r="C3" t="s">
        <v>21</v>
      </c>
      <c r="D3">
        <v>10.243291150082021</v>
      </c>
      <c r="E3">
        <v>2.0057358024283611E-2</v>
      </c>
      <c r="F3">
        <v>4.9424175987306578E-2</v>
      </c>
      <c r="G3">
        <v>3.911753746663405E-5</v>
      </c>
      <c r="H3">
        <v>1.100074248113151E-3</v>
      </c>
      <c r="I3">
        <v>2.152958685212315E-4</v>
      </c>
      <c r="J3">
        <v>1.970042623701017E-3</v>
      </c>
      <c r="K3">
        <v>3.66482954191396E-3</v>
      </c>
      <c r="L3">
        <v>3.2270898362736131E-5</v>
      </c>
      <c r="M3">
        <v>1.197009649556328E-4</v>
      </c>
      <c r="N3">
        <v>4.0507368036655136E-3</v>
      </c>
      <c r="O3">
        <v>2.9570576362890852E-5</v>
      </c>
      <c r="P3">
        <v>4.7337951251293742E-7</v>
      </c>
      <c r="Q3">
        <v>5.8026899140564598E-5</v>
      </c>
      <c r="R3">
        <v>5.0258832003950641E-7</v>
      </c>
      <c r="S3">
        <v>2.3806496078013082E-6</v>
      </c>
      <c r="T3">
        <v>7.8816179266237953E-4</v>
      </c>
      <c r="U3">
        <v>2.7652897204929082E-3</v>
      </c>
      <c r="V3">
        <v>4.4807397090091596E-3</v>
      </c>
      <c r="W3">
        <v>2.7163929726161339E-4</v>
      </c>
      <c r="X3">
        <v>-0.80356805738769599</v>
      </c>
      <c r="Y3">
        <v>2.0325988733326681</v>
      </c>
      <c r="Z3">
        <v>8.9251899470263893</v>
      </c>
    </row>
    <row r="4" spans="1:26" x14ac:dyDescent="0.25">
      <c r="A4" s="1">
        <v>2</v>
      </c>
      <c r="B4" t="s">
        <v>2</v>
      </c>
      <c r="C4" t="s">
        <v>22</v>
      </c>
      <c r="D4">
        <v>10.26406291180963</v>
      </c>
      <c r="E4">
        <v>2.0301050774708011E-2</v>
      </c>
      <c r="F4">
        <v>4.7834791417598582E-2</v>
      </c>
      <c r="G4">
        <v>3.8767799598242832E-5</v>
      </c>
      <c r="H4">
        <v>1.084908857758598E-3</v>
      </c>
      <c r="I4">
        <v>2.121268381683207E-4</v>
      </c>
      <c r="J4">
        <v>1.8605205025408499E-3</v>
      </c>
      <c r="K4">
        <v>3.4220246220772938E-3</v>
      </c>
      <c r="L4">
        <v>3.1877729046066762E-5</v>
      </c>
      <c r="M4">
        <v>1.1323086905363601E-4</v>
      </c>
      <c r="N4">
        <v>3.9196287876787769E-3</v>
      </c>
      <c r="O4">
        <v>2.773715584498885E-5</v>
      </c>
      <c r="P4">
        <v>4.7274147903020663E-7</v>
      </c>
      <c r="Q4">
        <v>5.7612362497915897E-5</v>
      </c>
      <c r="R4">
        <v>4.2753043066419812E-7</v>
      </c>
      <c r="S4">
        <v>2.3966523093787529E-6</v>
      </c>
      <c r="T4">
        <v>7.7687907682583678E-4</v>
      </c>
      <c r="U4">
        <v>2.6833556462713582E-3</v>
      </c>
      <c r="V4">
        <v>4.4642582202440891E-3</v>
      </c>
      <c r="W4">
        <v>2.649056565987173E-4</v>
      </c>
      <c r="X4">
        <v>-0.7620424084315075</v>
      </c>
      <c r="Y4">
        <v>2.013818398393048</v>
      </c>
      <c r="Z4">
        <v>8.9251899486073558</v>
      </c>
    </row>
    <row r="5" spans="1:26" x14ac:dyDescent="0.25">
      <c r="A5" s="1">
        <v>3</v>
      </c>
      <c r="B5" t="s">
        <v>2</v>
      </c>
      <c r="C5" t="s">
        <v>23</v>
      </c>
      <c r="D5">
        <v>10.32203259234389</v>
      </c>
      <c r="E5">
        <v>2.2014415625728961E-2</v>
      </c>
      <c r="F5">
        <v>4.6639103000032232E-2</v>
      </c>
      <c r="G5">
        <v>3.8746141603607432E-5</v>
      </c>
      <c r="H5">
        <v>1.059466132098388E-3</v>
      </c>
      <c r="I5">
        <v>2.0990580599569391E-4</v>
      </c>
      <c r="J5">
        <v>1.7574867761303179E-3</v>
      </c>
      <c r="K5">
        <v>3.3016498555131731E-3</v>
      </c>
      <c r="L5">
        <v>3.1477071387090938E-5</v>
      </c>
      <c r="M5">
        <v>1.0686478901046321E-4</v>
      </c>
      <c r="N5">
        <v>3.8445870281558431E-3</v>
      </c>
      <c r="O5">
        <v>2.6783855393971131E-5</v>
      </c>
      <c r="P5">
        <v>4.7596773983920541E-7</v>
      </c>
      <c r="Q5">
        <v>5.7341583410986288E-5</v>
      </c>
      <c r="R5">
        <v>3.9138305662890801E-7</v>
      </c>
      <c r="S5">
        <v>2.4875619493387789E-6</v>
      </c>
      <c r="T5">
        <v>7.6943116553232634E-4</v>
      </c>
      <c r="U5">
        <v>2.5634927818013208E-3</v>
      </c>
      <c r="V5">
        <v>4.4590301940245309E-3</v>
      </c>
      <c r="W5">
        <v>2.5991844620971641E-4</v>
      </c>
      <c r="X5">
        <v>-0.69363057231712699</v>
      </c>
      <c r="Y5">
        <v>2.0033301580671221</v>
      </c>
      <c r="Z5">
        <v>8.9251899514291182</v>
      </c>
    </row>
    <row r="6" spans="1:26" x14ac:dyDescent="0.25">
      <c r="A6" s="1">
        <v>4</v>
      </c>
      <c r="B6" t="s">
        <v>2</v>
      </c>
      <c r="C6" t="s">
        <v>24</v>
      </c>
      <c r="D6">
        <v>10.672522537408129</v>
      </c>
      <c r="E6">
        <v>1.2822327361388519E-2</v>
      </c>
      <c r="F6">
        <v>2.8574767349676441E-2</v>
      </c>
      <c r="G6">
        <v>3.5338267841167498E-5</v>
      </c>
      <c r="H6">
        <v>9.4165465652592075E-4</v>
      </c>
      <c r="I6">
        <v>1.868813796941294E-4</v>
      </c>
      <c r="J6">
        <v>1.027832706440999E-3</v>
      </c>
      <c r="K6">
        <v>2.8289961499399561E-3</v>
      </c>
      <c r="L6">
        <v>2.8819345516975301E-5</v>
      </c>
      <c r="M6">
        <v>6.3586013055210813E-5</v>
      </c>
      <c r="N6">
        <v>3.3543001938020961E-3</v>
      </c>
      <c r="O6">
        <v>2.03072800979204E-5</v>
      </c>
      <c r="P6">
        <v>4.606506127988123E-7</v>
      </c>
      <c r="Q6">
        <v>5.5789914053547218E-5</v>
      </c>
      <c r="R6">
        <v>2.6307999762603351E-7</v>
      </c>
      <c r="S6">
        <v>1.585370138917008E-6</v>
      </c>
      <c r="T6">
        <v>5.0741014621340382E-4</v>
      </c>
      <c r="U6">
        <v>1.716477522806819E-3</v>
      </c>
      <c r="V6">
        <v>4.4500864515680024E-3</v>
      </c>
      <c r="W6">
        <v>1.8322644806689621E-4</v>
      </c>
      <c r="X6">
        <v>-0.22052947312013049</v>
      </c>
      <c r="Y6">
        <v>1.9110619297884419</v>
      </c>
      <c r="Z6">
        <v>8.9251899704523812</v>
      </c>
    </row>
    <row r="7" spans="1:26" x14ac:dyDescent="0.25">
      <c r="A7" s="1">
        <v>5</v>
      </c>
      <c r="B7" t="s">
        <v>2</v>
      </c>
      <c r="C7" t="s">
        <v>25</v>
      </c>
      <c r="D7">
        <v>10.75895864233425</v>
      </c>
      <c r="E7">
        <v>1.088812799210038E-2</v>
      </c>
      <c r="F7">
        <v>2.3048946418484401E-2</v>
      </c>
      <c r="G7">
        <v>3.3854581500651293E-5</v>
      </c>
      <c r="H7">
        <v>9.0577301551992943E-4</v>
      </c>
      <c r="I7">
        <v>1.776478641214098E-4</v>
      </c>
      <c r="J7">
        <v>6.9578932461420535E-4</v>
      </c>
      <c r="K7">
        <v>2.4605638263945802E-3</v>
      </c>
      <c r="L7">
        <v>2.7660970641729911E-5</v>
      </c>
      <c r="M7">
        <v>4.6312823205164937E-5</v>
      </c>
      <c r="N7">
        <v>3.0207803598020369E-3</v>
      </c>
      <c r="O7">
        <v>1.549544270502011E-5</v>
      </c>
      <c r="P7">
        <v>4.5694468638723061E-7</v>
      </c>
      <c r="Q7">
        <v>5.4818520802527029E-5</v>
      </c>
      <c r="R7">
        <v>1.747254058409849E-7</v>
      </c>
      <c r="S7">
        <v>1.4096643993787711E-6</v>
      </c>
      <c r="T7">
        <v>4.4245432707751601E-4</v>
      </c>
      <c r="U7">
        <v>1.456010878132102E-3</v>
      </c>
      <c r="V7">
        <v>4.4215841188658487E-3</v>
      </c>
      <c r="W7">
        <v>1.5820814978707181E-4</v>
      </c>
      <c r="X7">
        <v>-6.675868800768843E-2</v>
      </c>
      <c r="Y7">
        <v>1.8526712840516051</v>
      </c>
      <c r="Z7">
        <v>8.925189976342093</v>
      </c>
    </row>
    <row r="8" spans="1:26" x14ac:dyDescent="0.25">
      <c r="A8" s="1">
        <v>6</v>
      </c>
      <c r="B8" t="s">
        <v>2</v>
      </c>
      <c r="C8" t="s">
        <v>26</v>
      </c>
      <c r="D8">
        <v>10.77005952698808</v>
      </c>
      <c r="E8">
        <v>1.0581814051544869E-2</v>
      </c>
      <c r="F8">
        <v>2.0917071216895199E-2</v>
      </c>
      <c r="G8">
        <v>3.337934035364725E-5</v>
      </c>
      <c r="H8">
        <v>8.8919960485125645E-4</v>
      </c>
      <c r="I8">
        <v>1.737624900552022E-4</v>
      </c>
      <c r="J8">
        <v>5.9638077865160791E-4</v>
      </c>
      <c r="K8">
        <v>2.3341288416082822E-3</v>
      </c>
      <c r="L8">
        <v>2.7104053422346401E-5</v>
      </c>
      <c r="M8">
        <v>4.1112665349905937E-5</v>
      </c>
      <c r="N8">
        <v>2.912538779137927E-3</v>
      </c>
      <c r="O8">
        <v>1.343481035649853E-5</v>
      </c>
      <c r="P8">
        <v>4.5568316212444761E-7</v>
      </c>
      <c r="Q8">
        <v>5.439842899292986E-5</v>
      </c>
      <c r="R8">
        <v>1.3732309904010511E-7</v>
      </c>
      <c r="S8">
        <v>1.3551544117710459E-6</v>
      </c>
      <c r="T8">
        <v>4.1692282821502989E-4</v>
      </c>
      <c r="U8">
        <v>1.339598441209462E-3</v>
      </c>
      <c r="V8">
        <v>4.4103584477798692E-3</v>
      </c>
      <c r="W8">
        <v>1.4720810740762659E-4</v>
      </c>
      <c r="X8">
        <v>-2.526993019331648E-2</v>
      </c>
      <c r="Y8">
        <v>1.825249118300722</v>
      </c>
      <c r="Z8">
        <v>8.9251899778341741</v>
      </c>
    </row>
    <row r="9" spans="1:26" x14ac:dyDescent="0.25">
      <c r="A9" s="1">
        <v>7</v>
      </c>
      <c r="B9" t="s">
        <v>2</v>
      </c>
      <c r="C9" t="s">
        <v>27</v>
      </c>
      <c r="D9">
        <v>10.34455406936768</v>
      </c>
      <c r="E9">
        <v>1.8110688515560001E-2</v>
      </c>
      <c r="F9">
        <v>4.4332607081899483E-2</v>
      </c>
      <c r="G9">
        <v>3.8069217529455031E-5</v>
      </c>
      <c r="H9">
        <v>1.0744851158769209E-3</v>
      </c>
      <c r="I9">
        <v>2.0856933336140849E-4</v>
      </c>
      <c r="J9">
        <v>1.697622871425561E-3</v>
      </c>
      <c r="K9">
        <v>3.338108115357711E-3</v>
      </c>
      <c r="L9">
        <v>3.1494808109269233E-5</v>
      </c>
      <c r="M9">
        <v>1.036498255976517E-4</v>
      </c>
      <c r="N9">
        <v>3.8083973608331449E-3</v>
      </c>
      <c r="O9">
        <v>2.7165509980847691E-5</v>
      </c>
      <c r="P9">
        <v>4.702068263715078E-7</v>
      </c>
      <c r="Q9">
        <v>5.7481832825853678E-5</v>
      </c>
      <c r="R9">
        <v>4.8477227320119648E-7</v>
      </c>
      <c r="S9">
        <v>2.2056213562909851E-6</v>
      </c>
      <c r="T9">
        <v>7.2390918553450043E-4</v>
      </c>
      <c r="U9">
        <v>2.5264132890781212E-3</v>
      </c>
      <c r="V9">
        <v>4.4704821362772122E-3</v>
      </c>
      <c r="W9">
        <v>2.5195233788745581E-4</v>
      </c>
      <c r="X9">
        <v>-0.65203339686002626</v>
      </c>
      <c r="Y9">
        <v>1.990593256105569</v>
      </c>
      <c r="Z9">
        <v>8.925189952984546</v>
      </c>
    </row>
    <row r="10" spans="1:26" x14ac:dyDescent="0.25">
      <c r="A10" s="1">
        <v>8</v>
      </c>
      <c r="B10" t="s">
        <v>2</v>
      </c>
      <c r="C10" t="s">
        <v>28</v>
      </c>
      <c r="D10">
        <v>10.629695622731941</v>
      </c>
      <c r="E10">
        <v>1.410898328530928E-2</v>
      </c>
      <c r="F10">
        <v>3.423095481113831E-2</v>
      </c>
      <c r="G10">
        <v>3.5975591593702608E-5</v>
      </c>
      <c r="H10">
        <v>1.019814762690261E-3</v>
      </c>
      <c r="I10">
        <v>1.945659832336182E-4</v>
      </c>
      <c r="J10">
        <v>1.0862768494666281E-3</v>
      </c>
      <c r="K10">
        <v>2.8736080410952419E-3</v>
      </c>
      <c r="L10">
        <v>2.9920151701392579E-5</v>
      </c>
      <c r="M10">
        <v>7.1485311422341837E-5</v>
      </c>
      <c r="N10">
        <v>3.4079501937125741E-3</v>
      </c>
      <c r="O10">
        <v>2.1862579527178191E-5</v>
      </c>
      <c r="P10">
        <v>4.6330677931835871E-7</v>
      </c>
      <c r="Q10">
        <v>5.626430326440552E-5</v>
      </c>
      <c r="R10">
        <v>2.9618911399729179E-7</v>
      </c>
      <c r="S10">
        <v>1.864267812418455E-6</v>
      </c>
      <c r="T10">
        <v>6.057848336006019E-4</v>
      </c>
      <c r="U10">
        <v>2.0882654616849691E-3</v>
      </c>
      <c r="V10">
        <v>4.4435029580982E-3</v>
      </c>
      <c r="W10">
        <v>2.126036878080709E-4</v>
      </c>
      <c r="X10">
        <v>-0.27858275053109272</v>
      </c>
      <c r="Y10">
        <v>1.918597962742308</v>
      </c>
      <c r="Z10">
        <v>8.9251899679516775</v>
      </c>
    </row>
    <row r="11" spans="1:26" x14ac:dyDescent="0.25">
      <c r="A11" s="1">
        <v>9</v>
      </c>
      <c r="B11" t="s">
        <v>2</v>
      </c>
      <c r="C11" t="s">
        <v>29</v>
      </c>
      <c r="D11">
        <v>10.81399469658048</v>
      </c>
      <c r="E11">
        <v>1.268189202413572E-2</v>
      </c>
      <c r="F11">
        <v>2.4586228883675749E-2</v>
      </c>
      <c r="G11">
        <v>3.4516318105589199E-5</v>
      </c>
      <c r="H11">
        <v>9.0206009614375528E-4</v>
      </c>
      <c r="I11">
        <v>1.8068620746124881E-4</v>
      </c>
      <c r="J11">
        <v>7.350539239766871E-4</v>
      </c>
      <c r="K11">
        <v>2.5959835126927919E-3</v>
      </c>
      <c r="L11">
        <v>2.79745967271702E-5</v>
      </c>
      <c r="M11">
        <v>4.7731491349906943E-5</v>
      </c>
      <c r="N11">
        <v>3.1582340780101342E-3</v>
      </c>
      <c r="O11">
        <v>1.740378168929433E-5</v>
      </c>
      <c r="P11">
        <v>4.618835132529721E-7</v>
      </c>
      <c r="Q11">
        <v>5.511580607320561E-5</v>
      </c>
      <c r="R11">
        <v>2.3763069911862571E-7</v>
      </c>
      <c r="S11">
        <v>1.545769971481763E-6</v>
      </c>
      <c r="T11">
        <v>4.7065281948488133E-4</v>
      </c>
      <c r="U11">
        <v>1.5090763531629169E-3</v>
      </c>
      <c r="V11">
        <v>4.4311924932185299E-3</v>
      </c>
      <c r="W11">
        <v>1.6633070481319239E-4</v>
      </c>
      <c r="X11">
        <v>-4.8000553578299743E-2</v>
      </c>
      <c r="Y11">
        <v>1.8852028943088801</v>
      </c>
      <c r="Z11">
        <v>8.925189977474993</v>
      </c>
    </row>
    <row r="14" spans="1:26" x14ac:dyDescent="0.25">
      <c r="E14">
        <f>E2/$D2*100</f>
        <v>0.21828697610591524</v>
      </c>
      <c r="F14">
        <f t="shared" ref="F14:K14" si="0">F2/$D2*100</f>
        <v>0.51705511773469037</v>
      </c>
      <c r="G14">
        <f t="shared" si="0"/>
        <v>3.8917247457864902E-4</v>
      </c>
      <c r="H14">
        <f t="shared" si="0"/>
        <v>1.0883748650897362E-2</v>
      </c>
      <c r="I14">
        <f t="shared" si="0"/>
        <v>2.1518179516751561E-3</v>
      </c>
      <c r="J14">
        <f t="shared" si="0"/>
        <v>2.0331125713118722E-2</v>
      </c>
      <c r="K14">
        <f t="shared" si="0"/>
        <v>3.7826565178374634E-2</v>
      </c>
      <c r="L14">
        <f t="shared" ref="L14:Z14" si="1">L2/$D2*100</f>
        <v>3.2028053325068844E-4</v>
      </c>
      <c r="M14">
        <f t="shared" si="1"/>
        <v>1.2451806523208514E-3</v>
      </c>
      <c r="N14">
        <f t="shared" si="1"/>
        <v>4.0583201158695584E-2</v>
      </c>
      <c r="O14">
        <f t="shared" si="1"/>
        <v>3.0711198315668383E-4</v>
      </c>
      <c r="P14">
        <f t="shared" si="1"/>
        <v>4.6619781106214503E-6</v>
      </c>
      <c r="Q14">
        <f t="shared" si="1"/>
        <v>5.7025579940225184E-4</v>
      </c>
      <c r="R14">
        <f t="shared" si="1"/>
        <v>5.1342102253016378E-6</v>
      </c>
      <c r="S14">
        <f t="shared" si="1"/>
        <v>2.540177704898699E-5</v>
      </c>
      <c r="T14">
        <f t="shared" si="1"/>
        <v>8.1998918204534022E-3</v>
      </c>
      <c r="U14">
        <f t="shared" si="1"/>
        <v>2.8450799377833239E-2</v>
      </c>
      <c r="V14">
        <f t="shared" si="1"/>
        <v>4.3828075671091427E-2</v>
      </c>
      <c r="W14">
        <f t="shared" si="1"/>
        <v>2.8055865953493901E-3</v>
      </c>
      <c r="X14">
        <f t="shared" si="1"/>
        <v>-8.1473983518391773</v>
      </c>
      <c r="Y14">
        <f t="shared" si="1"/>
        <v>20.097219676275056</v>
      </c>
      <c r="Z14">
        <f t="shared" si="1"/>
        <v>87.11690857019795</v>
      </c>
    </row>
    <row r="15" spans="1:26" x14ac:dyDescent="0.25">
      <c r="D15">
        <f>($D$2-D3)/$D$2*100</f>
        <v>1.7381816828182749E-2</v>
      </c>
      <c r="E15">
        <f t="shared" ref="E15:K23" si="2">E3/$D3*100</f>
        <v>0.1958097034479295</v>
      </c>
      <c r="F15">
        <f t="shared" si="2"/>
        <v>0.48250289153316539</v>
      </c>
      <c r="G15">
        <f t="shared" si="2"/>
        <v>3.8188446363082067E-4</v>
      </c>
      <c r="H15">
        <f t="shared" si="2"/>
        <v>1.0739460901727298E-2</v>
      </c>
      <c r="I15">
        <f t="shared" si="2"/>
        <v>2.1018231871648752E-3</v>
      </c>
      <c r="J15">
        <f t="shared" si="2"/>
        <v>1.923251613994436E-2</v>
      </c>
      <c r="K15">
        <f t="shared" si="2"/>
        <v>3.5777851944436966E-2</v>
      </c>
      <c r="L15">
        <f t="shared" ref="L15:Z15" si="3">L3/$D3*100</f>
        <v>3.150442361728411E-4</v>
      </c>
      <c r="M15">
        <f t="shared" si="3"/>
        <v>1.1685791529480671E-3</v>
      </c>
      <c r="N15">
        <f t="shared" si="3"/>
        <v>3.9545266695197645E-2</v>
      </c>
      <c r="O15">
        <f t="shared" si="3"/>
        <v>2.8868237688093121E-4</v>
      </c>
      <c r="P15">
        <f t="shared" si="3"/>
        <v>4.6213614899460018E-6</v>
      </c>
      <c r="Q15">
        <f t="shared" si="3"/>
        <v>5.6648686726140716E-4</v>
      </c>
      <c r="R15">
        <f t="shared" si="3"/>
        <v>4.9065121031484306E-6</v>
      </c>
      <c r="S15">
        <f t="shared" si="3"/>
        <v>2.3241061617019894E-5</v>
      </c>
      <c r="T15">
        <f t="shared" si="3"/>
        <v>7.6944195094568665E-3</v>
      </c>
      <c r="U15">
        <f t="shared" si="3"/>
        <v>2.6996105841146239E-2</v>
      </c>
      <c r="V15">
        <f t="shared" si="3"/>
        <v>4.3743164607532234E-2</v>
      </c>
      <c r="W15">
        <f t="shared" si="3"/>
        <v>2.651875195985602E-3</v>
      </c>
      <c r="X15">
        <f t="shared" si="3"/>
        <v>-7.8448229735348445</v>
      </c>
      <c r="Y15">
        <f t="shared" si="3"/>
        <v>19.843220733957097</v>
      </c>
      <c r="Z15">
        <f t="shared" si="3"/>
        <v>87.132053714541954</v>
      </c>
    </row>
    <row r="16" spans="1:26" x14ac:dyDescent="0.25">
      <c r="D16">
        <f>($D$2-D4)/$D$2*100</f>
        <v>-0.18536699616310948</v>
      </c>
      <c r="E16">
        <f t="shared" si="2"/>
        <v>0.1977876689682993</v>
      </c>
      <c r="F16">
        <f t="shared" si="2"/>
        <v>0.46604148696868192</v>
      </c>
      <c r="G16">
        <f t="shared" si="2"/>
        <v>3.7770422815352545E-4</v>
      </c>
      <c r="H16">
        <f t="shared" si="2"/>
        <v>1.0569974746650501E-2</v>
      </c>
      <c r="I16">
        <f t="shared" si="2"/>
        <v>2.0666946412054013E-3</v>
      </c>
      <c r="J16">
        <f t="shared" si="2"/>
        <v>1.8126550066252727E-2</v>
      </c>
      <c r="K16">
        <f t="shared" si="2"/>
        <v>3.3339864062407291E-2</v>
      </c>
      <c r="L16">
        <f t="shared" ref="L16:Z16" si="4">L4/$D4*100</f>
        <v>3.105761268219515E-4</v>
      </c>
      <c r="M16">
        <f t="shared" si="4"/>
        <v>1.1031778548761112E-3</v>
      </c>
      <c r="N16">
        <f t="shared" si="4"/>
        <v>3.8187887402452769E-2</v>
      </c>
      <c r="O16">
        <f t="shared" si="4"/>
        <v>2.7023563751811205E-4</v>
      </c>
      <c r="P16">
        <f t="shared" si="4"/>
        <v>4.6057928823320007E-6</v>
      </c>
      <c r="Q16">
        <f t="shared" si="4"/>
        <v>5.6130172810640356E-4</v>
      </c>
      <c r="R16">
        <f t="shared" si="4"/>
        <v>4.1653138171268417E-6</v>
      </c>
      <c r="S16">
        <f t="shared" si="4"/>
        <v>2.3349937836226741E-5</v>
      </c>
      <c r="T16">
        <f t="shared" si="4"/>
        <v>7.5689235685799912E-3</v>
      </c>
      <c r="U16">
        <f t="shared" si="4"/>
        <v>2.6143211214965781E-2</v>
      </c>
      <c r="V16">
        <f t="shared" si="4"/>
        <v>4.3494065250784864E-2</v>
      </c>
      <c r="W16">
        <f t="shared" si="4"/>
        <v>2.5809044515298328E-3</v>
      </c>
      <c r="X16">
        <f t="shared" si="4"/>
        <v>-7.4243739051396158</v>
      </c>
      <c r="Y16">
        <f t="shared" si="4"/>
        <v>19.620090169907161</v>
      </c>
      <c r="Z16">
        <f t="shared" si="4"/>
        <v>86.9557213872706</v>
      </c>
    </row>
    <row r="17" spans="4:26" x14ac:dyDescent="0.25">
      <c r="D17">
        <f>($D$2-D5)/$D$2*100</f>
        <v>-0.75119689889031593</v>
      </c>
      <c r="E17">
        <f t="shared" si="2"/>
        <v>0.2132759747538252</v>
      </c>
      <c r="F17">
        <f t="shared" si="2"/>
        <v>0.45184029969664713</v>
      </c>
      <c r="G17">
        <f t="shared" si="2"/>
        <v>3.7537317632911193E-4</v>
      </c>
      <c r="H17">
        <f t="shared" si="2"/>
        <v>1.0264123103856701E-2</v>
      </c>
      <c r="I17">
        <f t="shared" si="2"/>
        <v>2.0335704631603887E-3</v>
      </c>
      <c r="J17">
        <f t="shared" si="2"/>
        <v>1.702655712823354E-2</v>
      </c>
      <c r="K17">
        <f t="shared" si="2"/>
        <v>3.1986431218615698E-2</v>
      </c>
      <c r="L17">
        <f t="shared" ref="L17:Z17" si="5">L5/$D5*100</f>
        <v>3.0495031967287407E-4</v>
      </c>
      <c r="M17">
        <f t="shared" si="5"/>
        <v>1.0353076107289905E-3</v>
      </c>
      <c r="N17">
        <f t="shared" si="5"/>
        <v>3.7246414344859459E-2</v>
      </c>
      <c r="O17">
        <f t="shared" si="5"/>
        <v>2.5948237572740655E-4</v>
      </c>
      <c r="P17">
        <f t="shared" si="5"/>
        <v>4.6111822994265932E-6</v>
      </c>
      <c r="Q17">
        <f t="shared" si="5"/>
        <v>5.5552608362734656E-4</v>
      </c>
      <c r="R17">
        <f t="shared" si="5"/>
        <v>3.7917246736772233E-6</v>
      </c>
      <c r="S17">
        <f t="shared" si="5"/>
        <v>2.4099535891640817E-5</v>
      </c>
      <c r="T17">
        <f t="shared" si="5"/>
        <v>7.4542601822729449E-3</v>
      </c>
      <c r="U17">
        <f t="shared" si="5"/>
        <v>2.4835154887059042E-2</v>
      </c>
      <c r="V17">
        <f t="shared" si="5"/>
        <v>4.3199148560448312E-2</v>
      </c>
      <c r="W17">
        <f t="shared" si="5"/>
        <v>2.5180936398370261E-3</v>
      </c>
      <c r="X17">
        <f t="shared" si="5"/>
        <v>-6.7199029465534741</v>
      </c>
      <c r="Y17">
        <f t="shared" si="5"/>
        <v>19.408291343248056</v>
      </c>
      <c r="Z17">
        <f t="shared" si="5"/>
        <v>86.467368433317631</v>
      </c>
    </row>
    <row r="18" spans="4:26" x14ac:dyDescent="0.25">
      <c r="D18">
        <f>($D$2-D6)/$D$2*100</f>
        <v>-4.1722557989019737</v>
      </c>
      <c r="E18">
        <f t="shared" si="2"/>
        <v>0.1201433617633051</v>
      </c>
      <c r="F18">
        <f t="shared" si="2"/>
        <v>0.2677414570877632</v>
      </c>
      <c r="G18">
        <f t="shared" si="2"/>
        <v>3.3111448317212506E-4</v>
      </c>
      <c r="H18">
        <f t="shared" si="2"/>
        <v>8.8231685922923898E-3</v>
      </c>
      <c r="I18">
        <f t="shared" si="2"/>
        <v>1.7510516285076346E-3</v>
      </c>
      <c r="J18">
        <f t="shared" si="2"/>
        <v>9.630644515749253E-3</v>
      </c>
      <c r="K18">
        <f t="shared" si="2"/>
        <v>2.6507286726489228E-2</v>
      </c>
      <c r="L18">
        <f t="shared" ref="L18:Z18" si="6">L6/$D6*100</f>
        <v>2.7003311931139955E-4</v>
      </c>
      <c r="M18">
        <f t="shared" si="6"/>
        <v>5.9579178991973317E-4</v>
      </c>
      <c r="N18">
        <f t="shared" si="6"/>
        <v>3.1429310006561045E-2</v>
      </c>
      <c r="O18">
        <f t="shared" si="6"/>
        <v>1.9027629153971424E-4</v>
      </c>
      <c r="P18">
        <f t="shared" si="6"/>
        <v>4.3162299370574423E-6</v>
      </c>
      <c r="Q18">
        <f t="shared" si="6"/>
        <v>5.2274346442463503E-4</v>
      </c>
      <c r="R18">
        <f t="shared" si="6"/>
        <v>2.4650217106959954E-6</v>
      </c>
      <c r="S18">
        <f t="shared" si="6"/>
        <v>1.4854690007541764E-5</v>
      </c>
      <c r="T18">
        <f t="shared" si="6"/>
        <v>4.7543600347048848E-3</v>
      </c>
      <c r="U18">
        <f t="shared" si="6"/>
        <v>1.6083147323328804E-2</v>
      </c>
      <c r="V18">
        <f t="shared" si="6"/>
        <v>4.169666951716483E-2</v>
      </c>
      <c r="W18">
        <f t="shared" si="6"/>
        <v>1.7168054452419417E-3</v>
      </c>
      <c r="X18">
        <f t="shared" si="6"/>
        <v>-2.0663294206890197</v>
      </c>
      <c r="Y18">
        <f t="shared" si="6"/>
        <v>17.906375208766267</v>
      </c>
      <c r="Z18">
        <f t="shared" si="6"/>
        <v>83.627745354191632</v>
      </c>
    </row>
    <row r="19" spans="4:26" x14ac:dyDescent="0.25">
      <c r="D19">
        <f>($D$2-D7)/$D$2*100</f>
        <v>-5.0159405042810317</v>
      </c>
      <c r="E19">
        <f t="shared" si="2"/>
        <v>0.10120057483312443</v>
      </c>
      <c r="F19">
        <f t="shared" si="2"/>
        <v>0.21423027250789517</v>
      </c>
      <c r="G19">
        <f t="shared" si="2"/>
        <v>3.1466411040414821E-4</v>
      </c>
      <c r="H19">
        <f t="shared" si="2"/>
        <v>8.4187796015490046E-3</v>
      </c>
      <c r="I19">
        <f t="shared" si="2"/>
        <v>1.6511622548896383E-3</v>
      </c>
      <c r="J19">
        <f t="shared" si="2"/>
        <v>6.4670694232099746E-3</v>
      </c>
      <c r="K19">
        <f t="shared" si="2"/>
        <v>2.2869906913786028E-2</v>
      </c>
      <c r="L19">
        <f t="shared" ref="L19:Z19" si="7">L7/$D7*100</f>
        <v>2.5709709983352645E-4</v>
      </c>
      <c r="M19">
        <f t="shared" si="7"/>
        <v>4.3045823248110348E-4</v>
      </c>
      <c r="N19">
        <f t="shared" si="7"/>
        <v>2.8076884206208384E-2</v>
      </c>
      <c r="O19">
        <f t="shared" si="7"/>
        <v>1.4402362923906768E-4</v>
      </c>
      <c r="P19">
        <f t="shared" si="7"/>
        <v>4.2471088659942327E-6</v>
      </c>
      <c r="Q19">
        <f t="shared" si="7"/>
        <v>5.0951511781844412E-4</v>
      </c>
      <c r="R19">
        <f t="shared" si="7"/>
        <v>1.6239992330993541E-6</v>
      </c>
      <c r="S19">
        <f t="shared" si="7"/>
        <v>1.3102238294996661E-5</v>
      </c>
      <c r="T19">
        <f t="shared" si="7"/>
        <v>4.1124270646096814E-3</v>
      </c>
      <c r="U19">
        <f t="shared" si="7"/>
        <v>1.3533009341656953E-2</v>
      </c>
      <c r="V19">
        <f t="shared" si="7"/>
        <v>4.1096766572443551E-2</v>
      </c>
      <c r="W19">
        <f t="shared" si="7"/>
        <v>1.4704782781165815E-3</v>
      </c>
      <c r="X19">
        <f t="shared" si="7"/>
        <v>-0.62049395510274541</v>
      </c>
      <c r="Y19">
        <f t="shared" si="7"/>
        <v>17.219801150287275</v>
      </c>
      <c r="Z19">
        <f t="shared" si="7"/>
        <v>82.955890742281866</v>
      </c>
    </row>
    <row r="20" spans="4:26" x14ac:dyDescent="0.25">
      <c r="D20">
        <f>($D$2-D8)/$D$2*100</f>
        <v>-5.1242939129245446</v>
      </c>
      <c r="E20">
        <f t="shared" si="2"/>
        <v>9.8252140807843294E-2</v>
      </c>
      <c r="F20">
        <f t="shared" si="2"/>
        <v>0.19421500098936595</v>
      </c>
      <c r="G20">
        <f t="shared" si="2"/>
        <v>3.0992716679052572E-4</v>
      </c>
      <c r="H20">
        <f t="shared" si="2"/>
        <v>8.2562181074585673E-3</v>
      </c>
      <c r="I20">
        <f t="shared" si="2"/>
        <v>1.6133846764707349E-3</v>
      </c>
      <c r="J20">
        <f t="shared" si="2"/>
        <v>5.537395379822843E-3</v>
      </c>
      <c r="K20">
        <f t="shared" si="2"/>
        <v>2.1672385707426418E-2</v>
      </c>
      <c r="L20">
        <f t="shared" ref="L20:Z20" si="8">L8/$D8*100</f>
        <v>2.5166112921129073E-4</v>
      </c>
      <c r="M20">
        <f t="shared" si="8"/>
        <v>3.8173108743627692E-4</v>
      </c>
      <c r="N20">
        <f t="shared" si="8"/>
        <v>2.7042921831950527E-2</v>
      </c>
      <c r="O20">
        <f t="shared" si="8"/>
        <v>1.2474221078196459E-4</v>
      </c>
      <c r="P20">
        <f t="shared" si="8"/>
        <v>4.2310180457459598E-6</v>
      </c>
      <c r="Q20">
        <f t="shared" si="8"/>
        <v>5.0508939952110697E-4</v>
      </c>
      <c r="R20">
        <f t="shared" si="8"/>
        <v>1.2750449400580838E-6</v>
      </c>
      <c r="S20">
        <f t="shared" si="8"/>
        <v>1.2582608372546517E-5</v>
      </c>
      <c r="T20">
        <f t="shared" si="8"/>
        <v>3.8711283551431325E-3</v>
      </c>
      <c r="U20">
        <f t="shared" si="8"/>
        <v>1.2438171189793691E-2</v>
      </c>
      <c r="V20">
        <f t="shared" si="8"/>
        <v>4.0950177078670762E-2</v>
      </c>
      <c r="W20">
        <f t="shared" si="8"/>
        <v>1.3668272402649788E-3</v>
      </c>
      <c r="X20">
        <f t="shared" si="8"/>
        <v>-0.2346312954909302</v>
      </c>
      <c r="Y20">
        <f t="shared" si="8"/>
        <v>16.9474376044713</v>
      </c>
      <c r="Z20">
        <f t="shared" si="8"/>
        <v>82.870386699990362</v>
      </c>
    </row>
    <row r="21" spans="4:26" x14ac:dyDescent="0.25">
      <c r="D21">
        <f>($D$2-D9)/$D$2*100</f>
        <v>-0.97102431619190166</v>
      </c>
      <c r="E21">
        <f t="shared" si="2"/>
        <v>0.17507461794983911</v>
      </c>
      <c r="F21">
        <f t="shared" si="2"/>
        <v>0.42855986623123088</v>
      </c>
      <c r="G21">
        <f t="shared" si="2"/>
        <v>3.6801216634543669E-4</v>
      </c>
      <c r="H21">
        <f t="shared" si="2"/>
        <v>1.0386964084403493E-2</v>
      </c>
      <c r="I21">
        <f t="shared" si="2"/>
        <v>2.0162235313654023E-3</v>
      </c>
      <c r="J21">
        <f t="shared" si="2"/>
        <v>1.6410788324385736E-2</v>
      </c>
      <c r="K21">
        <f t="shared" si="2"/>
        <v>3.2269231645688096E-2</v>
      </c>
      <c r="L21">
        <f t="shared" ref="L21:Z21" si="9">L9/$D9*100</f>
        <v>3.0445786157696001E-4</v>
      </c>
      <c r="M21">
        <f t="shared" si="9"/>
        <v>1.0019748062855588E-3</v>
      </c>
      <c r="N21">
        <f t="shared" si="9"/>
        <v>3.6815481221279325E-2</v>
      </c>
      <c r="O21">
        <f t="shared" si="9"/>
        <v>2.6260687313037754E-4</v>
      </c>
      <c r="P21">
        <f t="shared" si="9"/>
        <v>4.5454528365208655E-6</v>
      </c>
      <c r="Q21">
        <f t="shared" si="9"/>
        <v>5.5567240927348457E-4</v>
      </c>
      <c r="R21">
        <f t="shared" si="9"/>
        <v>4.6862558787014836E-6</v>
      </c>
      <c r="S21">
        <f t="shared" si="9"/>
        <v>2.1321570185633007E-5</v>
      </c>
      <c r="T21">
        <f t="shared" si="9"/>
        <v>6.9979738196559111E-3</v>
      </c>
      <c r="U21">
        <f t="shared" si="9"/>
        <v>2.4422640861430096E-2</v>
      </c>
      <c r="V21">
        <f t="shared" si="9"/>
        <v>4.321580327483826E-2</v>
      </c>
      <c r="W21">
        <f t="shared" si="9"/>
        <v>2.4356036635115835E-3</v>
      </c>
      <c r="X21">
        <f t="shared" si="9"/>
        <v>-6.303156158184037</v>
      </c>
      <c r="Y21">
        <f t="shared" si="9"/>
        <v>19.242910257486294</v>
      </c>
      <c r="Z21">
        <f t="shared" si="9"/>
        <v>86.27911742869459</v>
      </c>
    </row>
    <row r="22" spans="4:26" x14ac:dyDescent="0.25">
      <c r="D22">
        <f>($D$2-D10)/$D$2*100</f>
        <v>-3.7542312601775847</v>
      </c>
      <c r="E22">
        <f t="shared" si="2"/>
        <v>0.13273177131372202</v>
      </c>
      <c r="F22">
        <f t="shared" si="2"/>
        <v>0.3220313734848092</v>
      </c>
      <c r="G22">
        <f t="shared" si="2"/>
        <v>3.3844423086553548E-4</v>
      </c>
      <c r="H22">
        <f t="shared" si="2"/>
        <v>9.5940166010902023E-3</v>
      </c>
      <c r="I22">
        <f t="shared" si="2"/>
        <v>1.8304003250811122E-3</v>
      </c>
      <c r="J22">
        <f t="shared" si="2"/>
        <v>1.0219265800458018E-2</v>
      </c>
      <c r="K22">
        <f t="shared" si="2"/>
        <v>2.703377540698287E-2</v>
      </c>
      <c r="L22">
        <f t="shared" ref="L22:Z22" si="10">L10/$D10*100</f>
        <v>2.8147703154742632E-4</v>
      </c>
      <c r="M22">
        <f t="shared" si="10"/>
        <v>6.725057232068644E-4</v>
      </c>
      <c r="N22">
        <f t="shared" si="10"/>
        <v>3.2060656435209348E-2</v>
      </c>
      <c r="O22">
        <f t="shared" si="10"/>
        <v>2.0567455836105383E-4</v>
      </c>
      <c r="P22">
        <f t="shared" si="10"/>
        <v>4.3586081461030972E-6</v>
      </c>
      <c r="Q22">
        <f t="shared" si="10"/>
        <v>5.2931245880721671E-4</v>
      </c>
      <c r="R22">
        <f t="shared" si="10"/>
        <v>2.7864308114701047E-6</v>
      </c>
      <c r="S22">
        <f t="shared" si="10"/>
        <v>1.7538299106435929E-5</v>
      </c>
      <c r="T22">
        <f t="shared" si="10"/>
        <v>5.6989857010120958E-3</v>
      </c>
      <c r="U22">
        <f t="shared" si="10"/>
        <v>1.9645580981821786E-2</v>
      </c>
      <c r="V22">
        <f t="shared" si="10"/>
        <v>4.1802729972772013E-2</v>
      </c>
      <c r="W22">
        <f t="shared" si="10"/>
        <v>2.0000919626843427E-3</v>
      </c>
      <c r="X22">
        <f t="shared" si="10"/>
        <v>-2.6207970615389464</v>
      </c>
      <c r="Y22">
        <f t="shared" si="10"/>
        <v>18.049415814309167</v>
      </c>
      <c r="Z22">
        <f t="shared" si="10"/>
        <v>83.964680501903331</v>
      </c>
    </row>
    <row r="23" spans="4:26" x14ac:dyDescent="0.25">
      <c r="D23">
        <f>($D$2-D11)/$D$2*100</f>
        <v>-5.5531358956240853</v>
      </c>
      <c r="E23">
        <f t="shared" si="2"/>
        <v>0.11727296322926709</v>
      </c>
      <c r="F23">
        <f t="shared" si="2"/>
        <v>0.22735565878768391</v>
      </c>
      <c r="G23">
        <f t="shared" si="2"/>
        <v>3.1918194038419204E-4</v>
      </c>
      <c r="H23">
        <f t="shared" si="2"/>
        <v>8.341599209670392E-3</v>
      </c>
      <c r="I23">
        <f t="shared" si="2"/>
        <v>1.6708553363576557E-3</v>
      </c>
      <c r="J23">
        <f t="shared" si="2"/>
        <v>6.7972469434363636E-3</v>
      </c>
      <c r="K23">
        <f t="shared" si="2"/>
        <v>2.4005777564452425E-2</v>
      </c>
      <c r="L23">
        <f t="shared" ref="L23:Z23" si="11">L11/$D11*100</f>
        <v>2.5868883342448944E-4</v>
      </c>
      <c r="M23">
        <f t="shared" si="11"/>
        <v>4.4138630255663284E-4</v>
      </c>
      <c r="N23">
        <f t="shared" si="11"/>
        <v>2.9205064054717976E-2</v>
      </c>
      <c r="O23">
        <f t="shared" si="11"/>
        <v>1.6093758298954617E-4</v>
      </c>
      <c r="P23">
        <f t="shared" si="11"/>
        <v>4.2711645993226305E-6</v>
      </c>
      <c r="Q23">
        <f t="shared" si="11"/>
        <v>5.0967110322916941E-4</v>
      </c>
      <c r="R23">
        <f t="shared" si="11"/>
        <v>2.1974368009794521E-6</v>
      </c>
      <c r="S23">
        <f t="shared" si="11"/>
        <v>1.4294162470511983E-5</v>
      </c>
      <c r="T23">
        <f t="shared" si="11"/>
        <v>4.3522567995498244E-3</v>
      </c>
      <c r="U23">
        <f t="shared" si="11"/>
        <v>1.3954846432836756E-2</v>
      </c>
      <c r="V23">
        <f t="shared" si="11"/>
        <v>4.0976462607474076E-2</v>
      </c>
      <c r="W23">
        <f t="shared" si="11"/>
        <v>1.5381060327853524E-3</v>
      </c>
      <c r="X23">
        <f t="shared" si="11"/>
        <v>-0.44387439540245122</v>
      </c>
      <c r="Y23">
        <f t="shared" si="11"/>
        <v>17.432992591581396</v>
      </c>
      <c r="Z23">
        <f t="shared" si="11"/>
        <v>82.533700338296356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"/>
  <sheetViews>
    <sheetView workbookViewId="0">
      <selection activeCell="D14" sqref="D14:Z23"/>
    </sheetView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30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25">
      <c r="A2" s="1">
        <v>0</v>
      </c>
      <c r="B2" t="s">
        <v>30</v>
      </c>
      <c r="C2" t="s">
        <v>20</v>
      </c>
      <c r="D2">
        <v>4.4983724111988614</v>
      </c>
      <c r="E2">
        <v>0.1420764499332593</v>
      </c>
      <c r="F2">
        <v>2.236109545418415E-2</v>
      </c>
      <c r="G2">
        <v>5.2966599514988361E-2</v>
      </c>
      <c r="H2">
        <v>3.9870999951249051E-5</v>
      </c>
      <c r="I2">
        <v>1.11504787793423E-3</v>
      </c>
      <c r="J2">
        <v>2.2045529694572061E-4</v>
      </c>
      <c r="K2">
        <v>2.082938453430559E-3</v>
      </c>
      <c r="L2">
        <v>6.361631112596299E-4</v>
      </c>
      <c r="M2">
        <v>3.8753588110664308E-3</v>
      </c>
      <c r="N2">
        <v>3.2812971008419839E-5</v>
      </c>
      <c r="O2">
        <v>1.2756965348521249E-4</v>
      </c>
      <c r="P2">
        <v>4.15777815009082E-3</v>
      </c>
      <c r="Q2">
        <v>3.1463843579188017E-5</v>
      </c>
      <c r="R2">
        <v>4.7762301078091125E-7</v>
      </c>
      <c r="S2">
        <v>5.8423116832153428E-5</v>
      </c>
      <c r="T2">
        <v>5.260035306051284E-7</v>
      </c>
      <c r="U2">
        <v>2.602132163041635E-6</v>
      </c>
      <c r="V2">
        <v>8.3998856451323451E-4</v>
      </c>
      <c r="W2">
        <v>2.9144709042460012E-3</v>
      </c>
      <c r="X2">
        <v>4.4902178779148852E-3</v>
      </c>
      <c r="Y2">
        <v>2.8743436474409261E-4</v>
      </c>
      <c r="Z2">
        <v>-0.37979428217101541</v>
      </c>
      <c r="AA2">
        <v>2.0267436979516562</v>
      </c>
      <c r="AB2">
        <v>2.613105250760082</v>
      </c>
    </row>
    <row r="3" spans="1:28" x14ac:dyDescent="0.25">
      <c r="A3" s="1">
        <v>1</v>
      </c>
      <c r="B3" t="s">
        <v>30</v>
      </c>
      <c r="C3" t="s">
        <v>21</v>
      </c>
      <c r="D3">
        <v>4.4747344710924546</v>
      </c>
      <c r="E3">
        <v>0.13679932282685431</v>
      </c>
      <c r="F3">
        <v>2.0055060001823059E-2</v>
      </c>
      <c r="G3">
        <v>4.9418513333911403E-2</v>
      </c>
      <c r="H3">
        <v>3.911753746663405E-5</v>
      </c>
      <c r="I3">
        <v>1.100074248113151E-3</v>
      </c>
      <c r="J3">
        <v>2.152958685212315E-4</v>
      </c>
      <c r="K3">
        <v>1.970042623701017E-3</v>
      </c>
      <c r="L3">
        <v>6.1308051468318236E-4</v>
      </c>
      <c r="M3">
        <v>3.66482954191396E-3</v>
      </c>
      <c r="N3">
        <v>3.2270898362736131E-5</v>
      </c>
      <c r="O3">
        <v>1.197009649556328E-4</v>
      </c>
      <c r="P3">
        <v>4.0507368036655136E-3</v>
      </c>
      <c r="Q3">
        <v>2.9570576362890852E-5</v>
      </c>
      <c r="R3">
        <v>4.7337951251293742E-7</v>
      </c>
      <c r="S3">
        <v>5.8026899140564598E-5</v>
      </c>
      <c r="T3">
        <v>5.0258832003950641E-7</v>
      </c>
      <c r="U3">
        <v>2.38037685072818E-6</v>
      </c>
      <c r="V3">
        <v>7.8807149096362793E-4</v>
      </c>
      <c r="W3">
        <v>2.7649728942255071E-3</v>
      </c>
      <c r="X3">
        <v>4.4807397090091596E-3</v>
      </c>
      <c r="Y3">
        <v>2.7163929726161339E-4</v>
      </c>
      <c r="Z3">
        <v>-0.36562604456211889</v>
      </c>
      <c r="AA3">
        <v>2.0007808418644561</v>
      </c>
      <c r="AB3">
        <v>2.6131052514144999</v>
      </c>
    </row>
    <row r="4" spans="1:28" x14ac:dyDescent="0.25">
      <c r="A4" s="1">
        <v>2</v>
      </c>
      <c r="B4" t="s">
        <v>30</v>
      </c>
      <c r="C4" t="s">
        <v>22</v>
      </c>
      <c r="D4">
        <v>4.4661510316613962</v>
      </c>
      <c r="E4">
        <v>0.12978134047275811</v>
      </c>
      <c r="F4">
        <v>2.0298724831749999E-2</v>
      </c>
      <c r="G4">
        <v>4.7829310864031152E-2</v>
      </c>
      <c r="H4">
        <v>3.8767799598242832E-5</v>
      </c>
      <c r="I4">
        <v>1.084908857758598E-3</v>
      </c>
      <c r="J4">
        <v>2.121268381683207E-4</v>
      </c>
      <c r="K4">
        <v>1.8605205025408499E-3</v>
      </c>
      <c r="L4">
        <v>6.1305643389652153E-4</v>
      </c>
      <c r="M4">
        <v>3.4220246220772938E-3</v>
      </c>
      <c r="N4">
        <v>3.1877729046066762E-5</v>
      </c>
      <c r="O4">
        <v>1.1323086905363601E-4</v>
      </c>
      <c r="P4">
        <v>3.9196287876787769E-3</v>
      </c>
      <c r="Q4">
        <v>2.773715584498885E-5</v>
      </c>
      <c r="R4">
        <v>4.7274147903020663E-7</v>
      </c>
      <c r="S4">
        <v>5.7612362497915897E-5</v>
      </c>
      <c r="T4">
        <v>4.2753043066419812E-7</v>
      </c>
      <c r="U4">
        <v>2.396377718835448E-6</v>
      </c>
      <c r="V4">
        <v>7.7679006781649794E-4</v>
      </c>
      <c r="W4">
        <v>2.6830482073999921E-3</v>
      </c>
      <c r="X4">
        <v>4.4642582202440891E-3</v>
      </c>
      <c r="Y4">
        <v>2.649056565987173E-4</v>
      </c>
      <c r="Z4">
        <v>-0.34673174104153881</v>
      </c>
      <c r="AA4">
        <v>1.982294353972873</v>
      </c>
      <c r="AB4">
        <v>2.6131052518016729</v>
      </c>
    </row>
    <row r="5" spans="1:28" x14ac:dyDescent="0.25">
      <c r="A5" s="1">
        <v>3</v>
      </c>
      <c r="B5" t="s">
        <v>30</v>
      </c>
      <c r="C5" t="s">
        <v>23</v>
      </c>
      <c r="D5">
        <v>4.4755093251977014</v>
      </c>
      <c r="E5">
        <v>0.11828901061771251</v>
      </c>
      <c r="F5">
        <v>2.2011893378207449E-2</v>
      </c>
      <c r="G5">
        <v>4.6633759439524143E-2</v>
      </c>
      <c r="H5">
        <v>3.8746141603607432E-5</v>
      </c>
      <c r="I5">
        <v>1.059466132098388E-3</v>
      </c>
      <c r="J5">
        <v>2.0990580599569391E-4</v>
      </c>
      <c r="K5">
        <v>1.7574867761303179E-3</v>
      </c>
      <c r="L5">
        <v>6.1409657272051919E-4</v>
      </c>
      <c r="M5">
        <v>3.3016498555131731E-3</v>
      </c>
      <c r="N5">
        <v>3.1477071387090938E-5</v>
      </c>
      <c r="O5">
        <v>1.0686478901046321E-4</v>
      </c>
      <c r="P5">
        <v>3.8445870281558431E-3</v>
      </c>
      <c r="Q5">
        <v>2.6783855393971131E-5</v>
      </c>
      <c r="R5">
        <v>4.7596773983920541E-7</v>
      </c>
      <c r="S5">
        <v>5.7341583410986288E-5</v>
      </c>
      <c r="T5">
        <v>3.9138305662890801E-7</v>
      </c>
      <c r="U5">
        <v>2.487276943047091E-6</v>
      </c>
      <c r="V5">
        <v>7.693430098491055E-4</v>
      </c>
      <c r="W5">
        <v>2.5631990759228491E-3</v>
      </c>
      <c r="X5">
        <v>4.4590301940245309E-3</v>
      </c>
      <c r="Y5">
        <v>2.5991844620971641E-4</v>
      </c>
      <c r="Z5">
        <v>-0.31560413609287008</v>
      </c>
      <c r="AA5">
        <v>1.9719702951611231</v>
      </c>
      <c r="AB5">
        <v>2.6131052517288378</v>
      </c>
    </row>
    <row r="6" spans="1:28" x14ac:dyDescent="0.25">
      <c r="A6" s="1">
        <v>4</v>
      </c>
      <c r="B6" t="s">
        <v>30</v>
      </c>
      <c r="C6" t="s">
        <v>24</v>
      </c>
      <c r="D6">
        <v>4.4889958509417811</v>
      </c>
      <c r="E6">
        <v>3.7800754413894688E-2</v>
      </c>
      <c r="F6">
        <v>1.282085827477019E-2</v>
      </c>
      <c r="G6">
        <v>2.8571493465992678E-2</v>
      </c>
      <c r="H6">
        <v>3.5338267841167498E-5</v>
      </c>
      <c r="I6">
        <v>9.4165465652592075E-4</v>
      </c>
      <c r="J6">
        <v>1.868813796941294E-4</v>
      </c>
      <c r="K6">
        <v>1.027832706440999E-3</v>
      </c>
      <c r="L6">
        <v>4.8992921418982034E-4</v>
      </c>
      <c r="M6">
        <v>2.8289961499399561E-3</v>
      </c>
      <c r="N6">
        <v>2.8819345516975301E-5</v>
      </c>
      <c r="O6">
        <v>6.3586013055210813E-5</v>
      </c>
      <c r="P6">
        <v>3.3543001938020961E-3</v>
      </c>
      <c r="Q6">
        <v>2.03072800979204E-5</v>
      </c>
      <c r="R6">
        <v>4.606506127988123E-7</v>
      </c>
      <c r="S6">
        <v>5.5789914053547218E-5</v>
      </c>
      <c r="T6">
        <v>2.6307999762603351E-7</v>
      </c>
      <c r="U6">
        <v>1.5851884990328769E-6</v>
      </c>
      <c r="V6">
        <v>5.0735201094397877E-4</v>
      </c>
      <c r="W6">
        <v>1.7162808616166629E-3</v>
      </c>
      <c r="X6">
        <v>4.4500864515680024E-3</v>
      </c>
      <c r="Y6">
        <v>1.8322644806689621E-4</v>
      </c>
      <c r="Z6">
        <v>-0.1003416178940761</v>
      </c>
      <c r="AA6">
        <v>1.8811464214126981</v>
      </c>
      <c r="AB6">
        <v>2.6131052514560391</v>
      </c>
    </row>
    <row r="7" spans="1:28" x14ac:dyDescent="0.25">
      <c r="A7" s="1">
        <v>5</v>
      </c>
      <c r="B7" t="s">
        <v>30</v>
      </c>
      <c r="C7" t="s">
        <v>25</v>
      </c>
      <c r="D7">
        <v>4.4662576447705016</v>
      </c>
      <c r="E7">
        <v>1.154134168185628E-2</v>
      </c>
      <c r="F7">
        <v>1.08868805116172E-2</v>
      </c>
      <c r="G7">
        <v>2.3046305642141999E-2</v>
      </c>
      <c r="H7">
        <v>3.3854581500651293E-5</v>
      </c>
      <c r="I7">
        <v>9.0577301551992943E-4</v>
      </c>
      <c r="J7">
        <v>1.776478641214098E-4</v>
      </c>
      <c r="K7">
        <v>6.9578932461420535E-4</v>
      </c>
      <c r="L7">
        <v>4.6468881400584682E-4</v>
      </c>
      <c r="M7">
        <v>2.4605638263945802E-3</v>
      </c>
      <c r="N7">
        <v>2.7660970641729911E-5</v>
      </c>
      <c r="O7">
        <v>4.6312823205164937E-5</v>
      </c>
      <c r="P7">
        <v>3.0207803598020369E-3</v>
      </c>
      <c r="Q7">
        <v>1.549544270502011E-5</v>
      </c>
      <c r="R7">
        <v>4.5694468638723061E-7</v>
      </c>
      <c r="S7">
        <v>5.4818520802527029E-5</v>
      </c>
      <c r="T7">
        <v>1.747254058409849E-7</v>
      </c>
      <c r="U7">
        <v>1.4095028905475639E-6</v>
      </c>
      <c r="V7">
        <v>4.4240363396129341E-4</v>
      </c>
      <c r="W7">
        <v>1.455844059265567E-3</v>
      </c>
      <c r="X7">
        <v>4.4215841188658487E-3</v>
      </c>
      <c r="Y7">
        <v>1.5820814978707181E-4</v>
      </c>
      <c r="Z7">
        <v>-3.03754172555805E-2</v>
      </c>
      <c r="AA7">
        <v>1.823669815050712</v>
      </c>
      <c r="AB7">
        <v>2.6131052524615801</v>
      </c>
    </row>
    <row r="8" spans="1:28" x14ac:dyDescent="0.25">
      <c r="A8" s="1">
        <v>6</v>
      </c>
      <c r="B8" t="s">
        <v>30</v>
      </c>
      <c r="C8" t="s">
        <v>26</v>
      </c>
      <c r="D8">
        <v>4.4480861693317184</v>
      </c>
      <c r="E8">
        <v>4.4607763127944618E-3</v>
      </c>
      <c r="F8">
        <v>1.0580601666228011E-2</v>
      </c>
      <c r="G8">
        <v>2.091467469491021E-2</v>
      </c>
      <c r="H8">
        <v>3.337934035364725E-5</v>
      </c>
      <c r="I8">
        <v>8.8919960485125645E-4</v>
      </c>
      <c r="J8">
        <v>1.737624900552022E-4</v>
      </c>
      <c r="K8">
        <v>5.9638077865160791E-4</v>
      </c>
      <c r="L8">
        <v>4.5457622966673641E-4</v>
      </c>
      <c r="M8">
        <v>2.3341288416082822E-3</v>
      </c>
      <c r="N8">
        <v>2.7104053422346401E-5</v>
      </c>
      <c r="O8">
        <v>4.1112665349905937E-5</v>
      </c>
      <c r="P8">
        <v>2.912538779137927E-3</v>
      </c>
      <c r="Q8">
        <v>1.343481035649853E-5</v>
      </c>
      <c r="R8">
        <v>4.5568316212444761E-7</v>
      </c>
      <c r="S8">
        <v>5.439842899292986E-5</v>
      </c>
      <c r="T8">
        <v>1.3732309904010511E-7</v>
      </c>
      <c r="U8">
        <v>1.354999148287588E-6</v>
      </c>
      <c r="V8">
        <v>4.168750603074418E-4</v>
      </c>
      <c r="W8">
        <v>1.3394449600147671E-3</v>
      </c>
      <c r="X8">
        <v>4.4103584477798692E-3</v>
      </c>
      <c r="Y8">
        <v>1.4720810740762659E-4</v>
      </c>
      <c r="Z8">
        <v>-1.149789932290151E-2</v>
      </c>
      <c r="AA8">
        <v>1.7966769122224031</v>
      </c>
      <c r="AB8">
        <v>2.6131052531549179</v>
      </c>
    </row>
    <row r="9" spans="1:28" x14ac:dyDescent="0.25">
      <c r="A9" s="1">
        <v>7</v>
      </c>
      <c r="B9" t="s">
        <v>30</v>
      </c>
      <c r="C9" t="s">
        <v>27</v>
      </c>
      <c r="D9">
        <v>4.4682681254411651</v>
      </c>
      <c r="E9">
        <v>0.1110232245261394</v>
      </c>
      <c r="F9">
        <v>1.8108613527970181E-2</v>
      </c>
      <c r="G9">
        <v>4.4327527782488017E-2</v>
      </c>
      <c r="H9">
        <v>3.8069217529455031E-5</v>
      </c>
      <c r="I9">
        <v>1.0744851158769209E-3</v>
      </c>
      <c r="J9">
        <v>2.0856933336140849E-4</v>
      </c>
      <c r="K9">
        <v>1.697622871425561E-3</v>
      </c>
      <c r="L9">
        <v>5.8743170827755696E-4</v>
      </c>
      <c r="M9">
        <v>3.338108115357711E-3</v>
      </c>
      <c r="N9">
        <v>3.1494808109269233E-5</v>
      </c>
      <c r="O9">
        <v>1.036498255976517E-4</v>
      </c>
      <c r="P9">
        <v>3.8083973608331449E-3</v>
      </c>
      <c r="Q9">
        <v>2.7165509980847691E-5</v>
      </c>
      <c r="R9">
        <v>4.702068263715078E-7</v>
      </c>
      <c r="S9">
        <v>5.7481832825853678E-5</v>
      </c>
      <c r="T9">
        <v>4.8477227320119648E-7</v>
      </c>
      <c r="U9">
        <v>2.2053686526492511E-6</v>
      </c>
      <c r="V9">
        <v>7.2382624542016857E-4</v>
      </c>
      <c r="W9">
        <v>2.5261238314897251E-3</v>
      </c>
      <c r="X9">
        <v>4.4704821362772122E-3</v>
      </c>
      <c r="Y9">
        <v>2.5195233788745581E-4</v>
      </c>
      <c r="Z9">
        <v>-0.29667728778486402</v>
      </c>
      <c r="AA9">
        <v>1.9594327749628611</v>
      </c>
      <c r="AB9">
        <v>2.6131052518285691</v>
      </c>
    </row>
    <row r="10" spans="1:28" x14ac:dyDescent="0.25">
      <c r="A10" s="1">
        <v>8</v>
      </c>
      <c r="B10" t="s">
        <v>30</v>
      </c>
      <c r="C10" t="s">
        <v>28</v>
      </c>
      <c r="D10">
        <v>4.4874108125027634</v>
      </c>
      <c r="E10">
        <v>4.7473776782838942E-2</v>
      </c>
      <c r="F10">
        <v>1.4107366783253229E-2</v>
      </c>
      <c r="G10">
        <v>3.4227032883688703E-2</v>
      </c>
      <c r="H10">
        <v>3.5975591593702608E-5</v>
      </c>
      <c r="I10">
        <v>1.019814762690261E-3</v>
      </c>
      <c r="J10">
        <v>1.945659832336182E-4</v>
      </c>
      <c r="K10">
        <v>1.0862768494666281E-3</v>
      </c>
      <c r="L10">
        <v>5.3874778954990181E-4</v>
      </c>
      <c r="M10">
        <v>2.8736080410952419E-3</v>
      </c>
      <c r="N10">
        <v>2.9920151701392579E-5</v>
      </c>
      <c r="O10">
        <v>7.1485311422341837E-5</v>
      </c>
      <c r="P10">
        <v>3.4079501937125741E-3</v>
      </c>
      <c r="Q10">
        <v>2.1862579527178191E-5</v>
      </c>
      <c r="R10">
        <v>4.6330677931835871E-7</v>
      </c>
      <c r="S10">
        <v>5.626430326440552E-5</v>
      </c>
      <c r="T10">
        <v>2.9618911399729179E-7</v>
      </c>
      <c r="U10">
        <v>1.864054218519383E-6</v>
      </c>
      <c r="V10">
        <v>6.0571542729334019E-4</v>
      </c>
      <c r="W10">
        <v>2.0880262038062E-3</v>
      </c>
      <c r="X10">
        <v>4.4435029580982E-3</v>
      </c>
      <c r="Y10">
        <v>2.126036878080709E-4</v>
      </c>
      <c r="Z10">
        <v>-0.12675604539464219</v>
      </c>
      <c r="AA10">
        <v>1.888564486312555</v>
      </c>
      <c r="AB10">
        <v>2.6131052517506932</v>
      </c>
    </row>
    <row r="11" spans="1:28" x14ac:dyDescent="0.25">
      <c r="A11" s="1">
        <v>9</v>
      </c>
      <c r="B11" t="s">
        <v>30</v>
      </c>
      <c r="C11" t="s">
        <v>29</v>
      </c>
      <c r="D11">
        <v>4.5075383230095074</v>
      </c>
      <c r="E11">
        <v>8.5076653109683962E-3</v>
      </c>
      <c r="F11">
        <v>1.26804390275507E-2</v>
      </c>
      <c r="G11">
        <v>2.458341197697617E-2</v>
      </c>
      <c r="H11">
        <v>3.4516318105589199E-5</v>
      </c>
      <c r="I11">
        <v>9.0206009614375528E-4</v>
      </c>
      <c r="J11">
        <v>1.8068620746124881E-4</v>
      </c>
      <c r="K11">
        <v>7.350539239766871E-4</v>
      </c>
      <c r="L11">
        <v>4.7575112588455458E-4</v>
      </c>
      <c r="M11">
        <v>2.5959835126927919E-3</v>
      </c>
      <c r="N11">
        <v>2.79745967271702E-5</v>
      </c>
      <c r="O11">
        <v>4.7731491349906943E-5</v>
      </c>
      <c r="P11">
        <v>3.1582340780101342E-3</v>
      </c>
      <c r="Q11">
        <v>1.740378168929433E-5</v>
      </c>
      <c r="R11">
        <v>4.618835132529721E-7</v>
      </c>
      <c r="S11">
        <v>5.511580607320561E-5</v>
      </c>
      <c r="T11">
        <v>2.3763069911862571E-7</v>
      </c>
      <c r="U11">
        <v>1.545592868689408E-6</v>
      </c>
      <c r="V11">
        <v>4.7059889559575258E-4</v>
      </c>
      <c r="W11">
        <v>1.5089034544510499E-3</v>
      </c>
      <c r="X11">
        <v>4.4311924932185299E-3</v>
      </c>
      <c r="Y11">
        <v>1.6633070481319239E-4</v>
      </c>
      <c r="Z11">
        <v>-2.1840405900004869E-2</v>
      </c>
      <c r="AA11">
        <v>1.8556921798230781</v>
      </c>
      <c r="AB11">
        <v>2.613105251177664</v>
      </c>
    </row>
    <row r="14" spans="1:28" x14ac:dyDescent="0.25">
      <c r="E14">
        <f>E2/$D2*100</f>
        <v>3.158396792127633</v>
      </c>
      <c r="F14">
        <f t="shared" ref="F14:Z23" si="0">F2/$D2*100</f>
        <v>0.49709302410168149</v>
      </c>
      <c r="G14">
        <f t="shared" si="0"/>
        <v>1.1774614165587112</v>
      </c>
      <c r="H14">
        <f t="shared" si="0"/>
        <v>8.8634279927532781E-4</v>
      </c>
      <c r="I14">
        <f t="shared" si="0"/>
        <v>2.4787807144608074E-2</v>
      </c>
      <c r="J14">
        <f t="shared" si="0"/>
        <v>4.900779143960806E-3</v>
      </c>
      <c r="K14">
        <f t="shared" si="0"/>
        <v>4.6304268811648584E-2</v>
      </c>
      <c r="L14">
        <f t="shared" si="0"/>
        <v>1.4142073023475752E-2</v>
      </c>
      <c r="M14">
        <f t="shared" si="0"/>
        <v>8.6150244062020834E-2</v>
      </c>
      <c r="N14">
        <f t="shared" si="0"/>
        <v>7.2944096239632716E-4</v>
      </c>
      <c r="O14">
        <f t="shared" si="0"/>
        <v>2.8359068975174935E-3</v>
      </c>
      <c r="P14">
        <f t="shared" si="0"/>
        <v>9.2428500133512295E-2</v>
      </c>
      <c r="Q14">
        <f t="shared" si="0"/>
        <v>6.9944950535570671E-4</v>
      </c>
      <c r="R14">
        <f t="shared" si="0"/>
        <v>1.0617684956271105E-5</v>
      </c>
      <c r="S14">
        <f t="shared" si="0"/>
        <v>1.2987612294328267E-3</v>
      </c>
      <c r="T14">
        <f t="shared" si="0"/>
        <v>1.1693196616972474E-5</v>
      </c>
      <c r="U14">
        <f t="shared" si="0"/>
        <v>5.784608131962424E-5</v>
      </c>
      <c r="V14">
        <f t="shared" si="0"/>
        <v>1.8673166375066066E-2</v>
      </c>
      <c r="W14">
        <f t="shared" si="0"/>
        <v>6.4789453558587548E-2</v>
      </c>
      <c r="X14">
        <f t="shared" si="0"/>
        <v>9.9818722583668806E-2</v>
      </c>
      <c r="Y14">
        <f t="shared" si="0"/>
        <v>6.3897414102157104E-3</v>
      </c>
      <c r="Z14">
        <f t="shared" si="0"/>
        <v>-8.4429266288736731</v>
      </c>
    </row>
    <row r="15" spans="1:28" x14ac:dyDescent="0.25">
      <c r="D15">
        <f>($D$2-D3)/$D$2*100</f>
        <v>0.52547761602750676</v>
      </c>
      <c r="E15">
        <f t="shared" ref="E15:K23" si="1">E3/$D3*100</f>
        <v>3.0571495070959225</v>
      </c>
      <c r="F15">
        <f t="shared" si="1"/>
        <v>0.44818435890178859</v>
      </c>
      <c r="G15">
        <f t="shared" si="1"/>
        <v>1.1043898504629359</v>
      </c>
      <c r="H15">
        <f t="shared" si="1"/>
        <v>8.7418678626273796E-4</v>
      </c>
      <c r="I15">
        <f t="shared" si="1"/>
        <v>2.4584123487545854E-2</v>
      </c>
      <c r="J15">
        <f t="shared" si="1"/>
        <v>4.8113663483739522E-3</v>
      </c>
      <c r="K15">
        <f t="shared" si="1"/>
        <v>4.4025911178145367E-2</v>
      </c>
      <c r="L15">
        <f t="shared" si="0"/>
        <v>1.3700936192835278E-2</v>
      </c>
      <c r="M15">
        <f t="shared" si="0"/>
        <v>8.190049187475551E-2</v>
      </c>
      <c r="N15">
        <f t="shared" si="0"/>
        <v>7.2118018557775041E-4</v>
      </c>
      <c r="O15">
        <f t="shared" si="0"/>
        <v>2.6750406248442532E-3</v>
      </c>
      <c r="P15">
        <f t="shared" si="0"/>
        <v>9.0524629558110359E-2</v>
      </c>
      <c r="Q15">
        <f t="shared" si="0"/>
        <v>6.6083421382702825E-4</v>
      </c>
      <c r="R15">
        <f t="shared" si="0"/>
        <v>1.0578940841541539E-5</v>
      </c>
      <c r="S15">
        <f t="shared" si="0"/>
        <v>1.2967674286693039E-3</v>
      </c>
      <c r="T15">
        <f t="shared" si="0"/>
        <v>1.1231690355848205E-5</v>
      </c>
      <c r="U15">
        <f t="shared" si="0"/>
        <v>5.3195935224890303E-5</v>
      </c>
      <c r="V15">
        <f t="shared" si="0"/>
        <v>1.7611581112906335E-2</v>
      </c>
      <c r="W15">
        <f t="shared" si="0"/>
        <v>6.1790770202962919E-2</v>
      </c>
      <c r="X15">
        <f t="shared" si="0"/>
        <v>0.10013420322380021</v>
      </c>
      <c r="Y15">
        <f t="shared" si="0"/>
        <v>6.070512094437098E-3</v>
      </c>
      <c r="Z15">
        <f t="shared" si="0"/>
        <v>-8.1708992326611849</v>
      </c>
    </row>
    <row r="16" spans="1:28" x14ac:dyDescent="0.25">
      <c r="D16">
        <f>($D$2-D4)/$D$2*100</f>
        <v>0.71628972864160811</v>
      </c>
      <c r="E16">
        <f t="shared" si="1"/>
        <v>2.9058878562931132</v>
      </c>
      <c r="F16">
        <f t="shared" si="1"/>
        <v>0.45450153135996674</v>
      </c>
      <c r="G16">
        <f t="shared" si="1"/>
        <v>1.070929095880548</v>
      </c>
      <c r="H16">
        <f t="shared" si="1"/>
        <v>8.6803601856297536E-4</v>
      </c>
      <c r="I16">
        <f t="shared" si="1"/>
        <v>2.4291808540899587E-2</v>
      </c>
      <c r="J16">
        <f t="shared" si="1"/>
        <v>4.7496566207571823E-3</v>
      </c>
      <c r="K16">
        <f t="shared" si="1"/>
        <v>4.1658253143506907E-2</v>
      </c>
      <c r="L16">
        <f t="shared" si="0"/>
        <v>1.3726728665252194E-2</v>
      </c>
      <c r="M16">
        <f t="shared" si="0"/>
        <v>7.6621336757711697E-2</v>
      </c>
      <c r="N16">
        <f t="shared" si="0"/>
        <v>7.1376289830056051E-4</v>
      </c>
      <c r="O16">
        <f t="shared" si="0"/>
        <v>2.5353121345633141E-3</v>
      </c>
      <c r="P16">
        <f t="shared" si="0"/>
        <v>8.7763014727710309E-2</v>
      </c>
      <c r="Q16">
        <f t="shared" si="0"/>
        <v>6.2105279575981338E-4</v>
      </c>
      <c r="R16">
        <f t="shared" si="0"/>
        <v>1.0584986393851263E-5</v>
      </c>
      <c r="S16">
        <f t="shared" si="0"/>
        <v>1.2899779270671968E-3</v>
      </c>
      <c r="T16">
        <f t="shared" si="0"/>
        <v>9.5726818827521373E-6</v>
      </c>
      <c r="U16">
        <f t="shared" si="0"/>
        <v>5.3656441572330841E-5</v>
      </c>
      <c r="V16">
        <f t="shared" si="0"/>
        <v>1.739283025382897E-2</v>
      </c>
      <c r="W16">
        <f t="shared" si="0"/>
        <v>6.0075178568287362E-2</v>
      </c>
      <c r="X16">
        <f t="shared" si="0"/>
        <v>9.9957618732463616E-2</v>
      </c>
      <c r="Y16">
        <f t="shared" si="0"/>
        <v>5.9314083809694426E-3</v>
      </c>
      <c r="Z16">
        <f t="shared" si="0"/>
        <v>-7.7635471479466629</v>
      </c>
    </row>
    <row r="17" spans="4:26" x14ac:dyDescent="0.25">
      <c r="D17">
        <f>($D$2-D5)/$D$2*100</f>
        <v>0.50825240578662556</v>
      </c>
      <c r="E17">
        <f t="shared" si="1"/>
        <v>2.6430290280422373</v>
      </c>
      <c r="F17">
        <f t="shared" si="1"/>
        <v>0.49182990758789441</v>
      </c>
      <c r="G17">
        <f t="shared" si="1"/>
        <v>1.0419765897251065</v>
      </c>
      <c r="H17">
        <f t="shared" si="1"/>
        <v>8.6573703210630351E-4</v>
      </c>
      <c r="I17">
        <f t="shared" si="1"/>
        <v>2.3672526524153473E-2</v>
      </c>
      <c r="J17">
        <f t="shared" si="1"/>
        <v>4.6900987294093395E-3</v>
      </c>
      <c r="K17">
        <f t="shared" si="1"/>
        <v>3.9268978085587672E-2</v>
      </c>
      <c r="L17">
        <f t="shared" si="0"/>
        <v>1.3721266745285848E-2</v>
      </c>
      <c r="M17">
        <f t="shared" si="0"/>
        <v>7.377148868676138E-2</v>
      </c>
      <c r="N17">
        <f t="shared" si="0"/>
        <v>7.0331819464370055E-4</v>
      </c>
      <c r="O17">
        <f t="shared" si="0"/>
        <v>2.3877682124088203E-3</v>
      </c>
      <c r="P17">
        <f t="shared" si="0"/>
        <v>8.5902782204258107E-2</v>
      </c>
      <c r="Q17">
        <f t="shared" si="0"/>
        <v>5.9845379481558735E-4</v>
      </c>
      <c r="R17">
        <f t="shared" si="0"/>
        <v>1.0634940187912131E-5</v>
      </c>
      <c r="S17">
        <f t="shared" si="0"/>
        <v>1.2812303414975741E-3</v>
      </c>
      <c r="T17">
        <f t="shared" si="0"/>
        <v>8.7449947746811822E-6</v>
      </c>
      <c r="U17">
        <f t="shared" si="0"/>
        <v>5.5575282326938685E-5</v>
      </c>
      <c r="V17">
        <f t="shared" si="0"/>
        <v>1.7190066067287672E-2</v>
      </c>
      <c r="W17">
        <f t="shared" si="0"/>
        <v>5.7271673225920985E-2</v>
      </c>
      <c r="X17">
        <f t="shared" si="0"/>
        <v>9.9631793166413699E-2</v>
      </c>
      <c r="Y17">
        <f t="shared" si="0"/>
        <v>5.8075724420088154E-3</v>
      </c>
      <c r="Z17">
        <f t="shared" si="0"/>
        <v>-7.0518037872466852</v>
      </c>
    </row>
    <row r="18" spans="4:26" x14ac:dyDescent="0.25">
      <c r="D18">
        <f>($D$2-D6)/$D$2*100</f>
        <v>0.20844339685476124</v>
      </c>
      <c r="E18">
        <f t="shared" si="1"/>
        <v>0.84207594903354999</v>
      </c>
      <c r="F18">
        <f t="shared" si="1"/>
        <v>0.28560637390832971</v>
      </c>
      <c r="G18">
        <f t="shared" si="1"/>
        <v>0.6364785001972868</v>
      </c>
      <c r="H18">
        <f t="shared" si="1"/>
        <v>7.8721988200888208E-4</v>
      </c>
      <c r="I18">
        <f t="shared" si="1"/>
        <v>2.0976955376966179E-2</v>
      </c>
      <c r="J18">
        <f t="shared" si="1"/>
        <v>4.1630998534989087E-3</v>
      </c>
      <c r="K18">
        <f t="shared" si="1"/>
        <v>2.2896717675187025E-2</v>
      </c>
      <c r="L18">
        <f t="shared" si="0"/>
        <v>1.0914004611678007E-2</v>
      </c>
      <c r="M18">
        <f t="shared" si="0"/>
        <v>6.3020689790712084E-2</v>
      </c>
      <c r="N18">
        <f t="shared" si="0"/>
        <v>6.4199982521545584E-4</v>
      </c>
      <c r="O18">
        <f t="shared" si="0"/>
        <v>1.4164863405224716E-3</v>
      </c>
      <c r="P18">
        <f t="shared" si="0"/>
        <v>7.4722728761230012E-2</v>
      </c>
      <c r="Q18">
        <f t="shared" si="0"/>
        <v>4.5237912380025882E-4</v>
      </c>
      <c r="R18">
        <f t="shared" si="0"/>
        <v>1.0261774082552757E-5</v>
      </c>
      <c r="S18">
        <f t="shared" si="0"/>
        <v>1.2428150059849716E-3</v>
      </c>
      <c r="T18">
        <f t="shared" si="0"/>
        <v>5.8605533701003517E-6</v>
      </c>
      <c r="U18">
        <f t="shared" si="0"/>
        <v>3.5312763737580824E-5</v>
      </c>
      <c r="V18">
        <f t="shared" si="0"/>
        <v>1.1302126974288415E-2</v>
      </c>
      <c r="W18">
        <f t="shared" si="0"/>
        <v>3.8233068566026658E-2</v>
      </c>
      <c r="X18">
        <f t="shared" si="0"/>
        <v>9.9133227103214733E-2</v>
      </c>
      <c r="Y18">
        <f t="shared" si="0"/>
        <v>4.0816800494136276E-3</v>
      </c>
      <c r="Z18">
        <f t="shared" si="0"/>
        <v>-2.2352798092478667</v>
      </c>
    </row>
    <row r="19" spans="4:26" x14ac:dyDescent="0.25">
      <c r="D19">
        <f>($D$2-D7)/$D$2*100</f>
        <v>0.71391969122896515</v>
      </c>
      <c r="E19">
        <f t="shared" si="1"/>
        <v>0.25841190992127216</v>
      </c>
      <c r="F19">
        <f t="shared" si="1"/>
        <v>0.24375845232226012</v>
      </c>
      <c r="G19">
        <f t="shared" si="1"/>
        <v>0.51600931865466149</v>
      </c>
      <c r="H19">
        <f t="shared" si="1"/>
        <v>7.5800780414652746E-4</v>
      </c>
      <c r="I19">
        <f t="shared" si="1"/>
        <v>2.0280357461699292E-2</v>
      </c>
      <c r="J19">
        <f t="shared" si="1"/>
        <v>3.9775552207431649E-3</v>
      </c>
      <c r="K19">
        <f t="shared" si="1"/>
        <v>1.557879952198679E-2</v>
      </c>
      <c r="L19">
        <f t="shared" si="0"/>
        <v>1.0404433666068202E-2</v>
      </c>
      <c r="M19">
        <f t="shared" si="0"/>
        <v>5.5092294759923464E-2</v>
      </c>
      <c r="N19">
        <f t="shared" si="0"/>
        <v>6.1933217565533587E-4</v>
      </c>
      <c r="O19">
        <f t="shared" si="0"/>
        <v>1.0369492064433896E-3</v>
      </c>
      <c r="P19">
        <f t="shared" si="0"/>
        <v>6.7635604572410635E-2</v>
      </c>
      <c r="Q19">
        <f t="shared" si="0"/>
        <v>3.4694466682108177E-4</v>
      </c>
      <c r="R19">
        <f t="shared" si="0"/>
        <v>1.0231041796754891E-5</v>
      </c>
      <c r="S19">
        <f t="shared" si="0"/>
        <v>1.2273927113612337E-3</v>
      </c>
      <c r="T19">
        <f t="shared" si="0"/>
        <v>3.9121210583444334E-6</v>
      </c>
      <c r="U19">
        <f t="shared" si="0"/>
        <v>3.1558924778957552E-5</v>
      </c>
      <c r="V19">
        <f t="shared" si="0"/>
        <v>9.9054660332750753E-3</v>
      </c>
      <c r="W19">
        <f t="shared" si="0"/>
        <v>3.2596508644551686E-2</v>
      </c>
      <c r="X19">
        <f t="shared" si="0"/>
        <v>9.8999754840454382E-2</v>
      </c>
      <c r="Y19">
        <f t="shared" si="0"/>
        <v>3.5422978782318178E-3</v>
      </c>
      <c r="Z19">
        <f t="shared" si="0"/>
        <v>-0.68010893395607808</v>
      </c>
    </row>
    <row r="20" spans="4:26" x14ac:dyDescent="0.25">
      <c r="D20">
        <f>($D$2-D8)/$D$2*100</f>
        <v>1.1178763621694283</v>
      </c>
      <c r="E20">
        <f t="shared" si="1"/>
        <v>0.10028529446102546</v>
      </c>
      <c r="F20">
        <f t="shared" si="1"/>
        <v>0.23786863076480469</v>
      </c>
      <c r="G20">
        <f t="shared" si="1"/>
        <v>0.47019490852292634</v>
      </c>
      <c r="H20">
        <f t="shared" si="1"/>
        <v>7.5042027251603742E-4</v>
      </c>
      <c r="I20">
        <f t="shared" si="1"/>
        <v>1.9990611040362333E-2</v>
      </c>
      <c r="J20">
        <f t="shared" si="1"/>
        <v>3.9064551234021692E-3</v>
      </c>
      <c r="K20">
        <f t="shared" si="1"/>
        <v>1.3407581506929493E-2</v>
      </c>
      <c r="L20">
        <f t="shared" si="0"/>
        <v>1.0219591355961346E-2</v>
      </c>
      <c r="M20">
        <f t="shared" si="0"/>
        <v>5.2474901626264184E-2</v>
      </c>
      <c r="N20">
        <f t="shared" si="0"/>
        <v>6.0934191448945162E-4</v>
      </c>
      <c r="O20">
        <f t="shared" si="0"/>
        <v>9.2427762828350773E-4</v>
      </c>
      <c r="P20">
        <f t="shared" si="0"/>
        <v>6.5478470251297036E-2</v>
      </c>
      <c r="Q20">
        <f t="shared" si="0"/>
        <v>3.0203574852321214E-4</v>
      </c>
      <c r="R20">
        <f t="shared" si="0"/>
        <v>1.0244476945304088E-5</v>
      </c>
      <c r="S20">
        <f t="shared" si="0"/>
        <v>1.2229625713636454E-3</v>
      </c>
      <c r="T20">
        <f t="shared" si="0"/>
        <v>3.0872400806195842E-6</v>
      </c>
      <c r="U20">
        <f t="shared" si="0"/>
        <v>3.0462520209925776E-5</v>
      </c>
      <c r="V20">
        <f t="shared" si="0"/>
        <v>9.3720095438275478E-3</v>
      </c>
      <c r="W20">
        <f t="shared" si="0"/>
        <v>3.0112837499638764E-2</v>
      </c>
      <c r="X20">
        <f t="shared" si="0"/>
        <v>9.9151821252655328E-2</v>
      </c>
      <c r="Y20">
        <f t="shared" si="0"/>
        <v>3.3094706757837641E-3</v>
      </c>
      <c r="Z20">
        <f t="shared" si="0"/>
        <v>-0.25849093037307225</v>
      </c>
    </row>
    <row r="21" spans="4:26" x14ac:dyDescent="0.25">
      <c r="D21">
        <f>($D$2-D9)/$D$2*100</f>
        <v>0.66922617795606676</v>
      </c>
      <c r="E21">
        <f t="shared" si="1"/>
        <v>2.4847037243356507</v>
      </c>
      <c r="F21">
        <f t="shared" si="1"/>
        <v>0.4052714165666203</v>
      </c>
      <c r="G21">
        <f t="shared" si="1"/>
        <v>0.99205165263244877</v>
      </c>
      <c r="H21">
        <f t="shared" si="1"/>
        <v>8.5199044597835869E-4</v>
      </c>
      <c r="I21">
        <f t="shared" si="1"/>
        <v>2.4047015212875882E-2</v>
      </c>
      <c r="J21">
        <f t="shared" si="1"/>
        <v>4.6677891188728927E-3</v>
      </c>
      <c r="K21">
        <f t="shared" si="1"/>
        <v>3.7992860405125076E-2</v>
      </c>
      <c r="L21">
        <f t="shared" si="0"/>
        <v>1.3146742580931356E-2</v>
      </c>
      <c r="M21">
        <f t="shared" si="0"/>
        <v>7.4706978669238422E-2</v>
      </c>
      <c r="N21">
        <f t="shared" si="0"/>
        <v>7.0485492869028883E-4</v>
      </c>
      <c r="O21">
        <f t="shared" si="0"/>
        <v>2.3196867933572823E-3</v>
      </c>
      <c r="P21">
        <f t="shared" si="0"/>
        <v>8.5232068754986151E-2</v>
      </c>
      <c r="Q21">
        <f t="shared" si="0"/>
        <v>6.0796508217969938E-4</v>
      </c>
      <c r="R21">
        <f t="shared" si="0"/>
        <v>1.0523245543262534E-5</v>
      </c>
      <c r="S21">
        <f t="shared" si="0"/>
        <v>1.2864454686272509E-3</v>
      </c>
      <c r="T21">
        <f t="shared" si="0"/>
        <v>1.0849220762761042E-5</v>
      </c>
      <c r="U21">
        <f t="shared" si="0"/>
        <v>4.9356229096737749E-5</v>
      </c>
      <c r="V21">
        <f t="shared" si="0"/>
        <v>1.6199257186445208E-2</v>
      </c>
      <c r="W21">
        <f t="shared" si="0"/>
        <v>5.6534741438335541E-2</v>
      </c>
      <c r="X21">
        <f t="shared" si="0"/>
        <v>0.10004954964146939</v>
      </c>
      <c r="Y21">
        <f t="shared" si="0"/>
        <v>5.638702307341501E-3</v>
      </c>
      <c r="Z21">
        <f t="shared" si="0"/>
        <v>-6.6396482810791984</v>
      </c>
    </row>
    <row r="22" spans="4:26" x14ac:dyDescent="0.25">
      <c r="D22">
        <f>($D$2-D10)/$D$2*100</f>
        <v>0.24367921759453998</v>
      </c>
      <c r="E22">
        <f t="shared" si="1"/>
        <v>1.0579324863809694</v>
      </c>
      <c r="F22">
        <f t="shared" si="1"/>
        <v>0.31437653855865999</v>
      </c>
      <c r="G22">
        <f t="shared" si="1"/>
        <v>0.76273455482002683</v>
      </c>
      <c r="H22">
        <f t="shared" si="1"/>
        <v>8.0170042585510348E-4</v>
      </c>
      <c r="I22">
        <f t="shared" si="1"/>
        <v>2.2726128836897813E-2</v>
      </c>
      <c r="J22">
        <f t="shared" si="1"/>
        <v>4.335818389783282E-3</v>
      </c>
      <c r="K22">
        <f t="shared" si="1"/>
        <v>2.4207207560316479E-2</v>
      </c>
      <c r="L22">
        <f t="shared" si="0"/>
        <v>1.2005760382999702E-2</v>
      </c>
      <c r="M22">
        <f t="shared" si="0"/>
        <v>6.4037106500007393E-2</v>
      </c>
      <c r="N22">
        <f t="shared" si="0"/>
        <v>6.6675757918195177E-4</v>
      </c>
      <c r="O22">
        <f t="shared" si="0"/>
        <v>1.5930191018653883E-3</v>
      </c>
      <c r="P22">
        <f t="shared" si="0"/>
        <v>7.5944689178387439E-2</v>
      </c>
      <c r="Q22">
        <f t="shared" si="0"/>
        <v>4.8719808461184264E-4</v>
      </c>
      <c r="R22">
        <f t="shared" si="0"/>
        <v>1.0324590252078093E-5</v>
      </c>
      <c r="S22">
        <f t="shared" si="0"/>
        <v>1.2538255491929262E-3</v>
      </c>
      <c r="T22">
        <f t="shared" si="0"/>
        <v>6.6004456996015097E-6</v>
      </c>
      <c r="U22">
        <f t="shared" si="0"/>
        <v>4.1539638254776684E-5</v>
      </c>
      <c r="V22">
        <f t="shared" si="0"/>
        <v>1.3498105090037758E-2</v>
      </c>
      <c r="W22">
        <f t="shared" si="0"/>
        <v>4.6530756622250175E-2</v>
      </c>
      <c r="X22">
        <f t="shared" si="0"/>
        <v>9.9021532544285279E-2</v>
      </c>
      <c r="Y22">
        <f t="shared" si="0"/>
        <v>4.7377807981323523E-3</v>
      </c>
      <c r="Z22">
        <f t="shared" si="0"/>
        <v>-2.8247033911287152</v>
      </c>
    </row>
    <row r="23" spans="4:26" x14ac:dyDescent="0.25">
      <c r="D23">
        <f>($D$2-D11)/$D$2*100</f>
        <v>-0.20376062657300439</v>
      </c>
      <c r="E23">
        <f t="shared" si="1"/>
        <v>0.18874305000446806</v>
      </c>
      <c r="F23">
        <f t="shared" si="1"/>
        <v>0.28131627773015727</v>
      </c>
      <c r="G23">
        <f t="shared" si="1"/>
        <v>0.54538442527456499</v>
      </c>
      <c r="H23">
        <f t="shared" si="1"/>
        <v>7.6574652575652435E-4</v>
      </c>
      <c r="I23">
        <f t="shared" si="1"/>
        <v>2.0012255725903288E-2</v>
      </c>
      <c r="J23">
        <f t="shared" si="1"/>
        <v>4.0085340270742649E-3</v>
      </c>
      <c r="K23">
        <f t="shared" si="1"/>
        <v>1.6307214077903174E-2</v>
      </c>
      <c r="L23">
        <f t="shared" si="0"/>
        <v>1.0554566412802323E-2</v>
      </c>
      <c r="M23">
        <f t="shared" si="0"/>
        <v>5.7592045295347706E-2</v>
      </c>
      <c r="N23">
        <f t="shared" si="0"/>
        <v>6.2061805629846879E-4</v>
      </c>
      <c r="O23">
        <f t="shared" si="0"/>
        <v>1.0589259132030738E-3</v>
      </c>
      <c r="P23">
        <f t="shared" si="0"/>
        <v>7.0065606805567976E-2</v>
      </c>
      <c r="Q23">
        <f t="shared" si="0"/>
        <v>3.8610390954312517E-4</v>
      </c>
      <c r="R23">
        <f t="shared" si="0"/>
        <v>1.0246912619582356E-5</v>
      </c>
      <c r="S23">
        <f t="shared" si="0"/>
        <v>1.2227473650497317E-3</v>
      </c>
      <c r="T23">
        <f t="shared" si="0"/>
        <v>5.2718508882242613E-6</v>
      </c>
      <c r="U23">
        <f t="shared" si="0"/>
        <v>3.4289067733482427E-5</v>
      </c>
      <c r="V23">
        <f t="shared" si="0"/>
        <v>1.0440263884025108E-2</v>
      </c>
      <c r="W23">
        <f t="shared" si="0"/>
        <v>3.3475110943562959E-2</v>
      </c>
      <c r="X23">
        <f t="shared" si="0"/>
        <v>9.830626332334752E-2</v>
      </c>
      <c r="Y23">
        <f t="shared" si="0"/>
        <v>3.6900563654473791E-3</v>
      </c>
      <c r="Z23">
        <f t="shared" si="0"/>
        <v>-0.48453067583511705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"/>
  <sheetViews>
    <sheetView workbookViewId="0">
      <selection activeCell="D14" sqref="D14:Z23"/>
    </sheetView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33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25">
      <c r="A2" s="1">
        <v>0</v>
      </c>
      <c r="B2" t="s">
        <v>33</v>
      </c>
      <c r="C2" t="s">
        <v>20</v>
      </c>
      <c r="D2">
        <v>11.07977878591611</v>
      </c>
      <c r="E2">
        <v>2.2363657715259021E-2</v>
      </c>
      <c r="F2">
        <v>5.2972668728211048E-2</v>
      </c>
      <c r="G2">
        <v>3.9870999951249051E-5</v>
      </c>
      <c r="H2">
        <v>1.11504787793423E-3</v>
      </c>
      <c r="I2">
        <v>2.2045529694572061E-4</v>
      </c>
      <c r="J2">
        <v>2.082938453430559E-3</v>
      </c>
      <c r="K2">
        <v>3.8753588110664308E-3</v>
      </c>
      <c r="L2">
        <v>3.2812971008419839E-5</v>
      </c>
      <c r="M2">
        <v>1.2756965348521249E-4</v>
      </c>
      <c r="N2">
        <v>4.15777815009082E-3</v>
      </c>
      <c r="O2">
        <v>3.1463843579188017E-5</v>
      </c>
      <c r="P2">
        <v>4.7762301078091125E-7</v>
      </c>
      <c r="Q2">
        <v>5.8423116832153428E-5</v>
      </c>
      <c r="R2">
        <v>5.260035306051284E-7</v>
      </c>
      <c r="S2">
        <v>2.6024303300955089E-6</v>
      </c>
      <c r="T2">
        <v>8.400848151645762E-4</v>
      </c>
      <c r="U2">
        <v>2.914804860838993E-3</v>
      </c>
      <c r="V2">
        <v>4.4902178779148852E-3</v>
      </c>
      <c r="W2">
        <v>2.8743436474409261E-4</v>
      </c>
      <c r="X2">
        <v>0</v>
      </c>
      <c r="Y2">
        <v>2.058974611707971</v>
      </c>
      <c r="Z2">
        <v>8.9251899806148138</v>
      </c>
    </row>
    <row r="3" spans="1:26" x14ac:dyDescent="0.25">
      <c r="A3" s="1">
        <v>1</v>
      </c>
      <c r="B3" t="s">
        <v>33</v>
      </c>
      <c r="C3" t="s">
        <v>21</v>
      </c>
      <c r="D3">
        <v>11.04685924082778</v>
      </c>
      <c r="E3">
        <v>2.0057358024283611E-2</v>
      </c>
      <c r="F3">
        <v>4.9424175987306578E-2</v>
      </c>
      <c r="G3">
        <v>3.911753746663405E-5</v>
      </c>
      <c r="H3">
        <v>1.100074248113151E-3</v>
      </c>
      <c r="I3">
        <v>2.152958685212315E-4</v>
      </c>
      <c r="J3">
        <v>1.970042623701017E-3</v>
      </c>
      <c r="K3">
        <v>3.66482954191396E-3</v>
      </c>
      <c r="L3">
        <v>3.2270898362736131E-5</v>
      </c>
      <c r="M3">
        <v>1.197009649556328E-4</v>
      </c>
      <c r="N3">
        <v>4.0507368036655136E-3</v>
      </c>
      <c r="O3">
        <v>2.9570576362890852E-5</v>
      </c>
      <c r="P3">
        <v>4.7337951251293742E-7</v>
      </c>
      <c r="Q3">
        <v>5.8026899140564598E-5</v>
      </c>
      <c r="R3">
        <v>5.0258832003950641E-7</v>
      </c>
      <c r="S3">
        <v>2.3806496078013082E-6</v>
      </c>
      <c r="T3">
        <v>7.8816179266237953E-4</v>
      </c>
      <c r="U3">
        <v>2.7652897204929082E-3</v>
      </c>
      <c r="V3">
        <v>4.4807397090091596E-3</v>
      </c>
      <c r="W3">
        <v>2.7163929726161339E-4</v>
      </c>
      <c r="X3">
        <v>0</v>
      </c>
      <c r="Y3">
        <v>2.0325988733326681</v>
      </c>
      <c r="Z3">
        <v>8.9251899803844541</v>
      </c>
    </row>
    <row r="4" spans="1:26" x14ac:dyDescent="0.25">
      <c r="A4" s="1">
        <v>2</v>
      </c>
      <c r="B4" t="s">
        <v>33</v>
      </c>
      <c r="C4" t="s">
        <v>22</v>
      </c>
      <c r="D4">
        <v>11.02610535187536</v>
      </c>
      <c r="E4">
        <v>2.0301050774708011E-2</v>
      </c>
      <c r="F4">
        <v>4.7834791417598582E-2</v>
      </c>
      <c r="G4">
        <v>3.8767799598242832E-5</v>
      </c>
      <c r="H4">
        <v>1.084908857758598E-3</v>
      </c>
      <c r="I4">
        <v>2.121268381683207E-4</v>
      </c>
      <c r="J4">
        <v>1.8605205025408499E-3</v>
      </c>
      <c r="K4">
        <v>3.4220246220772938E-3</v>
      </c>
      <c r="L4">
        <v>3.1877729046066762E-5</v>
      </c>
      <c r="M4">
        <v>1.1323086905363601E-4</v>
      </c>
      <c r="N4">
        <v>3.9196287876787769E-3</v>
      </c>
      <c r="O4">
        <v>2.773715584498885E-5</v>
      </c>
      <c r="P4">
        <v>4.7274147903020663E-7</v>
      </c>
      <c r="Q4">
        <v>5.7612362497915897E-5</v>
      </c>
      <c r="R4">
        <v>4.2753043066419812E-7</v>
      </c>
      <c r="S4">
        <v>2.3966523093787529E-6</v>
      </c>
      <c r="T4">
        <v>7.7687907682583678E-4</v>
      </c>
      <c r="U4">
        <v>2.6833556462713582E-3</v>
      </c>
      <c r="V4">
        <v>4.4642582202440891E-3</v>
      </c>
      <c r="W4">
        <v>2.649056565987173E-4</v>
      </c>
      <c r="X4">
        <v>0</v>
      </c>
      <c r="Y4">
        <v>2.013818398393048</v>
      </c>
      <c r="Z4">
        <v>8.9251899802415835</v>
      </c>
    </row>
    <row r="5" spans="1:26" x14ac:dyDescent="0.25">
      <c r="A5" s="1">
        <v>3</v>
      </c>
      <c r="B5" t="s">
        <v>33</v>
      </c>
      <c r="C5" t="s">
        <v>23</v>
      </c>
      <c r="D5">
        <v>11.01566319345531</v>
      </c>
      <c r="E5">
        <v>2.2014415625728961E-2</v>
      </c>
      <c r="F5">
        <v>4.6639103000032232E-2</v>
      </c>
      <c r="G5">
        <v>3.8746141603607432E-5</v>
      </c>
      <c r="H5">
        <v>1.059466132098388E-3</v>
      </c>
      <c r="I5">
        <v>2.0990580599569391E-4</v>
      </c>
      <c r="J5">
        <v>1.7574867761303179E-3</v>
      </c>
      <c r="K5">
        <v>3.3016498555131731E-3</v>
      </c>
      <c r="L5">
        <v>3.1477071387090938E-5</v>
      </c>
      <c r="M5">
        <v>1.0686478901046321E-4</v>
      </c>
      <c r="N5">
        <v>3.8445870281558431E-3</v>
      </c>
      <c r="O5">
        <v>2.6783855393971131E-5</v>
      </c>
      <c r="P5">
        <v>4.7596773983920541E-7</v>
      </c>
      <c r="Q5">
        <v>5.7341583410986288E-5</v>
      </c>
      <c r="R5">
        <v>3.9138305662890801E-7</v>
      </c>
      <c r="S5">
        <v>2.4875619493387789E-6</v>
      </c>
      <c r="T5">
        <v>7.6943116553232634E-4</v>
      </c>
      <c r="U5">
        <v>2.5634927818013208E-3</v>
      </c>
      <c r="V5">
        <v>4.4590301940245309E-3</v>
      </c>
      <c r="W5">
        <v>2.5991844620971641E-4</v>
      </c>
      <c r="X5">
        <v>0</v>
      </c>
      <c r="Y5">
        <v>2.0033301580671221</v>
      </c>
      <c r="Z5">
        <v>8.9251899802234114</v>
      </c>
    </row>
    <row r="6" spans="1:26" x14ac:dyDescent="0.25">
      <c r="A6" s="1">
        <v>4</v>
      </c>
      <c r="B6" t="s">
        <v>33</v>
      </c>
      <c r="C6" t="s">
        <v>24</v>
      </c>
      <c r="D6">
        <v>10.893052019682971</v>
      </c>
      <c r="E6">
        <v>1.2822327361388519E-2</v>
      </c>
      <c r="F6">
        <v>2.8574767349676441E-2</v>
      </c>
      <c r="G6">
        <v>3.5338267841167498E-5</v>
      </c>
      <c r="H6">
        <v>9.4165465652592075E-4</v>
      </c>
      <c r="I6">
        <v>1.868813796941294E-4</v>
      </c>
      <c r="J6">
        <v>1.027832706440999E-3</v>
      </c>
      <c r="K6">
        <v>2.8289961499399561E-3</v>
      </c>
      <c r="L6">
        <v>2.8819345516975301E-5</v>
      </c>
      <c r="M6">
        <v>6.3586013055210813E-5</v>
      </c>
      <c r="N6">
        <v>3.3543001938020961E-3</v>
      </c>
      <c r="O6">
        <v>2.03072800979204E-5</v>
      </c>
      <c r="P6">
        <v>4.606506127988123E-7</v>
      </c>
      <c r="Q6">
        <v>5.5789914053547218E-5</v>
      </c>
      <c r="R6">
        <v>2.6307999762603351E-7</v>
      </c>
      <c r="S6">
        <v>1.585370138917008E-6</v>
      </c>
      <c r="T6">
        <v>5.0741014621340382E-4</v>
      </c>
      <c r="U6">
        <v>1.716477522806819E-3</v>
      </c>
      <c r="V6">
        <v>4.4500864515680024E-3</v>
      </c>
      <c r="W6">
        <v>1.8322644806689621E-4</v>
      </c>
      <c r="X6">
        <v>0</v>
      </c>
      <c r="Y6">
        <v>1.9110619297884419</v>
      </c>
      <c r="Z6">
        <v>8.9251899796070955</v>
      </c>
    </row>
    <row r="7" spans="1:26" x14ac:dyDescent="0.25">
      <c r="A7" s="1">
        <v>5</v>
      </c>
      <c r="B7" t="s">
        <v>33</v>
      </c>
      <c r="C7" t="s">
        <v>25</v>
      </c>
      <c r="D7">
        <v>10.825717333113261</v>
      </c>
      <c r="E7">
        <v>1.088812799210038E-2</v>
      </c>
      <c r="F7">
        <v>2.3048946418484401E-2</v>
      </c>
      <c r="G7">
        <v>3.3854581500651293E-5</v>
      </c>
      <c r="H7">
        <v>9.0577301551992943E-4</v>
      </c>
      <c r="I7">
        <v>1.776478641214098E-4</v>
      </c>
      <c r="J7">
        <v>6.9578932461420535E-4</v>
      </c>
      <c r="K7">
        <v>2.4605638263945802E-3</v>
      </c>
      <c r="L7">
        <v>2.7660970641729911E-5</v>
      </c>
      <c r="M7">
        <v>4.6312823205164937E-5</v>
      </c>
      <c r="N7">
        <v>3.0207803598020369E-3</v>
      </c>
      <c r="O7">
        <v>1.549544270502011E-5</v>
      </c>
      <c r="P7">
        <v>4.5694468638723061E-7</v>
      </c>
      <c r="Q7">
        <v>5.4818520802527029E-5</v>
      </c>
      <c r="R7">
        <v>1.747254058409849E-7</v>
      </c>
      <c r="S7">
        <v>1.4096643993787711E-6</v>
      </c>
      <c r="T7">
        <v>4.4245432707751601E-4</v>
      </c>
      <c r="U7">
        <v>1.456010878132102E-3</v>
      </c>
      <c r="V7">
        <v>4.4215841188658487E-3</v>
      </c>
      <c r="W7">
        <v>1.5820814978707181E-4</v>
      </c>
      <c r="X7">
        <v>0</v>
      </c>
      <c r="Y7">
        <v>1.8526712840516051</v>
      </c>
      <c r="Z7">
        <v>8.9251899791134086</v>
      </c>
    </row>
    <row r="8" spans="1:26" x14ac:dyDescent="0.25">
      <c r="A8" s="1">
        <v>6</v>
      </c>
      <c r="B8" t="s">
        <v>33</v>
      </c>
      <c r="C8" t="s">
        <v>26</v>
      </c>
      <c r="D8">
        <v>10.79532945823042</v>
      </c>
      <c r="E8">
        <v>1.0581814051544869E-2</v>
      </c>
      <c r="F8">
        <v>2.0917071216895199E-2</v>
      </c>
      <c r="G8">
        <v>3.337934035364725E-5</v>
      </c>
      <c r="H8">
        <v>8.8919960485125645E-4</v>
      </c>
      <c r="I8">
        <v>1.737624900552022E-4</v>
      </c>
      <c r="J8">
        <v>5.9638077865160791E-4</v>
      </c>
      <c r="K8">
        <v>2.3341288416082822E-3</v>
      </c>
      <c r="L8">
        <v>2.7104053422346401E-5</v>
      </c>
      <c r="M8">
        <v>4.1112665349905937E-5</v>
      </c>
      <c r="N8">
        <v>2.912538779137927E-3</v>
      </c>
      <c r="O8">
        <v>1.343481035649853E-5</v>
      </c>
      <c r="P8">
        <v>4.5568316212444761E-7</v>
      </c>
      <c r="Q8">
        <v>5.439842899292986E-5</v>
      </c>
      <c r="R8">
        <v>1.3732309904010511E-7</v>
      </c>
      <c r="S8">
        <v>1.3551544117710459E-6</v>
      </c>
      <c r="T8">
        <v>4.1692282821502989E-4</v>
      </c>
      <c r="U8">
        <v>1.339598441209462E-3</v>
      </c>
      <c r="V8">
        <v>4.4103584477798692E-3</v>
      </c>
      <c r="W8">
        <v>1.4720810740762659E-4</v>
      </c>
      <c r="X8">
        <v>0</v>
      </c>
      <c r="Y8">
        <v>1.825249118300722</v>
      </c>
      <c r="Z8">
        <v>8.9251899788831945</v>
      </c>
    </row>
    <row r="9" spans="1:26" x14ac:dyDescent="0.25">
      <c r="A9" s="1">
        <v>7</v>
      </c>
      <c r="B9" t="s">
        <v>33</v>
      </c>
      <c r="C9" t="s">
        <v>27</v>
      </c>
      <c r="D9">
        <v>10.9965874932952</v>
      </c>
      <c r="E9">
        <v>1.8110688515560001E-2</v>
      </c>
      <c r="F9">
        <v>4.4332607081899483E-2</v>
      </c>
      <c r="G9">
        <v>3.8069217529455031E-5</v>
      </c>
      <c r="H9">
        <v>1.0744851158769209E-3</v>
      </c>
      <c r="I9">
        <v>2.0856933336140849E-4</v>
      </c>
      <c r="J9">
        <v>1.697622871425561E-3</v>
      </c>
      <c r="K9">
        <v>3.338108115357711E-3</v>
      </c>
      <c r="L9">
        <v>3.1494808109269233E-5</v>
      </c>
      <c r="M9">
        <v>1.036498255976517E-4</v>
      </c>
      <c r="N9">
        <v>3.8083973608331449E-3</v>
      </c>
      <c r="O9">
        <v>2.7165509980847691E-5</v>
      </c>
      <c r="P9">
        <v>4.702068263715078E-7</v>
      </c>
      <c r="Q9">
        <v>5.7481832825853678E-5</v>
      </c>
      <c r="R9">
        <v>4.8477227320119648E-7</v>
      </c>
      <c r="S9">
        <v>2.2056213562909851E-6</v>
      </c>
      <c r="T9">
        <v>7.2390918553450043E-4</v>
      </c>
      <c r="U9">
        <v>2.5264132890781212E-3</v>
      </c>
      <c r="V9">
        <v>4.4704821362772122E-3</v>
      </c>
      <c r="W9">
        <v>2.5195233788745581E-4</v>
      </c>
      <c r="X9">
        <v>0</v>
      </c>
      <c r="Y9">
        <v>1.990593256105569</v>
      </c>
      <c r="Z9">
        <v>8.9251899800520409</v>
      </c>
    </row>
    <row r="10" spans="1:26" x14ac:dyDescent="0.25">
      <c r="A10" s="1">
        <v>8</v>
      </c>
      <c r="B10" t="s">
        <v>33</v>
      </c>
      <c r="C10" t="s">
        <v>28</v>
      </c>
      <c r="D10">
        <v>10.90827838482768</v>
      </c>
      <c r="E10">
        <v>1.410898328530928E-2</v>
      </c>
      <c r="F10">
        <v>3.423095481113831E-2</v>
      </c>
      <c r="G10">
        <v>3.5975591593702608E-5</v>
      </c>
      <c r="H10">
        <v>1.019814762690261E-3</v>
      </c>
      <c r="I10">
        <v>1.945659832336182E-4</v>
      </c>
      <c r="J10">
        <v>1.0862768494666281E-3</v>
      </c>
      <c r="K10">
        <v>2.8736080410952419E-3</v>
      </c>
      <c r="L10">
        <v>2.9920151701392579E-5</v>
      </c>
      <c r="M10">
        <v>7.1485311422341837E-5</v>
      </c>
      <c r="N10">
        <v>3.4079501937125741E-3</v>
      </c>
      <c r="O10">
        <v>2.1862579527178191E-5</v>
      </c>
      <c r="P10">
        <v>4.6330677931835871E-7</v>
      </c>
      <c r="Q10">
        <v>5.626430326440552E-5</v>
      </c>
      <c r="R10">
        <v>2.9618911399729179E-7</v>
      </c>
      <c r="S10">
        <v>1.864267812418455E-6</v>
      </c>
      <c r="T10">
        <v>6.057848336006019E-4</v>
      </c>
      <c r="U10">
        <v>2.0882654616849691E-3</v>
      </c>
      <c r="V10">
        <v>4.4435029580982E-3</v>
      </c>
      <c r="W10">
        <v>2.126036878080709E-4</v>
      </c>
      <c r="X10">
        <v>0</v>
      </c>
      <c r="Y10">
        <v>1.918597962742308</v>
      </c>
      <c r="Z10">
        <v>8.9251899795163183</v>
      </c>
    </row>
    <row r="11" spans="1:26" x14ac:dyDescent="0.25">
      <c r="A11" s="1">
        <v>9</v>
      </c>
      <c r="B11" t="s">
        <v>33</v>
      </c>
      <c r="C11" t="s">
        <v>29</v>
      </c>
      <c r="D11">
        <v>10.8619952521514</v>
      </c>
      <c r="E11">
        <v>1.268189202413572E-2</v>
      </c>
      <c r="F11">
        <v>2.4586228883675749E-2</v>
      </c>
      <c r="G11">
        <v>3.4516318105589199E-5</v>
      </c>
      <c r="H11">
        <v>9.0206009614375528E-4</v>
      </c>
      <c r="I11">
        <v>1.8068620746124881E-4</v>
      </c>
      <c r="J11">
        <v>7.350539239766871E-4</v>
      </c>
      <c r="K11">
        <v>2.5959835126927919E-3</v>
      </c>
      <c r="L11">
        <v>2.79745967271702E-5</v>
      </c>
      <c r="M11">
        <v>4.7731491349906943E-5</v>
      </c>
      <c r="N11">
        <v>3.1582340780101342E-3</v>
      </c>
      <c r="O11">
        <v>1.740378168929433E-5</v>
      </c>
      <c r="P11">
        <v>4.618835132529721E-7</v>
      </c>
      <c r="Q11">
        <v>5.511580607320561E-5</v>
      </c>
      <c r="R11">
        <v>2.3763069911862571E-7</v>
      </c>
      <c r="S11">
        <v>1.545769971481763E-6</v>
      </c>
      <c r="T11">
        <v>4.7065281948488133E-4</v>
      </c>
      <c r="U11">
        <v>1.5090763531629169E-3</v>
      </c>
      <c r="V11">
        <v>4.4311924932185299E-3</v>
      </c>
      <c r="W11">
        <v>1.6633070481319239E-4</v>
      </c>
      <c r="X11">
        <v>0</v>
      </c>
      <c r="Y11">
        <v>1.8852028943088801</v>
      </c>
      <c r="Z11">
        <v>8.9251899794676142</v>
      </c>
    </row>
    <row r="14" spans="1:26" x14ac:dyDescent="0.25">
      <c r="E14">
        <f>E2/$D2*100</f>
        <v>0.2018420958339551</v>
      </c>
      <c r="F14">
        <f t="shared" ref="F14:Z23" si="0">F2/$D2*100</f>
        <v>0.47810222344462727</v>
      </c>
      <c r="G14">
        <f t="shared" si="0"/>
        <v>3.5985375449851454E-4</v>
      </c>
      <c r="H14">
        <f t="shared" si="0"/>
        <v>1.0063809932303033E-2</v>
      </c>
      <c r="I14">
        <f t="shared" si="0"/>
        <v>1.9897084698653816E-3</v>
      </c>
      <c r="J14">
        <f t="shared" si="0"/>
        <v>1.8799458849108559E-2</v>
      </c>
      <c r="K14">
        <f t="shared" si="0"/>
        <v>3.4976860873725507E-2</v>
      </c>
      <c r="L14">
        <f t="shared" si="0"/>
        <v>2.9615186045166844E-4</v>
      </c>
      <c r="M14">
        <f t="shared" si="0"/>
        <v>1.1513736505946372E-3</v>
      </c>
      <c r="N14">
        <f t="shared" si="0"/>
        <v>3.7525822766208257E-2</v>
      </c>
      <c r="O14">
        <f t="shared" si="0"/>
        <v>2.8397537701007892E-4</v>
      </c>
      <c r="P14">
        <f t="shared" si="0"/>
        <v>4.3107630577248921E-6</v>
      </c>
      <c r="Q14">
        <f t="shared" si="0"/>
        <v>5.2729497547746235E-4</v>
      </c>
      <c r="R14">
        <f t="shared" si="0"/>
        <v>4.7474190664686345E-6</v>
      </c>
      <c r="S14">
        <f t="shared" si="0"/>
        <v>2.3488107302318601E-5</v>
      </c>
      <c r="T14">
        <f t="shared" si="0"/>
        <v>7.5821442954478206E-3</v>
      </c>
      <c r="U14">
        <f t="shared" si="0"/>
        <v>2.6307428308443324E-2</v>
      </c>
      <c r="V14">
        <f t="shared" si="0"/>
        <v>4.0526241224441741E-2</v>
      </c>
      <c r="W14">
        <f t="shared" si="0"/>
        <v>2.5942247611428883E-3</v>
      </c>
      <c r="X14">
        <f t="shared" si="0"/>
        <v>0</v>
      </c>
      <c r="Y14">
        <f t="shared" si="0"/>
        <v>18.583174371001025</v>
      </c>
      <c r="Z14">
        <f t="shared" si="0"/>
        <v>80.553864414332281</v>
      </c>
    </row>
    <row r="15" spans="1:26" x14ac:dyDescent="0.25">
      <c r="D15">
        <f>($D$2-D3)/$D$2*100</f>
        <v>0.29711373958273335</v>
      </c>
      <c r="E15">
        <f t="shared" ref="E15:K23" si="1">E3/$D3*100</f>
        <v>0.18156615909573809</v>
      </c>
      <c r="F15">
        <f t="shared" si="1"/>
        <v>0.44740477732024619</v>
      </c>
      <c r="G15">
        <f t="shared" si="1"/>
        <v>3.5410551192741399E-4</v>
      </c>
      <c r="H15">
        <f t="shared" si="1"/>
        <v>9.9582535101689091E-3</v>
      </c>
      <c r="I15">
        <f t="shared" si="1"/>
        <v>1.9489328489452049E-3</v>
      </c>
      <c r="J15">
        <f t="shared" si="1"/>
        <v>1.7833508880243456E-2</v>
      </c>
      <c r="K15">
        <f t="shared" si="1"/>
        <v>3.3175307678124641E-2</v>
      </c>
      <c r="L15">
        <f t="shared" si="0"/>
        <v>2.9212736090152225E-4</v>
      </c>
      <c r="M15">
        <f t="shared" si="0"/>
        <v>1.0835746373343232E-3</v>
      </c>
      <c r="N15">
        <f t="shared" si="0"/>
        <v>3.6668674012741174E-2</v>
      </c>
      <c r="O15">
        <f t="shared" si="0"/>
        <v>2.6768310990694786E-4</v>
      </c>
      <c r="P15">
        <f t="shared" si="0"/>
        <v>4.2851954767685208E-6</v>
      </c>
      <c r="Q15">
        <f t="shared" si="0"/>
        <v>5.2527961002802129E-4</v>
      </c>
      <c r="R15">
        <f t="shared" si="0"/>
        <v>4.5496037297370837E-6</v>
      </c>
      <c r="S15">
        <f t="shared" si="0"/>
        <v>2.1550465665414939E-5</v>
      </c>
      <c r="T15">
        <f t="shared" si="0"/>
        <v>7.1347138175657599E-3</v>
      </c>
      <c r="U15">
        <f t="shared" si="0"/>
        <v>2.5032361327396575E-2</v>
      </c>
      <c r="V15">
        <f t="shared" si="0"/>
        <v>4.0561209401934965E-2</v>
      </c>
      <c r="W15">
        <f t="shared" si="0"/>
        <v>2.4589731012202025E-3</v>
      </c>
      <c r="X15">
        <f t="shared" si="0"/>
        <v>0</v>
      </c>
      <c r="Y15">
        <f t="shared" si="0"/>
        <v>18.399789741327041</v>
      </c>
      <c r="Z15">
        <f t="shared" si="0"/>
        <v>80.793914232183681</v>
      </c>
    </row>
    <row r="16" spans="1:26" x14ac:dyDescent="0.25">
      <c r="D16">
        <f>($D$2-D4)/$D$2*100</f>
        <v>0.48442694640235984</v>
      </c>
      <c r="E16">
        <f t="shared" si="1"/>
        <v>0.18411805553132263</v>
      </c>
      <c r="F16">
        <f t="shared" si="1"/>
        <v>0.43383216367928745</v>
      </c>
      <c r="G16">
        <f t="shared" si="1"/>
        <v>3.5160011954401529E-4</v>
      </c>
      <c r="H16">
        <f t="shared" si="1"/>
        <v>9.8394566633999443E-3</v>
      </c>
      <c r="I16">
        <f t="shared" si="1"/>
        <v>1.9238600702490239E-3</v>
      </c>
      <c r="J16">
        <f t="shared" si="1"/>
        <v>1.6873777668235373E-2</v>
      </c>
      <c r="K16">
        <f t="shared" si="1"/>
        <v>3.1035660488181925E-2</v>
      </c>
      <c r="L16">
        <f t="shared" si="0"/>
        <v>2.8911141358398942E-4</v>
      </c>
      <c r="M16">
        <f t="shared" si="0"/>
        <v>1.0269344019497989E-3</v>
      </c>
      <c r="N16">
        <f t="shared" si="0"/>
        <v>3.5548624492437959E-2</v>
      </c>
      <c r="O16">
        <f t="shared" si="0"/>
        <v>2.5155895903235871E-4</v>
      </c>
      <c r="P16">
        <f t="shared" si="0"/>
        <v>4.2874747151749376E-6</v>
      </c>
      <c r="Q16">
        <f t="shared" si="0"/>
        <v>5.225087250605398E-4</v>
      </c>
      <c r="R16">
        <f t="shared" si="0"/>
        <v>3.8774382886835212E-6</v>
      </c>
      <c r="S16">
        <f t="shared" si="0"/>
        <v>2.1736163703270998E-5</v>
      </c>
      <c r="T16">
        <f t="shared" si="0"/>
        <v>7.04581583463378E-3</v>
      </c>
      <c r="U16">
        <f t="shared" si="0"/>
        <v>2.4336386789692369E-2</v>
      </c>
      <c r="V16">
        <f t="shared" si="0"/>
        <v>4.0488078771030347E-2</v>
      </c>
      <c r="W16">
        <f t="shared" si="0"/>
        <v>2.402531520829893E-3</v>
      </c>
      <c r="X16">
        <f t="shared" si="0"/>
        <v>0</v>
      </c>
      <c r="Y16">
        <f t="shared" si="0"/>
        <v>18.264095382060997</v>
      </c>
      <c r="Z16">
        <f t="shared" si="0"/>
        <v>80.945988591733837</v>
      </c>
    </row>
    <row r="17" spans="4:26" x14ac:dyDescent="0.25">
      <c r="D17">
        <f>($D$2-D5)/$D$2*100</f>
        <v>0.57867213506373627</v>
      </c>
      <c r="E17">
        <f t="shared" si="1"/>
        <v>0.19984648440239433</v>
      </c>
      <c r="F17">
        <f t="shared" si="1"/>
        <v>0.42338897060452729</v>
      </c>
      <c r="G17">
        <f t="shared" si="1"/>
        <v>3.5173680352379981E-4</v>
      </c>
      <c r="H17">
        <f t="shared" si="1"/>
        <v>9.617815228118486E-3</v>
      </c>
      <c r="I17">
        <f t="shared" si="1"/>
        <v>1.9055212773789632E-3</v>
      </c>
      <c r="J17">
        <f t="shared" si="1"/>
        <v>1.5954434565269626E-2</v>
      </c>
      <c r="K17">
        <f t="shared" si="1"/>
        <v>2.9972320300013969E-2</v>
      </c>
      <c r="L17">
        <f t="shared" si="0"/>
        <v>2.8574830978667066E-4</v>
      </c>
      <c r="M17">
        <f t="shared" si="0"/>
        <v>9.7011670685387625E-4</v>
      </c>
      <c r="N17">
        <f t="shared" si="0"/>
        <v>3.4901094565418553E-2</v>
      </c>
      <c r="O17">
        <f t="shared" si="0"/>
        <v>2.4314337615082593E-4</v>
      </c>
      <c r="P17">
        <f t="shared" si="0"/>
        <v>4.3208269123731938E-6</v>
      </c>
      <c r="Q17">
        <f t="shared" si="0"/>
        <v>5.2054590272017755E-4</v>
      </c>
      <c r="R17">
        <f t="shared" si="0"/>
        <v>3.5529686207312399E-6</v>
      </c>
      <c r="S17">
        <f t="shared" si="0"/>
        <v>2.2582044364035237E-5</v>
      </c>
      <c r="T17">
        <f t="shared" si="0"/>
        <v>6.9848828165830741E-3</v>
      </c>
      <c r="U17">
        <f t="shared" si="0"/>
        <v>2.3271343148221508E-2</v>
      </c>
      <c r="V17">
        <f t="shared" si="0"/>
        <v>4.0478999000929473E-2</v>
      </c>
      <c r="W17">
        <f t="shared" si="0"/>
        <v>2.3595351604807657E-3</v>
      </c>
      <c r="X17">
        <f t="shared" si="0"/>
        <v>0</v>
      </c>
      <c r="Y17">
        <f t="shared" si="0"/>
        <v>18.18619653565073</v>
      </c>
      <c r="Z17">
        <f t="shared" si="0"/>
        <v>81.02272031634098</v>
      </c>
    </row>
    <row r="18" spans="4:26" x14ac:dyDescent="0.25">
      <c r="D18">
        <f>($D$2-D6)/$D$2*100</f>
        <v>1.6852932702094574</v>
      </c>
      <c r="E18">
        <f t="shared" si="1"/>
        <v>0.1177110633293542</v>
      </c>
      <c r="F18">
        <f t="shared" si="1"/>
        <v>0.26232104003583079</v>
      </c>
      <c r="G18">
        <f t="shared" si="1"/>
        <v>3.2441108127743957E-4</v>
      </c>
      <c r="H18">
        <f t="shared" si="1"/>
        <v>8.6445438323843292E-3</v>
      </c>
      <c r="I18">
        <f t="shared" si="1"/>
        <v>1.7156016454933662E-3</v>
      </c>
      <c r="J18">
        <f t="shared" si="1"/>
        <v>9.4356724321501308E-3</v>
      </c>
      <c r="K18">
        <f t="shared" si="1"/>
        <v>2.5970647572674407E-2</v>
      </c>
      <c r="L18">
        <f t="shared" si="0"/>
        <v>2.6456630763261566E-4</v>
      </c>
      <c r="M18">
        <f t="shared" si="0"/>
        <v>5.8373000459664931E-4</v>
      </c>
      <c r="N18">
        <f t="shared" si="0"/>
        <v>3.0793024652238089E-2</v>
      </c>
      <c r="O18">
        <f t="shared" si="0"/>
        <v>1.8642415423360311E-4</v>
      </c>
      <c r="P18">
        <f t="shared" si="0"/>
        <v>4.2288480029880456E-6</v>
      </c>
      <c r="Q18">
        <f t="shared" si="0"/>
        <v>5.1216054006479367E-4</v>
      </c>
      <c r="R18">
        <f t="shared" si="0"/>
        <v>2.415117426692415E-6</v>
      </c>
      <c r="S18">
        <f t="shared" si="0"/>
        <v>1.4553957293624934E-5</v>
      </c>
      <c r="T18">
        <f t="shared" si="0"/>
        <v>4.6581081711218287E-3</v>
      </c>
      <c r="U18">
        <f t="shared" si="0"/>
        <v>1.5757544531186173E-2</v>
      </c>
      <c r="V18">
        <f t="shared" si="0"/>
        <v>4.0852521804972682E-2</v>
      </c>
      <c r="W18">
        <f t="shared" si="0"/>
        <v>1.6820487750891029E-3</v>
      </c>
      <c r="X18">
        <f t="shared" si="0"/>
        <v>0</v>
      </c>
      <c r="Y18">
        <f t="shared" si="0"/>
        <v>17.543861227645742</v>
      </c>
      <c r="Z18">
        <f t="shared" si="0"/>
        <v>81.934704465561268</v>
      </c>
    </row>
    <row r="19" spans="4:26" x14ac:dyDescent="0.25">
      <c r="D19">
        <f>($D$2-D7)/$D$2*100</f>
        <v>2.2930191812655667</v>
      </c>
      <c r="E19">
        <f t="shared" si="1"/>
        <v>0.10057650368161951</v>
      </c>
      <c r="F19">
        <f t="shared" si="1"/>
        <v>0.21290918383748322</v>
      </c>
      <c r="G19">
        <f t="shared" si="1"/>
        <v>3.1272367880046418E-4</v>
      </c>
      <c r="H19">
        <f t="shared" si="1"/>
        <v>8.3668637158055854E-3</v>
      </c>
      <c r="I19">
        <f t="shared" si="1"/>
        <v>1.6409800723138021E-3</v>
      </c>
      <c r="J19">
        <f t="shared" si="1"/>
        <v>6.4271891016953993E-3</v>
      </c>
      <c r="K19">
        <f t="shared" si="1"/>
        <v>2.2728875608716555E-2</v>
      </c>
      <c r="L19">
        <f t="shared" si="0"/>
        <v>2.5551166532975758E-4</v>
      </c>
      <c r="M19">
        <f t="shared" si="0"/>
        <v>4.2780373604902071E-4</v>
      </c>
      <c r="N19">
        <f t="shared" si="0"/>
        <v>2.7903743159468961E-2</v>
      </c>
      <c r="O19">
        <f t="shared" si="0"/>
        <v>1.4313548218761711E-4</v>
      </c>
      <c r="P19">
        <f t="shared" si="0"/>
        <v>4.2209183218699693E-6</v>
      </c>
      <c r="Q19">
        <f t="shared" si="0"/>
        <v>5.0637310319243589E-4</v>
      </c>
      <c r="R19">
        <f t="shared" si="0"/>
        <v>1.6139845560768708E-6</v>
      </c>
      <c r="S19">
        <f t="shared" si="0"/>
        <v>1.3021441037139841E-5</v>
      </c>
      <c r="T19">
        <f t="shared" si="0"/>
        <v>4.0870670595116575E-3</v>
      </c>
      <c r="U19">
        <f t="shared" si="0"/>
        <v>1.3449555658344371E-2</v>
      </c>
      <c r="V19">
        <f t="shared" si="0"/>
        <v>4.0843336130172991E-2</v>
      </c>
      <c r="W19">
        <f t="shared" si="0"/>
        <v>1.4614103150758537E-3</v>
      </c>
      <c r="X19">
        <f t="shared" si="0"/>
        <v>0</v>
      </c>
      <c r="Y19">
        <f t="shared" si="0"/>
        <v>17.113612216575525</v>
      </c>
      <c r="Z19">
        <f t="shared" si="0"/>
        <v>82.444328671074786</v>
      </c>
    </row>
    <row r="20" spans="4:26" x14ac:dyDescent="0.25">
      <c r="D20">
        <f>($D$2-D8)/$D$2*100</f>
        <v>2.567283455580033</v>
      </c>
      <c r="E20">
        <f t="shared" si="1"/>
        <v>9.8022150157513116E-2</v>
      </c>
      <c r="F20">
        <f t="shared" si="1"/>
        <v>0.19376037848430747</v>
      </c>
      <c r="G20">
        <f t="shared" si="1"/>
        <v>3.0920168284626694E-4</v>
      </c>
      <c r="H20">
        <f t="shared" si="1"/>
        <v>8.2368917807628898E-3</v>
      </c>
      <c r="I20">
        <f t="shared" si="1"/>
        <v>1.6096080321358298E-3</v>
      </c>
      <c r="J20">
        <f t="shared" si="1"/>
        <v>5.5244333297945238E-3</v>
      </c>
      <c r="K20">
        <f t="shared" si="1"/>
        <v>2.1621654537173289E-2</v>
      </c>
      <c r="L20">
        <f t="shared" si="0"/>
        <v>2.5107203561705214E-4</v>
      </c>
      <c r="M20">
        <f t="shared" si="0"/>
        <v>3.8083752338435037E-4</v>
      </c>
      <c r="N20">
        <f t="shared" si="0"/>
        <v>2.697961919927688E-2</v>
      </c>
      <c r="O20">
        <f t="shared" si="0"/>
        <v>1.244502116260635E-4</v>
      </c>
      <c r="P20">
        <f t="shared" si="0"/>
        <v>4.2211139908938326E-6</v>
      </c>
      <c r="Q20">
        <f t="shared" si="0"/>
        <v>5.0390707577207096E-4</v>
      </c>
      <c r="R20">
        <f t="shared" si="0"/>
        <v>1.2720602884000842E-6</v>
      </c>
      <c r="S20">
        <f t="shared" si="0"/>
        <v>1.255315474172832E-5</v>
      </c>
      <c r="T20">
        <f t="shared" si="0"/>
        <v>3.8620667375479276E-3</v>
      </c>
      <c r="U20">
        <f t="shared" si="0"/>
        <v>1.2409055660530532E-2</v>
      </c>
      <c r="V20">
        <f t="shared" si="0"/>
        <v>4.0854320054284098E-2</v>
      </c>
      <c r="W20">
        <f t="shared" si="0"/>
        <v>1.3636277426938026E-3</v>
      </c>
      <c r="X20">
        <f t="shared" si="0"/>
        <v>0</v>
      </c>
      <c r="Y20">
        <f t="shared" si="0"/>
        <v>16.907766690799249</v>
      </c>
      <c r="Z20">
        <f t="shared" si="0"/>
        <v>82.67640198862648</v>
      </c>
    </row>
    <row r="21" spans="4:26" x14ac:dyDescent="0.25">
      <c r="D21">
        <f>($D$2-D9)/$D$2*100</f>
        <v>0.7508389312488557</v>
      </c>
      <c r="E21">
        <f t="shared" si="1"/>
        <v>0.16469371545129238</v>
      </c>
      <c r="F21">
        <f t="shared" si="1"/>
        <v>0.40314876873329841</v>
      </c>
      <c r="G21">
        <f t="shared" si="1"/>
        <v>3.4619119388325204E-4</v>
      </c>
      <c r="H21">
        <f t="shared" si="1"/>
        <v>9.771077768735547E-3</v>
      </c>
      <c r="I21">
        <f t="shared" si="1"/>
        <v>1.8966732496656499E-3</v>
      </c>
      <c r="J21">
        <f t="shared" si="1"/>
        <v>1.5437724407327543E-2</v>
      </c>
      <c r="K21">
        <f t="shared" si="1"/>
        <v>3.0355854644843323E-2</v>
      </c>
      <c r="L21">
        <f t="shared" si="0"/>
        <v>2.8640528826303735E-4</v>
      </c>
      <c r="M21">
        <f t="shared" si="0"/>
        <v>9.4256355129124095E-4</v>
      </c>
      <c r="N21">
        <f t="shared" si="0"/>
        <v>3.4632538168365298E-2</v>
      </c>
      <c r="O21">
        <f t="shared" si="0"/>
        <v>2.4703581904305261E-4</v>
      </c>
      <c r="P21">
        <f t="shared" si="0"/>
        <v>4.2759340264259309E-6</v>
      </c>
      <c r="Q21">
        <f t="shared" si="0"/>
        <v>5.2272428024513332E-4</v>
      </c>
      <c r="R21">
        <f t="shared" si="0"/>
        <v>4.4083882704227118E-6</v>
      </c>
      <c r="S21">
        <f t="shared" si="0"/>
        <v>2.005732558064753E-5</v>
      </c>
      <c r="T21">
        <f t="shared" si="0"/>
        <v>6.5830348367243901E-3</v>
      </c>
      <c r="U21">
        <f t="shared" si="0"/>
        <v>2.2974520874030391E-2</v>
      </c>
      <c r="V21">
        <f t="shared" si="0"/>
        <v>4.0653358498742798E-2</v>
      </c>
      <c r="W21">
        <f t="shared" si="0"/>
        <v>2.291186588940208E-3</v>
      </c>
      <c r="X21">
        <f t="shared" si="0"/>
        <v>0</v>
      </c>
      <c r="Y21">
        <f t="shared" si="0"/>
        <v>18.101918047933204</v>
      </c>
      <c r="Z21">
        <f t="shared" si="0"/>
        <v>81.163269837064234</v>
      </c>
    </row>
    <row r="22" spans="4:26" x14ac:dyDescent="0.25">
      <c r="D22">
        <f>($D$2-D10)/$D$2*100</f>
        <v>1.5478684584066795</v>
      </c>
      <c r="E22">
        <f t="shared" si="1"/>
        <v>0.12934198035258671</v>
      </c>
      <c r="F22">
        <f t="shared" si="1"/>
        <v>0.31380712522656307</v>
      </c>
      <c r="G22">
        <f t="shared" si="1"/>
        <v>3.2980082029938879E-4</v>
      </c>
      <c r="H22">
        <f t="shared" si="1"/>
        <v>9.3489983177246459E-3</v>
      </c>
      <c r="I22">
        <f t="shared" si="1"/>
        <v>1.783654362032417E-3</v>
      </c>
      <c r="J22">
        <f t="shared" si="1"/>
        <v>9.9582794932840182E-3</v>
      </c>
      <c r="K22">
        <f t="shared" si="1"/>
        <v>2.6343369134144416E-2</v>
      </c>
      <c r="L22">
        <f t="shared" si="0"/>
        <v>2.7428848665073037E-4</v>
      </c>
      <c r="M22">
        <f t="shared" si="0"/>
        <v>6.5533083132321532E-4</v>
      </c>
      <c r="N22">
        <f t="shared" si="0"/>
        <v>3.1241870380322258E-2</v>
      </c>
      <c r="O22">
        <f t="shared" si="0"/>
        <v>2.0042190670149052E-4</v>
      </c>
      <c r="P22">
        <f t="shared" si="0"/>
        <v>4.2472951548685433E-6</v>
      </c>
      <c r="Q22">
        <f t="shared" si="0"/>
        <v>5.1579453035103607E-4</v>
      </c>
      <c r="R22">
        <f t="shared" si="0"/>
        <v>2.7152691153286034E-6</v>
      </c>
      <c r="S22">
        <f t="shared" si="0"/>
        <v>1.7090394530189697E-5</v>
      </c>
      <c r="T22">
        <f t="shared" si="0"/>
        <v>5.5534412693682969E-3</v>
      </c>
      <c r="U22">
        <f t="shared" si="0"/>
        <v>1.9143859260041772E-2</v>
      </c>
      <c r="V22">
        <f t="shared" si="0"/>
        <v>4.0735144459447113E-2</v>
      </c>
      <c r="W22">
        <f t="shared" si="0"/>
        <v>1.9490123033876847E-3</v>
      </c>
      <c r="X22">
        <f t="shared" si="0"/>
        <v>0</v>
      </c>
      <c r="Y22">
        <f t="shared" si="0"/>
        <v>17.58845800461863</v>
      </c>
      <c r="Z22">
        <f t="shared" si="0"/>
        <v>81.820335571288325</v>
      </c>
    </row>
    <row r="23" spans="4:26" x14ac:dyDescent="0.25">
      <c r="D23">
        <f>($D$2-D11)/$D$2*100</f>
        <v>1.9655946023177087</v>
      </c>
      <c r="E23">
        <f t="shared" si="1"/>
        <v>0.11675471890510961</v>
      </c>
      <c r="F23">
        <f t="shared" si="1"/>
        <v>0.22635094485799959</v>
      </c>
      <c r="G23">
        <f t="shared" si="1"/>
        <v>3.1777143429290915E-4</v>
      </c>
      <c r="H23">
        <f t="shared" si="1"/>
        <v>8.3047366087283751E-3</v>
      </c>
      <c r="I23">
        <f t="shared" si="1"/>
        <v>1.6634716114929332E-3</v>
      </c>
      <c r="J23">
        <f t="shared" si="1"/>
        <v>6.76720903400411E-3</v>
      </c>
      <c r="K23">
        <f t="shared" si="1"/>
        <v>2.3899692942497042E-2</v>
      </c>
      <c r="L23">
        <f t="shared" si="0"/>
        <v>2.5754565416173756E-4</v>
      </c>
      <c r="M23">
        <f t="shared" si="0"/>
        <v>4.3943575965431326E-4</v>
      </c>
      <c r="N23">
        <f t="shared" si="0"/>
        <v>2.9076003116320574E-2</v>
      </c>
      <c r="O23">
        <f t="shared" si="0"/>
        <v>1.6022637908856771E-4</v>
      </c>
      <c r="P23">
        <f t="shared" si="0"/>
        <v>4.2522897730183442E-6</v>
      </c>
      <c r="Q23">
        <f t="shared" si="0"/>
        <v>5.0741880100057125E-4</v>
      </c>
      <c r="R23">
        <f t="shared" si="0"/>
        <v>2.18772604482182E-6</v>
      </c>
      <c r="S23">
        <f t="shared" si="0"/>
        <v>1.423099472608955E-5</v>
      </c>
      <c r="T23">
        <f t="shared" si="0"/>
        <v>4.3330236163715927E-3</v>
      </c>
      <c r="U23">
        <f t="shared" si="0"/>
        <v>1.3893178169673929E-2</v>
      </c>
      <c r="V23">
        <f t="shared" si="0"/>
        <v>4.079538234322886E-2</v>
      </c>
      <c r="W23">
        <f t="shared" si="0"/>
        <v>1.5313089441854415E-3</v>
      </c>
      <c r="X23">
        <f t="shared" si="0"/>
        <v>0</v>
      </c>
      <c r="Y23">
        <f t="shared" si="0"/>
        <v>17.355953952709417</v>
      </c>
      <c r="Z23">
        <f t="shared" si="0"/>
        <v>82.16897330810221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3"/>
  <sheetViews>
    <sheetView workbookViewId="0">
      <selection activeCell="D14" sqref="D14:Z23"/>
    </sheetView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34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25">
      <c r="A2" s="1">
        <v>0</v>
      </c>
      <c r="B2" t="s">
        <v>34</v>
      </c>
      <c r="C2" t="s">
        <v>20</v>
      </c>
      <c r="D2">
        <v>4.8781666908215744</v>
      </c>
      <c r="E2">
        <v>0.1420764499332593</v>
      </c>
      <c r="F2">
        <v>2.236109545418415E-2</v>
      </c>
      <c r="G2">
        <v>5.2966599514988361E-2</v>
      </c>
      <c r="H2">
        <v>3.9870999951249051E-5</v>
      </c>
      <c r="I2">
        <v>1.11504787793423E-3</v>
      </c>
      <c r="J2">
        <v>2.2045529694572061E-4</v>
      </c>
      <c r="K2">
        <v>2.082938453430559E-3</v>
      </c>
      <c r="L2">
        <v>6.361631112596299E-4</v>
      </c>
      <c r="M2">
        <v>3.8753588110664308E-3</v>
      </c>
      <c r="N2">
        <v>3.2812971008419839E-5</v>
      </c>
      <c r="O2">
        <v>1.2756965348521249E-4</v>
      </c>
      <c r="P2">
        <v>4.15777815009082E-3</v>
      </c>
      <c r="Q2">
        <v>3.1463843579188017E-5</v>
      </c>
      <c r="R2">
        <v>4.7762301078091125E-7</v>
      </c>
      <c r="S2">
        <v>5.8423116832153428E-5</v>
      </c>
      <c r="T2">
        <v>5.260035306051284E-7</v>
      </c>
      <c r="U2">
        <v>2.602132163041635E-6</v>
      </c>
      <c r="V2">
        <v>8.3998856451323451E-4</v>
      </c>
      <c r="W2">
        <v>2.9144709042460012E-3</v>
      </c>
      <c r="X2">
        <v>4.4902178779148852E-3</v>
      </c>
      <c r="Y2">
        <v>2.8743436474409261E-4</v>
      </c>
      <c r="Z2">
        <v>0</v>
      </c>
      <c r="AA2">
        <v>2.0267436979516562</v>
      </c>
      <c r="AB2">
        <v>2.61310524821178</v>
      </c>
    </row>
    <row r="3" spans="1:28" x14ac:dyDescent="0.25">
      <c r="A3" s="1">
        <v>1</v>
      </c>
      <c r="B3" t="s">
        <v>34</v>
      </c>
      <c r="C3" t="s">
        <v>21</v>
      </c>
      <c r="D3">
        <v>4.8403605132013379</v>
      </c>
      <c r="E3">
        <v>0.13679932282685431</v>
      </c>
      <c r="F3">
        <v>2.0055060001823059E-2</v>
      </c>
      <c r="G3">
        <v>4.9418513333911403E-2</v>
      </c>
      <c r="H3">
        <v>3.911753746663405E-5</v>
      </c>
      <c r="I3">
        <v>1.100074248113151E-3</v>
      </c>
      <c r="J3">
        <v>2.152958685212315E-4</v>
      </c>
      <c r="K3">
        <v>1.970042623701017E-3</v>
      </c>
      <c r="L3">
        <v>6.1308051468318236E-4</v>
      </c>
      <c r="M3">
        <v>3.66482954191396E-3</v>
      </c>
      <c r="N3">
        <v>3.2270898362736131E-5</v>
      </c>
      <c r="O3">
        <v>1.197009649556328E-4</v>
      </c>
      <c r="P3">
        <v>4.0507368036655136E-3</v>
      </c>
      <c r="Q3">
        <v>2.9570576362890852E-5</v>
      </c>
      <c r="R3">
        <v>4.7337951251293742E-7</v>
      </c>
      <c r="S3">
        <v>5.8026899140564598E-5</v>
      </c>
      <c r="T3">
        <v>5.0258832003950641E-7</v>
      </c>
      <c r="U3">
        <v>2.38037685072818E-6</v>
      </c>
      <c r="V3">
        <v>7.8807149096362793E-4</v>
      </c>
      <c r="W3">
        <v>2.7649728942255071E-3</v>
      </c>
      <c r="X3">
        <v>4.4807397090091596E-3</v>
      </c>
      <c r="Y3">
        <v>2.7163929726161339E-4</v>
      </c>
      <c r="Z3">
        <v>0</v>
      </c>
      <c r="AA3">
        <v>2.0007808418644561</v>
      </c>
      <c r="AB3">
        <v>2.6131052489612632</v>
      </c>
    </row>
    <row r="4" spans="1:28" x14ac:dyDescent="0.25">
      <c r="A4" s="1">
        <v>2</v>
      </c>
      <c r="B4" t="s">
        <v>34</v>
      </c>
      <c r="C4" t="s">
        <v>22</v>
      </c>
      <c r="D4">
        <v>4.8128827703764712</v>
      </c>
      <c r="E4">
        <v>0.12978134047275811</v>
      </c>
      <c r="F4">
        <v>2.0298724831749999E-2</v>
      </c>
      <c r="G4">
        <v>4.7829310864031152E-2</v>
      </c>
      <c r="H4">
        <v>3.8767799598242832E-5</v>
      </c>
      <c r="I4">
        <v>1.084908857758598E-3</v>
      </c>
      <c r="J4">
        <v>2.121268381683207E-4</v>
      </c>
      <c r="K4">
        <v>1.8605205025408499E-3</v>
      </c>
      <c r="L4">
        <v>6.1305643389652153E-4</v>
      </c>
      <c r="M4">
        <v>3.4220246220772938E-3</v>
      </c>
      <c r="N4">
        <v>3.1877729046066762E-5</v>
      </c>
      <c r="O4">
        <v>1.1323086905363601E-4</v>
      </c>
      <c r="P4">
        <v>3.9196287876787769E-3</v>
      </c>
      <c r="Q4">
        <v>2.773715584498885E-5</v>
      </c>
      <c r="R4">
        <v>4.7274147903020663E-7</v>
      </c>
      <c r="S4">
        <v>5.7612362497915897E-5</v>
      </c>
      <c r="T4">
        <v>4.2753043066419812E-7</v>
      </c>
      <c r="U4">
        <v>2.396377718835448E-6</v>
      </c>
      <c r="V4">
        <v>7.7679006781649794E-4</v>
      </c>
      <c r="W4">
        <v>2.6830482073999921E-3</v>
      </c>
      <c r="X4">
        <v>4.4642582202440891E-3</v>
      </c>
      <c r="Y4">
        <v>2.649056565987173E-4</v>
      </c>
      <c r="Z4">
        <v>0</v>
      </c>
      <c r="AA4">
        <v>1.982294353972873</v>
      </c>
      <c r="AB4">
        <v>2.6131052494752089</v>
      </c>
    </row>
    <row r="5" spans="1:28" x14ac:dyDescent="0.25">
      <c r="A5" s="1">
        <v>3</v>
      </c>
      <c r="B5" t="s">
        <v>34</v>
      </c>
      <c r="C5" t="s">
        <v>23</v>
      </c>
      <c r="D5">
        <v>4.7911134591729629</v>
      </c>
      <c r="E5">
        <v>0.11828901061771251</v>
      </c>
      <c r="F5">
        <v>2.2011893378207449E-2</v>
      </c>
      <c r="G5">
        <v>4.6633759439524143E-2</v>
      </c>
      <c r="H5">
        <v>3.8746141603607432E-5</v>
      </c>
      <c r="I5">
        <v>1.059466132098388E-3</v>
      </c>
      <c r="J5">
        <v>2.0990580599569391E-4</v>
      </c>
      <c r="K5">
        <v>1.7574867761303179E-3</v>
      </c>
      <c r="L5">
        <v>6.1409657272051919E-4</v>
      </c>
      <c r="M5">
        <v>3.3016498555131731E-3</v>
      </c>
      <c r="N5">
        <v>3.1477071387090938E-5</v>
      </c>
      <c r="O5">
        <v>1.0686478901046321E-4</v>
      </c>
      <c r="P5">
        <v>3.8445870281558431E-3</v>
      </c>
      <c r="Q5">
        <v>2.6783855393971131E-5</v>
      </c>
      <c r="R5">
        <v>4.7596773983920541E-7</v>
      </c>
      <c r="S5">
        <v>5.7341583410986288E-5</v>
      </c>
      <c r="T5">
        <v>3.9138305662890801E-7</v>
      </c>
      <c r="U5">
        <v>2.487276943047091E-6</v>
      </c>
      <c r="V5">
        <v>7.693430098491055E-4</v>
      </c>
      <c r="W5">
        <v>2.5631990759228491E-3</v>
      </c>
      <c r="X5">
        <v>4.4590301940245309E-3</v>
      </c>
      <c r="Y5">
        <v>2.5991844620971641E-4</v>
      </c>
      <c r="Z5">
        <v>0</v>
      </c>
      <c r="AA5">
        <v>1.9719702951611231</v>
      </c>
      <c r="AB5">
        <v>2.6131052496112299</v>
      </c>
    </row>
    <row r="6" spans="1:28" x14ac:dyDescent="0.25">
      <c r="A6" s="1">
        <v>4</v>
      </c>
      <c r="B6" t="s">
        <v>34</v>
      </c>
      <c r="C6" t="s">
        <v>24</v>
      </c>
      <c r="D6">
        <v>4.5893374681625954</v>
      </c>
      <c r="E6">
        <v>3.7800754413894688E-2</v>
      </c>
      <c r="F6">
        <v>1.282085827477019E-2</v>
      </c>
      <c r="G6">
        <v>2.8571493465992678E-2</v>
      </c>
      <c r="H6">
        <v>3.5338267841167498E-5</v>
      </c>
      <c r="I6">
        <v>9.4165465652592075E-4</v>
      </c>
      <c r="J6">
        <v>1.868813796941294E-4</v>
      </c>
      <c r="K6">
        <v>1.027832706440999E-3</v>
      </c>
      <c r="L6">
        <v>4.8992921418982034E-4</v>
      </c>
      <c r="M6">
        <v>2.8289961499399561E-3</v>
      </c>
      <c r="N6">
        <v>2.8819345516975301E-5</v>
      </c>
      <c r="O6">
        <v>6.3586013055210813E-5</v>
      </c>
      <c r="P6">
        <v>3.3543001938020961E-3</v>
      </c>
      <c r="Q6">
        <v>2.03072800979204E-5</v>
      </c>
      <c r="R6">
        <v>4.606506127988123E-7</v>
      </c>
      <c r="S6">
        <v>5.5789914053547218E-5</v>
      </c>
      <c r="T6">
        <v>2.6307999762603351E-7</v>
      </c>
      <c r="U6">
        <v>1.5851884990328769E-6</v>
      </c>
      <c r="V6">
        <v>5.0735201094397877E-4</v>
      </c>
      <c r="W6">
        <v>1.7162808616166629E-3</v>
      </c>
      <c r="X6">
        <v>4.4500864515680024E-3</v>
      </c>
      <c r="Y6">
        <v>1.8322644806689621E-4</v>
      </c>
      <c r="Z6">
        <v>0</v>
      </c>
      <c r="AA6">
        <v>1.8811464214126981</v>
      </c>
      <c r="AB6">
        <v>2.6131052507827768</v>
      </c>
    </row>
    <row r="7" spans="1:28" x14ac:dyDescent="0.25">
      <c r="A7" s="1">
        <v>5</v>
      </c>
      <c r="B7" t="s">
        <v>34</v>
      </c>
      <c r="C7" t="s">
        <v>25</v>
      </c>
      <c r="D7">
        <v>4.4966330618222736</v>
      </c>
      <c r="E7">
        <v>1.154134168185628E-2</v>
      </c>
      <c r="F7">
        <v>1.08868805116172E-2</v>
      </c>
      <c r="G7">
        <v>2.3046305642141999E-2</v>
      </c>
      <c r="H7">
        <v>3.3854581500651293E-5</v>
      </c>
      <c r="I7">
        <v>9.0577301551992943E-4</v>
      </c>
      <c r="J7">
        <v>1.776478641214098E-4</v>
      </c>
      <c r="K7">
        <v>6.9578932461420535E-4</v>
      </c>
      <c r="L7">
        <v>4.6468881400584682E-4</v>
      </c>
      <c r="M7">
        <v>2.4605638263945802E-3</v>
      </c>
      <c r="N7">
        <v>2.7660970641729911E-5</v>
      </c>
      <c r="O7">
        <v>4.6312823205164937E-5</v>
      </c>
      <c r="P7">
        <v>3.0207803598020369E-3</v>
      </c>
      <c r="Q7">
        <v>1.549544270502011E-5</v>
      </c>
      <c r="R7">
        <v>4.5694468638723061E-7</v>
      </c>
      <c r="S7">
        <v>5.4818520802527029E-5</v>
      </c>
      <c r="T7">
        <v>1.747254058409849E-7</v>
      </c>
      <c r="U7">
        <v>1.4095028905475639E-6</v>
      </c>
      <c r="V7">
        <v>4.4240363396129341E-4</v>
      </c>
      <c r="W7">
        <v>1.455844059265567E-3</v>
      </c>
      <c r="X7">
        <v>4.4215841188658487E-3</v>
      </c>
      <c r="Y7">
        <v>1.5820814978707181E-4</v>
      </c>
      <c r="Z7">
        <v>0</v>
      </c>
      <c r="AA7">
        <v>1.823669815050712</v>
      </c>
      <c r="AB7">
        <v>2.6131052522577698</v>
      </c>
    </row>
    <row r="8" spans="1:28" x14ac:dyDescent="0.25">
      <c r="A8" s="1">
        <v>6</v>
      </c>
      <c r="B8" t="s">
        <v>34</v>
      </c>
      <c r="C8" t="s">
        <v>26</v>
      </c>
      <c r="D8">
        <v>4.4595840685774739</v>
      </c>
      <c r="E8">
        <v>4.4607763127944618E-3</v>
      </c>
      <c r="F8">
        <v>1.0580601666228011E-2</v>
      </c>
      <c r="G8">
        <v>2.091467469491021E-2</v>
      </c>
      <c r="H8">
        <v>3.337934035364725E-5</v>
      </c>
      <c r="I8">
        <v>8.8919960485125645E-4</v>
      </c>
      <c r="J8">
        <v>1.737624900552022E-4</v>
      </c>
      <c r="K8">
        <v>5.9638077865160791E-4</v>
      </c>
      <c r="L8">
        <v>4.5457622966673641E-4</v>
      </c>
      <c r="M8">
        <v>2.3341288416082822E-3</v>
      </c>
      <c r="N8">
        <v>2.7104053422346401E-5</v>
      </c>
      <c r="O8">
        <v>4.1112665349905937E-5</v>
      </c>
      <c r="P8">
        <v>2.912538779137927E-3</v>
      </c>
      <c r="Q8">
        <v>1.343481035649853E-5</v>
      </c>
      <c r="R8">
        <v>4.5568316212444761E-7</v>
      </c>
      <c r="S8">
        <v>5.439842899292986E-5</v>
      </c>
      <c r="T8">
        <v>1.3732309904010511E-7</v>
      </c>
      <c r="U8">
        <v>1.354999148287588E-6</v>
      </c>
      <c r="V8">
        <v>4.168750603074418E-4</v>
      </c>
      <c r="W8">
        <v>1.3394449600147671E-3</v>
      </c>
      <c r="X8">
        <v>4.4103584477798692E-3</v>
      </c>
      <c r="Y8">
        <v>1.4720810740762659E-4</v>
      </c>
      <c r="Z8">
        <v>0</v>
      </c>
      <c r="AA8">
        <v>1.7966769122224031</v>
      </c>
      <c r="AB8">
        <v>2.6131052530777721</v>
      </c>
    </row>
    <row r="9" spans="1:28" x14ac:dyDescent="0.25">
      <c r="A9" s="1">
        <v>7</v>
      </c>
      <c r="B9" t="s">
        <v>34</v>
      </c>
      <c r="C9" t="s">
        <v>27</v>
      </c>
      <c r="D9">
        <v>4.7649454112354208</v>
      </c>
      <c r="E9">
        <v>0.1110232245261394</v>
      </c>
      <c r="F9">
        <v>1.8108613527970181E-2</v>
      </c>
      <c r="G9">
        <v>4.4327527782488017E-2</v>
      </c>
      <c r="H9">
        <v>3.8069217529455031E-5</v>
      </c>
      <c r="I9">
        <v>1.0744851158769209E-3</v>
      </c>
      <c r="J9">
        <v>2.0856933336140849E-4</v>
      </c>
      <c r="K9">
        <v>1.697622871425561E-3</v>
      </c>
      <c r="L9">
        <v>5.8743170827755696E-4</v>
      </c>
      <c r="M9">
        <v>3.338108115357711E-3</v>
      </c>
      <c r="N9">
        <v>3.1494808109269233E-5</v>
      </c>
      <c r="O9">
        <v>1.036498255976517E-4</v>
      </c>
      <c r="P9">
        <v>3.8083973608331449E-3</v>
      </c>
      <c r="Q9">
        <v>2.7165509980847691E-5</v>
      </c>
      <c r="R9">
        <v>4.702068263715078E-7</v>
      </c>
      <c r="S9">
        <v>5.7481832825853678E-5</v>
      </c>
      <c r="T9">
        <v>4.8477227320119648E-7</v>
      </c>
      <c r="U9">
        <v>2.2053686526492511E-6</v>
      </c>
      <c r="V9">
        <v>7.2382624542016857E-4</v>
      </c>
      <c r="W9">
        <v>2.5261238314897251E-3</v>
      </c>
      <c r="X9">
        <v>4.4704821362772122E-3</v>
      </c>
      <c r="Y9">
        <v>2.5195233788745581E-4</v>
      </c>
      <c r="Z9">
        <v>0</v>
      </c>
      <c r="AA9">
        <v>1.9594327749628611</v>
      </c>
      <c r="AB9">
        <v>2.613105249837961</v>
      </c>
    </row>
    <row r="10" spans="1:28" x14ac:dyDescent="0.25">
      <c r="A10" s="1">
        <v>8</v>
      </c>
      <c r="B10" t="s">
        <v>34</v>
      </c>
      <c r="C10" t="s">
        <v>28</v>
      </c>
      <c r="D10">
        <v>4.6141668570469081</v>
      </c>
      <c r="E10">
        <v>4.7473776782838942E-2</v>
      </c>
      <c r="F10">
        <v>1.4107366783253229E-2</v>
      </c>
      <c r="G10">
        <v>3.4227032883688703E-2</v>
      </c>
      <c r="H10">
        <v>3.5975591593702608E-5</v>
      </c>
      <c r="I10">
        <v>1.019814762690261E-3</v>
      </c>
      <c r="J10">
        <v>1.945659832336182E-4</v>
      </c>
      <c r="K10">
        <v>1.0862768494666281E-3</v>
      </c>
      <c r="L10">
        <v>5.3874778954990181E-4</v>
      </c>
      <c r="M10">
        <v>2.8736080410952419E-3</v>
      </c>
      <c r="N10">
        <v>2.9920151701392579E-5</v>
      </c>
      <c r="O10">
        <v>7.1485311422341837E-5</v>
      </c>
      <c r="P10">
        <v>3.4079501937125741E-3</v>
      </c>
      <c r="Q10">
        <v>2.1862579527178191E-5</v>
      </c>
      <c r="R10">
        <v>4.6330677931835871E-7</v>
      </c>
      <c r="S10">
        <v>5.626430326440552E-5</v>
      </c>
      <c r="T10">
        <v>2.9618911399729179E-7</v>
      </c>
      <c r="U10">
        <v>1.864054218519383E-6</v>
      </c>
      <c r="V10">
        <v>6.0571542729334019E-4</v>
      </c>
      <c r="W10">
        <v>2.0880262038062E-3</v>
      </c>
      <c r="X10">
        <v>4.4435029580982E-3</v>
      </c>
      <c r="Y10">
        <v>2.126036878080709E-4</v>
      </c>
      <c r="Z10">
        <v>0</v>
      </c>
      <c r="AA10">
        <v>1.888564486312555</v>
      </c>
      <c r="AB10">
        <v>2.6131052509001971</v>
      </c>
    </row>
    <row r="11" spans="1:28" x14ac:dyDescent="0.25">
      <c r="A11" s="1">
        <v>9</v>
      </c>
      <c r="B11" t="s">
        <v>34</v>
      </c>
      <c r="C11" t="s">
        <v>29</v>
      </c>
      <c r="D11">
        <v>4.5293787287629703</v>
      </c>
      <c r="E11">
        <v>8.5076653109683962E-3</v>
      </c>
      <c r="F11">
        <v>1.26804390275507E-2</v>
      </c>
      <c r="G11">
        <v>2.458341197697617E-2</v>
      </c>
      <c r="H11">
        <v>3.4516318105589199E-5</v>
      </c>
      <c r="I11">
        <v>9.0206009614375528E-4</v>
      </c>
      <c r="J11">
        <v>1.8068620746124881E-4</v>
      </c>
      <c r="K11">
        <v>7.350539239766871E-4</v>
      </c>
      <c r="L11">
        <v>4.7575112588455458E-4</v>
      </c>
      <c r="M11">
        <v>2.5959835126927919E-3</v>
      </c>
      <c r="N11">
        <v>2.79745967271702E-5</v>
      </c>
      <c r="O11">
        <v>4.7731491349906943E-5</v>
      </c>
      <c r="P11">
        <v>3.1582340780101342E-3</v>
      </c>
      <c r="Q11">
        <v>1.740378168929433E-5</v>
      </c>
      <c r="R11">
        <v>4.618835132529721E-7</v>
      </c>
      <c r="S11">
        <v>5.511580607320561E-5</v>
      </c>
      <c r="T11">
        <v>2.3763069911862571E-7</v>
      </c>
      <c r="U11">
        <v>1.545592868689408E-6</v>
      </c>
      <c r="V11">
        <v>4.7059889559575258E-4</v>
      </c>
      <c r="W11">
        <v>1.5089034544510499E-3</v>
      </c>
      <c r="X11">
        <v>4.4311924932185299E-3</v>
      </c>
      <c r="Y11">
        <v>1.6633070481319239E-4</v>
      </c>
      <c r="Z11">
        <v>0</v>
      </c>
      <c r="AA11">
        <v>1.8556921798230781</v>
      </c>
      <c r="AB11">
        <v>2.613105251031123</v>
      </c>
    </row>
    <row r="14" spans="1:28" x14ac:dyDescent="0.25">
      <c r="E14">
        <f>E2/$D2*100</f>
        <v>2.9124968238699314</v>
      </c>
      <c r="F14">
        <f t="shared" ref="F14:Z23" si="0">F2/$D2*100</f>
        <v>0.45839137674932801</v>
      </c>
      <c r="G14">
        <f t="shared" si="0"/>
        <v>1.0857890447787832</v>
      </c>
      <c r="H14">
        <f t="shared" si="0"/>
        <v>8.1733574267291035E-4</v>
      </c>
      <c r="I14">
        <f t="shared" si="0"/>
        <v>2.2857928984514365E-2</v>
      </c>
      <c r="J14">
        <f t="shared" si="0"/>
        <v>4.5192243504207068E-3</v>
      </c>
      <c r="K14">
        <f t="shared" si="0"/>
        <v>4.2699206186407566E-2</v>
      </c>
      <c r="L14">
        <f t="shared" si="0"/>
        <v>1.3041028558056266E-2</v>
      </c>
      <c r="M14">
        <f t="shared" si="0"/>
        <v>7.9442935362541864E-2</v>
      </c>
      <c r="N14">
        <f t="shared" si="0"/>
        <v>6.7264964664201586E-4</v>
      </c>
      <c r="O14">
        <f t="shared" si="0"/>
        <v>2.615114684892561E-3</v>
      </c>
      <c r="P14">
        <f t="shared" si="0"/>
        <v>8.523239187200822E-2</v>
      </c>
      <c r="Q14">
        <f t="shared" si="0"/>
        <v>6.4499320284376995E-4</v>
      </c>
      <c r="R14">
        <f t="shared" si="0"/>
        <v>9.7910350558453471E-6</v>
      </c>
      <c r="S14">
        <f t="shared" si="0"/>
        <v>1.1976449460425038E-3</v>
      </c>
      <c r="T14">
        <f t="shared" si="0"/>
        <v>1.0782811739394243E-5</v>
      </c>
      <c r="U14">
        <f t="shared" si="0"/>
        <v>5.3342419969732261E-5</v>
      </c>
      <c r="V14">
        <f t="shared" si="0"/>
        <v>1.7219349352979259E-2</v>
      </c>
      <c r="W14">
        <f t="shared" si="0"/>
        <v>5.9745209398638852E-2</v>
      </c>
      <c r="X14">
        <f t="shared" si="0"/>
        <v>9.2047241566455135E-2</v>
      </c>
      <c r="Y14">
        <f t="shared" si="0"/>
        <v>5.8922620517439369E-3</v>
      </c>
      <c r="Z14">
        <f t="shared" si="0"/>
        <v>0</v>
      </c>
    </row>
    <row r="15" spans="1:28" x14ac:dyDescent="0.25">
      <c r="D15">
        <f>($D$2-D3)/$D$2*100</f>
        <v>0.77500790801942154</v>
      </c>
      <c r="E15">
        <f t="shared" ref="E15:K23" si="1">E3/$D3*100</f>
        <v>2.8262217752945307</v>
      </c>
      <c r="F15">
        <f t="shared" si="1"/>
        <v>0.4143298819814345</v>
      </c>
      <c r="G15">
        <f t="shared" si="1"/>
        <v>1.0209676159271612</v>
      </c>
      <c r="H15">
        <f t="shared" si="1"/>
        <v>8.0815338774760663E-4</v>
      </c>
      <c r="I15">
        <f t="shared" si="1"/>
        <v>2.2727113922875537E-2</v>
      </c>
      <c r="J15">
        <f t="shared" si="1"/>
        <v>4.4479304368764509E-3</v>
      </c>
      <c r="K15">
        <f t="shared" si="1"/>
        <v>4.0700328381078829E-2</v>
      </c>
      <c r="L15">
        <f t="shared" si="0"/>
        <v>1.2666009339822926E-2</v>
      </c>
      <c r="M15">
        <f t="shared" si="0"/>
        <v>7.5713978988108471E-2</v>
      </c>
      <c r="N15">
        <f t="shared" si="0"/>
        <v>6.6670443812443772E-4</v>
      </c>
      <c r="O15">
        <f t="shared" si="0"/>
        <v>2.4729762303689331E-3</v>
      </c>
      <c r="P15">
        <f t="shared" si="0"/>
        <v>8.3686675664297175E-2</v>
      </c>
      <c r="Q15">
        <f t="shared" si="0"/>
        <v>6.1091681667598224E-4</v>
      </c>
      <c r="R15">
        <f t="shared" si="0"/>
        <v>9.7798399772468944E-6</v>
      </c>
      <c r="S15">
        <f t="shared" si="0"/>
        <v>1.1988135797386407E-3</v>
      </c>
      <c r="T15">
        <f t="shared" si="0"/>
        <v>1.0383282787899251E-5</v>
      </c>
      <c r="U15">
        <f t="shared" si="0"/>
        <v>4.917767683287369E-5</v>
      </c>
      <c r="V15">
        <f t="shared" si="0"/>
        <v>1.62812560926874E-2</v>
      </c>
      <c r="W15">
        <f t="shared" si="0"/>
        <v>5.7123284240594673E-2</v>
      </c>
      <c r="X15">
        <f t="shared" si="0"/>
        <v>9.2570371499987078E-2</v>
      </c>
      <c r="Y15">
        <f t="shared" si="0"/>
        <v>5.6119641609495624E-3</v>
      </c>
      <c r="Z15">
        <f t="shared" si="0"/>
        <v>0</v>
      </c>
    </row>
    <row r="16" spans="1:28" x14ac:dyDescent="0.25">
      <c r="D16">
        <f>($D$2-D4)/$D$2*100</f>
        <v>1.3382880205372438</v>
      </c>
      <c r="E16">
        <f t="shared" si="1"/>
        <v>2.6965406527573994</v>
      </c>
      <c r="F16">
        <f t="shared" si="1"/>
        <v>0.42175813956428865</v>
      </c>
      <c r="G16">
        <f t="shared" si="1"/>
        <v>0.99377676843539386</v>
      </c>
      <c r="H16">
        <f t="shared" si="1"/>
        <v>8.0550060011560078E-4</v>
      </c>
      <c r="I16">
        <f t="shared" si="1"/>
        <v>2.2541767782840359E-2</v>
      </c>
      <c r="J16">
        <f t="shared" si="1"/>
        <v>4.4074798470881476E-3</v>
      </c>
      <c r="K16">
        <f t="shared" si="1"/>
        <v>3.8657091629001328E-2</v>
      </c>
      <c r="L16">
        <f t="shared" si="0"/>
        <v>1.2737821865720768E-2</v>
      </c>
      <c r="M16">
        <f t="shared" si="0"/>
        <v>7.1101349967217634E-2</v>
      </c>
      <c r="N16">
        <f t="shared" si="0"/>
        <v>6.6234168931509707E-4</v>
      </c>
      <c r="O16">
        <f t="shared" si="0"/>
        <v>2.35266210410479E-3</v>
      </c>
      <c r="P16">
        <f t="shared" si="0"/>
        <v>8.1440354454595978E-2</v>
      </c>
      <c r="Q16">
        <f t="shared" si="0"/>
        <v>5.763106472426962E-4</v>
      </c>
      <c r="R16">
        <f t="shared" si="0"/>
        <v>9.8224183215089618E-6</v>
      </c>
      <c r="S16">
        <f t="shared" si="0"/>
        <v>1.1970447909623481E-3</v>
      </c>
      <c r="T16">
        <f t="shared" si="0"/>
        <v>8.8830426806916813E-6</v>
      </c>
      <c r="U16">
        <f t="shared" si="0"/>
        <v>4.9790901486013127E-5</v>
      </c>
      <c r="V16">
        <f t="shared" si="0"/>
        <v>1.6139808611123439E-2</v>
      </c>
      <c r="W16">
        <f t="shared" si="0"/>
        <v>5.5747217113084176E-2</v>
      </c>
      <c r="X16">
        <f t="shared" si="0"/>
        <v>9.2756429633437512E-2</v>
      </c>
      <c r="Y16">
        <f t="shared" si="0"/>
        <v>5.5040953465400107E-3</v>
      </c>
      <c r="Z16">
        <f t="shared" si="0"/>
        <v>0</v>
      </c>
    </row>
    <row r="17" spans="4:26" x14ac:dyDescent="0.25">
      <c r="D17">
        <f>($D$2-D5)/$D$2*100</f>
        <v>1.784548113380481</v>
      </c>
      <c r="E17">
        <f t="shared" si="1"/>
        <v>2.4689252639433725</v>
      </c>
      <c r="F17">
        <f t="shared" si="1"/>
        <v>0.45943168672125578</v>
      </c>
      <c r="G17">
        <f t="shared" si="1"/>
        <v>0.97333865784873341</v>
      </c>
      <c r="H17">
        <f t="shared" si="1"/>
        <v>8.0870849613099642E-4</v>
      </c>
      <c r="I17">
        <f t="shared" si="1"/>
        <v>2.21131505468725E-2</v>
      </c>
      <c r="J17">
        <f t="shared" si="1"/>
        <v>4.3811487201124979E-3</v>
      </c>
      <c r="K17">
        <f t="shared" si="1"/>
        <v>3.6682219928761479E-2</v>
      </c>
      <c r="L17">
        <f t="shared" si="0"/>
        <v>1.2817408269570054E-2</v>
      </c>
      <c r="M17">
        <f t="shared" si="0"/>
        <v>6.8911953007330787E-2</v>
      </c>
      <c r="N17">
        <f t="shared" si="0"/>
        <v>6.5698864481753428E-4</v>
      </c>
      <c r="O17">
        <f t="shared" si="0"/>
        <v>2.2304791969779423E-3</v>
      </c>
      <c r="P17">
        <f t="shared" si="0"/>
        <v>8.024412406254082E-2</v>
      </c>
      <c r="Q17">
        <f t="shared" si="0"/>
        <v>5.5903195827457057E-4</v>
      </c>
      <c r="R17">
        <f t="shared" si="0"/>
        <v>9.9343867327526505E-6</v>
      </c>
      <c r="S17">
        <f t="shared" si="0"/>
        <v>1.1968320913210962E-3</v>
      </c>
      <c r="T17">
        <f t="shared" si="0"/>
        <v>8.1689373454426214E-6</v>
      </c>
      <c r="U17">
        <f t="shared" si="0"/>
        <v>5.1914381995796904E-5</v>
      </c>
      <c r="V17">
        <f t="shared" si="0"/>
        <v>1.6057708013074452E-2</v>
      </c>
      <c r="W17">
        <f t="shared" si="0"/>
        <v>5.3499026849706581E-2</v>
      </c>
      <c r="X17">
        <f t="shared" si="0"/>
        <v>9.3068766415609877E-2</v>
      </c>
      <c r="Y17">
        <f t="shared" si="0"/>
        <v>5.4250112927733355E-3</v>
      </c>
      <c r="Z17">
        <f t="shared" si="0"/>
        <v>0</v>
      </c>
    </row>
    <row r="18" spans="4:26" x14ac:dyDescent="0.25">
      <c r="D18">
        <f>($D$2-D6)/$D$2*100</f>
        <v>5.9208559478383629</v>
      </c>
      <c r="E18">
        <f t="shared" si="1"/>
        <v>0.82366473758201841</v>
      </c>
      <c r="F18">
        <f t="shared" si="1"/>
        <v>0.27936185481481268</v>
      </c>
      <c r="G18">
        <f t="shared" si="1"/>
        <v>0.62256248672494485</v>
      </c>
      <c r="H18">
        <f t="shared" si="1"/>
        <v>7.7000804770444692E-4</v>
      </c>
      <c r="I18">
        <f t="shared" si="1"/>
        <v>2.0518313657655801E-2</v>
      </c>
      <c r="J18">
        <f t="shared" si="1"/>
        <v>4.0720775273244379E-3</v>
      </c>
      <c r="K18">
        <f t="shared" si="1"/>
        <v>2.2396102129584865E-2</v>
      </c>
      <c r="L18">
        <f t="shared" si="0"/>
        <v>1.0675379999587833E-2</v>
      </c>
      <c r="M18">
        <f t="shared" si="0"/>
        <v>6.1642800721573084E-2</v>
      </c>
      <c r="N18">
        <f t="shared" si="0"/>
        <v>6.2796309308048174E-4</v>
      </c>
      <c r="O18">
        <f t="shared" si="0"/>
        <v>1.3855161773637962E-3</v>
      </c>
      <c r="P18">
        <f t="shared" si="0"/>
        <v>7.3088985437914117E-2</v>
      </c>
      <c r="Q18">
        <f t="shared" si="0"/>
        <v>4.4248827284542008E-4</v>
      </c>
      <c r="R18">
        <f t="shared" si="0"/>
        <v>1.0037409887472061E-5</v>
      </c>
      <c r="S18">
        <f t="shared" si="0"/>
        <v>1.2156420058576228E-3</v>
      </c>
      <c r="T18">
        <f t="shared" si="0"/>
        <v>5.732417793441571E-6</v>
      </c>
      <c r="U18">
        <f t="shared" si="0"/>
        <v>3.45406828334097E-5</v>
      </c>
      <c r="V18">
        <f t="shared" si="0"/>
        <v>1.1055016425869944E-2</v>
      </c>
      <c r="W18">
        <f t="shared" si="0"/>
        <v>3.7397137898943826E-2</v>
      </c>
      <c r="X18">
        <f t="shared" si="0"/>
        <v>9.6965770820720568E-2</v>
      </c>
      <c r="Y18">
        <f t="shared" si="0"/>
        <v>3.9924378919176202E-3</v>
      </c>
      <c r="Z18">
        <f t="shared" si="0"/>
        <v>0</v>
      </c>
    </row>
    <row r="19" spans="4:26" x14ac:dyDescent="0.25">
      <c r="D19">
        <f>($D$2-D7)/$D$2*100</f>
        <v>7.8212503422068052</v>
      </c>
      <c r="E19">
        <f t="shared" si="1"/>
        <v>0.25666629949963315</v>
      </c>
      <c r="F19">
        <f t="shared" si="1"/>
        <v>0.24211182815982896</v>
      </c>
      <c r="G19">
        <f t="shared" si="1"/>
        <v>0.51252359988658747</v>
      </c>
      <c r="H19">
        <f t="shared" si="1"/>
        <v>7.5288735005056486E-4</v>
      </c>
      <c r="I19">
        <f t="shared" si="1"/>
        <v>2.0143360667122398E-2</v>
      </c>
      <c r="J19">
        <f t="shared" si="1"/>
        <v>3.9506862507793219E-3</v>
      </c>
      <c r="K19">
        <f t="shared" si="1"/>
        <v>1.5473562442122746E-2</v>
      </c>
      <c r="L19">
        <f t="shared" si="0"/>
        <v>1.033415018786368E-2</v>
      </c>
      <c r="M19">
        <f t="shared" si="0"/>
        <v>5.472013821375564E-2</v>
      </c>
      <c r="N19">
        <f t="shared" si="0"/>
        <v>6.1514849580633169E-4</v>
      </c>
      <c r="O19">
        <f t="shared" si="0"/>
        <v>1.0299444621882606E-3</v>
      </c>
      <c r="P19">
        <f t="shared" si="0"/>
        <v>6.7178716125390434E-2</v>
      </c>
      <c r="Q19">
        <f t="shared" si="0"/>
        <v>3.4460100461789818E-4</v>
      </c>
      <c r="R19">
        <f t="shared" si="0"/>
        <v>1.0161929606105162E-5</v>
      </c>
      <c r="S19">
        <f t="shared" si="0"/>
        <v>1.2191014932472978E-3</v>
      </c>
      <c r="T19">
        <f t="shared" si="0"/>
        <v>3.8856941057622551E-6</v>
      </c>
      <c r="U19">
        <f t="shared" si="0"/>
        <v>3.1345739604920282E-5</v>
      </c>
      <c r="V19">
        <f t="shared" si="0"/>
        <v>9.8385531547465887E-3</v>
      </c>
      <c r="W19">
        <f t="shared" si="0"/>
        <v>3.2376314439043465E-2</v>
      </c>
      <c r="X19">
        <f t="shared" si="0"/>
        <v>9.8330996949837601E-2</v>
      </c>
      <c r="Y19">
        <f t="shared" si="0"/>
        <v>3.5183691355717937E-3</v>
      </c>
      <c r="Z19">
        <f t="shared" si="0"/>
        <v>0</v>
      </c>
    </row>
    <row r="20" spans="4:26" x14ac:dyDescent="0.25">
      <c r="D20">
        <f>($D$2-D8)/$D$2*100</f>
        <v>8.5807363457193251</v>
      </c>
      <c r="E20">
        <f t="shared" si="1"/>
        <v>0.10002673442631992</v>
      </c>
      <c r="F20">
        <f t="shared" si="1"/>
        <v>0.2372553472145448</v>
      </c>
      <c r="G20">
        <f t="shared" si="1"/>
        <v>0.46898263096499065</v>
      </c>
      <c r="H20">
        <f t="shared" si="1"/>
        <v>7.4848550538244825E-4</v>
      </c>
      <c r="I20">
        <f t="shared" si="1"/>
        <v>1.9939070352246884E-2</v>
      </c>
      <c r="J20">
        <f t="shared" si="1"/>
        <v>3.8963833259595721E-3</v>
      </c>
      <c r="K20">
        <f t="shared" si="1"/>
        <v>1.337301348019755E-2</v>
      </c>
      <c r="L20">
        <f t="shared" si="0"/>
        <v>1.0193242748123324E-2</v>
      </c>
      <c r="M20">
        <f t="shared" si="0"/>
        <v>5.233960848624223E-2</v>
      </c>
      <c r="N20">
        <f t="shared" si="0"/>
        <v>6.0777088189285105E-4</v>
      </c>
      <c r="O20">
        <f t="shared" si="0"/>
        <v>9.2189461433384587E-4</v>
      </c>
      <c r="P20">
        <f t="shared" si="0"/>
        <v>6.5309650728637883E-2</v>
      </c>
      <c r="Q20">
        <f t="shared" si="0"/>
        <v>3.0125702643798329E-4</v>
      </c>
      <c r="R20">
        <f t="shared" si="0"/>
        <v>1.0218064176325803E-5</v>
      </c>
      <c r="S20">
        <f t="shared" si="0"/>
        <v>1.2198094745253221E-3</v>
      </c>
      <c r="T20">
        <f t="shared" si="0"/>
        <v>3.0792804200663646E-6</v>
      </c>
      <c r="U20">
        <f t="shared" si="0"/>
        <v>3.0383980376892146E-5</v>
      </c>
      <c r="V20">
        <f t="shared" si="0"/>
        <v>9.3478462093532708E-3</v>
      </c>
      <c r="W20">
        <f t="shared" si="0"/>
        <v>3.0035199234219743E-2</v>
      </c>
      <c r="X20">
        <f t="shared" si="0"/>
        <v>9.8896183589307088E-2</v>
      </c>
      <c r="Y20">
        <f t="shared" si="0"/>
        <v>3.3009380503635911E-3</v>
      </c>
      <c r="Z20">
        <f t="shared" si="0"/>
        <v>0</v>
      </c>
    </row>
    <row r="21" spans="4:26" x14ac:dyDescent="0.25">
      <c r="D21">
        <f>($D$2-D9)/$D$2*100</f>
        <v>2.3209801296700872</v>
      </c>
      <c r="E21">
        <f t="shared" si="1"/>
        <v>2.329999925379084</v>
      </c>
      <c r="F21">
        <f t="shared" si="1"/>
        <v>0.38003821586856562</v>
      </c>
      <c r="G21">
        <f t="shared" si="1"/>
        <v>0.93028406323326784</v>
      </c>
      <c r="H21">
        <f t="shared" si="1"/>
        <v>7.9894341369977451E-4</v>
      </c>
      <c r="I21">
        <f t="shared" si="1"/>
        <v>2.2549788573513505E-2</v>
      </c>
      <c r="J21">
        <f t="shared" si="1"/>
        <v>4.3771610241245583E-3</v>
      </c>
      <c r="K21">
        <f t="shared" si="1"/>
        <v>3.5627330953733077E-2</v>
      </c>
      <c r="L21">
        <f t="shared" si="0"/>
        <v>1.2328193873794073E-2</v>
      </c>
      <c r="M21">
        <f t="shared" si="0"/>
        <v>7.0055537414692656E-2</v>
      </c>
      <c r="N21">
        <f t="shared" si="0"/>
        <v>6.6096891760830234E-4</v>
      </c>
      <c r="O21">
        <f t="shared" si="0"/>
        <v>2.1752573566373367E-3</v>
      </c>
      <c r="P21">
        <f t="shared" si="0"/>
        <v>7.9925309361429414E-2</v>
      </c>
      <c r="Q21">
        <f t="shared" si="0"/>
        <v>5.7011167256592796E-4</v>
      </c>
      <c r="R21">
        <f t="shared" si="0"/>
        <v>9.8680422500285467E-6</v>
      </c>
      <c r="S21">
        <f t="shared" si="0"/>
        <v>1.2063481921600905E-3</v>
      </c>
      <c r="T21">
        <f t="shared" si="0"/>
        <v>1.0173721446170949E-5</v>
      </c>
      <c r="U21">
        <f t="shared" si="0"/>
        <v>4.6283188207133293E-5</v>
      </c>
      <c r="V21">
        <f t="shared" si="0"/>
        <v>1.5190651370599861E-2</v>
      </c>
      <c r="W21">
        <f t="shared" si="0"/>
        <v>5.3014748616705978E-2</v>
      </c>
      <c r="X21">
        <f t="shared" si="0"/>
        <v>9.3820217241862125E-2</v>
      </c>
      <c r="Y21">
        <f t="shared" si="0"/>
        <v>5.2876227562517119E-3</v>
      </c>
      <c r="Z21">
        <f t="shared" si="0"/>
        <v>0</v>
      </c>
    </row>
    <row r="22" spans="4:26" x14ac:dyDescent="0.25">
      <c r="D22">
        <f>($D$2-D10)/$D$2*100</f>
        <v>5.4118657788260975</v>
      </c>
      <c r="E22">
        <f t="shared" si="1"/>
        <v>1.0288699618726491</v>
      </c>
      <c r="F22">
        <f t="shared" si="1"/>
        <v>0.30574028248909102</v>
      </c>
      <c r="G22">
        <f t="shared" si="1"/>
        <v>0.7417814297594385</v>
      </c>
      <c r="H22">
        <f t="shared" si="1"/>
        <v>7.7967686709810879E-4</v>
      </c>
      <c r="I22">
        <f t="shared" si="1"/>
        <v>2.2101818037480941E-2</v>
      </c>
      <c r="J22">
        <f t="shared" si="1"/>
        <v>4.2167088720788367E-3</v>
      </c>
      <c r="K22">
        <f t="shared" si="1"/>
        <v>2.3542209961645192E-2</v>
      </c>
      <c r="L22">
        <f t="shared" si="0"/>
        <v>1.1675949445285196E-2</v>
      </c>
      <c r="M22">
        <f t="shared" si="0"/>
        <v>6.2277939444399869E-2</v>
      </c>
      <c r="N22">
        <f t="shared" si="0"/>
        <v>6.4844104316898589E-4</v>
      </c>
      <c r="O22">
        <f t="shared" si="0"/>
        <v>1.5492571820017109E-3</v>
      </c>
      <c r="P22">
        <f t="shared" si="0"/>
        <v>7.3858408230466133E-2</v>
      </c>
      <c r="Q22">
        <f t="shared" si="0"/>
        <v>4.7381423785724044E-4</v>
      </c>
      <c r="R22">
        <f t="shared" si="0"/>
        <v>1.0040962836243803E-5</v>
      </c>
      <c r="S22">
        <f t="shared" si="0"/>
        <v>1.2193816350285819E-3</v>
      </c>
      <c r="T22">
        <f t="shared" si="0"/>
        <v>6.419124474116969E-6</v>
      </c>
      <c r="U22">
        <f t="shared" si="0"/>
        <v>4.0398500450250036E-5</v>
      </c>
      <c r="V22">
        <f t="shared" si="0"/>
        <v>1.3127297864581373E-2</v>
      </c>
      <c r="W22">
        <f t="shared" si="0"/>
        <v>4.5252507516439236E-2</v>
      </c>
      <c r="X22">
        <f t="shared" si="0"/>
        <v>9.6301306297840866E-2</v>
      </c>
      <c r="Y22">
        <f t="shared" si="0"/>
        <v>4.6076289478646729E-3</v>
      </c>
      <c r="Z22">
        <f t="shared" si="0"/>
        <v>0</v>
      </c>
    </row>
    <row r="23" spans="4:26" x14ac:dyDescent="0.25">
      <c r="D23">
        <f>($D$2-D11)/$D$2*100</f>
        <v>7.1499803956035306</v>
      </c>
      <c r="E23">
        <f t="shared" si="1"/>
        <v>0.18783294178828683</v>
      </c>
      <c r="F23">
        <f t="shared" si="1"/>
        <v>0.27995978669273003</v>
      </c>
      <c r="G23">
        <f t="shared" si="1"/>
        <v>0.54275461269917258</v>
      </c>
      <c r="H23">
        <f t="shared" si="1"/>
        <v>7.6205413970794255E-4</v>
      </c>
      <c r="I23">
        <f t="shared" si="1"/>
        <v>1.991575777082609E-2</v>
      </c>
      <c r="J23">
        <f t="shared" si="1"/>
        <v>3.9892051047494643E-3</v>
      </c>
      <c r="K23">
        <f t="shared" si="1"/>
        <v>1.6228581622218186E-2</v>
      </c>
      <c r="L23">
        <f t="shared" si="0"/>
        <v>1.0503672895873914E-2</v>
      </c>
      <c r="M23">
        <f t="shared" si="0"/>
        <v>5.731433973952068E-2</v>
      </c>
      <c r="N23">
        <f t="shared" si="0"/>
        <v>6.1762547144761305E-4</v>
      </c>
      <c r="O23">
        <f t="shared" si="0"/>
        <v>1.0538198328790007E-3</v>
      </c>
      <c r="P23">
        <f t="shared" si="0"/>
        <v>6.9727754447963489E-2</v>
      </c>
      <c r="Q23">
        <f t="shared" si="0"/>
        <v>3.8424213852497862E-4</v>
      </c>
      <c r="R23">
        <f t="shared" si="0"/>
        <v>1.0197502591688071E-5</v>
      </c>
      <c r="S23">
        <f t="shared" si="0"/>
        <v>1.2168513470336012E-3</v>
      </c>
      <c r="T23">
        <f t="shared" si="0"/>
        <v>5.2464303240883012E-6</v>
      </c>
      <c r="U23">
        <f t="shared" si="0"/>
        <v>3.4123727805635026E-5</v>
      </c>
      <c r="V23">
        <f t="shared" si="0"/>
        <v>1.0389921527367596E-2</v>
      </c>
      <c r="W23">
        <f t="shared" si="0"/>
        <v>3.3313695868906736E-2</v>
      </c>
      <c r="X23">
        <f t="shared" si="0"/>
        <v>9.7832236131614972E-2</v>
      </c>
      <c r="Y23">
        <f t="shared" si="0"/>
        <v>3.6722631242324787E-3</v>
      </c>
      <c r="Z23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tabSelected="1" workbookViewId="0">
      <selection activeCell="N31" sqref="N31"/>
    </sheetView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39</v>
      </c>
      <c r="M1" s="1" t="s">
        <v>19</v>
      </c>
    </row>
    <row r="2" spans="1:13" x14ac:dyDescent="0.25">
      <c r="A2" s="1">
        <v>0</v>
      </c>
      <c r="B2" t="s">
        <v>35</v>
      </c>
      <c r="C2" t="s">
        <v>20</v>
      </c>
      <c r="D2">
        <v>2.399075197032861</v>
      </c>
      <c r="E2">
        <v>0.32292122580615479</v>
      </c>
      <c r="F2">
        <v>5.1320088533994827E-2</v>
      </c>
      <c r="G2">
        <v>1.6209503073538401E-2</v>
      </c>
      <c r="H2">
        <v>0.10425448409781</v>
      </c>
      <c r="I2">
        <v>4.8331156622042991E-6</v>
      </c>
      <c r="J2">
        <v>1.560167444560522E-3</v>
      </c>
      <c r="K2">
        <v>5.4132434833306341E-3</v>
      </c>
      <c r="L2">
        <v>1.8973916948709999</v>
      </c>
      <c r="M2">
        <v>0</v>
      </c>
    </row>
    <row r="3" spans="1:13" x14ac:dyDescent="0.25">
      <c r="A3" s="1">
        <v>1</v>
      </c>
      <c r="B3" t="s">
        <v>35</v>
      </c>
      <c r="C3" t="s">
        <v>21</v>
      </c>
      <c r="D3">
        <v>2.151921314539146</v>
      </c>
      <c r="E3">
        <v>0.30898767382703179</v>
      </c>
      <c r="F3">
        <v>3.8155151007386208E-2</v>
      </c>
      <c r="G3">
        <v>1.5981088594719261E-2</v>
      </c>
      <c r="H3">
        <v>0.1035592013147193</v>
      </c>
      <c r="I3">
        <v>4.4212345562629382E-6</v>
      </c>
      <c r="J3">
        <v>1.46373836041473E-3</v>
      </c>
      <c r="K3">
        <v>5.135570740970298E-3</v>
      </c>
      <c r="L3">
        <v>1.6786344516007221</v>
      </c>
      <c r="M3">
        <v>0</v>
      </c>
    </row>
    <row r="4" spans="1:13" x14ac:dyDescent="0.25">
      <c r="A4" s="1">
        <v>2</v>
      </c>
      <c r="B4" t="s">
        <v>35</v>
      </c>
      <c r="C4" t="s">
        <v>22</v>
      </c>
      <c r="D4">
        <v>1.940612837015411</v>
      </c>
      <c r="E4">
        <v>0.30206041244531362</v>
      </c>
      <c r="F4">
        <v>4.6086393751925532E-2</v>
      </c>
      <c r="G4">
        <v>1.6077934566415261E-2</v>
      </c>
      <c r="H4">
        <v>0.10306032127487889</v>
      </c>
      <c r="I4">
        <v>4.4509540483611897E-6</v>
      </c>
      <c r="J4">
        <v>1.4427846119161899E-3</v>
      </c>
      <c r="K4">
        <v>4.9834064917257436E-3</v>
      </c>
      <c r="L4">
        <v>1.466897130994518</v>
      </c>
      <c r="M4">
        <v>0</v>
      </c>
    </row>
    <row r="5" spans="1:13" x14ac:dyDescent="0.25">
      <c r="A5" s="1">
        <v>3</v>
      </c>
      <c r="B5" t="s">
        <v>35</v>
      </c>
      <c r="C5" t="s">
        <v>23</v>
      </c>
      <c r="D5">
        <v>1.8971083255038561</v>
      </c>
      <c r="E5">
        <v>0.30732380085239852</v>
      </c>
      <c r="F5">
        <v>6.2679910626577434E-2</v>
      </c>
      <c r="G5">
        <v>1.6339227334471851E-2</v>
      </c>
      <c r="H5">
        <v>0.1020909024928436</v>
      </c>
      <c r="I5">
        <v>4.6197873115056529E-6</v>
      </c>
      <c r="J5">
        <v>1.428952688614687E-3</v>
      </c>
      <c r="K5">
        <v>4.760802612233609E-3</v>
      </c>
      <c r="L5">
        <v>1.4024801073326749</v>
      </c>
      <c r="M5">
        <v>0</v>
      </c>
    </row>
    <row r="6" spans="1:13" x14ac:dyDescent="0.25">
      <c r="A6" s="1">
        <v>4</v>
      </c>
      <c r="B6" t="s">
        <v>35</v>
      </c>
      <c r="C6" t="s">
        <v>24</v>
      </c>
      <c r="D6">
        <v>1.538271021178349</v>
      </c>
      <c r="E6">
        <v>0.25983558026878739</v>
      </c>
      <c r="F6">
        <v>1.7623085556067349E-2</v>
      </c>
      <c r="G6">
        <v>1.551713341106996E-2</v>
      </c>
      <c r="H6">
        <v>9.76286256834379E-2</v>
      </c>
      <c r="I6">
        <v>2.9442775701548169E-6</v>
      </c>
      <c r="J6">
        <v>9.4233912680205046E-4</v>
      </c>
      <c r="K6">
        <v>3.1877642614912181E-3</v>
      </c>
      <c r="L6">
        <v>1.1435335356769929</v>
      </c>
      <c r="M6">
        <v>0</v>
      </c>
    </row>
    <row r="7" spans="1:13" x14ac:dyDescent="0.25">
      <c r="A7" s="1">
        <v>5</v>
      </c>
      <c r="B7" t="s">
        <v>35</v>
      </c>
      <c r="C7" t="s">
        <v>25</v>
      </c>
      <c r="D7">
        <v>1.235011769076674</v>
      </c>
      <c r="E7">
        <v>0.2431522460043293</v>
      </c>
      <c r="F7">
        <v>1.5910718175130019E-2</v>
      </c>
      <c r="G7">
        <v>1.541053876202195E-2</v>
      </c>
      <c r="H7">
        <v>9.6238016889476072E-2</v>
      </c>
      <c r="I7">
        <v>2.617964833986283E-6</v>
      </c>
      <c r="J7">
        <v>8.2170612341807172E-4</v>
      </c>
      <c r="K7">
        <v>2.7040374138137448E-3</v>
      </c>
      <c r="L7">
        <v>0.8607718856258888</v>
      </c>
      <c r="M7">
        <v>0</v>
      </c>
    </row>
    <row r="8" spans="1:13" x14ac:dyDescent="0.25">
      <c r="A8" s="1">
        <v>6</v>
      </c>
      <c r="B8" t="s">
        <v>35</v>
      </c>
      <c r="C8" t="s">
        <v>26</v>
      </c>
      <c r="D8">
        <v>1.154061313732617</v>
      </c>
      <c r="E8">
        <v>0.23557158215376239</v>
      </c>
      <c r="F8">
        <v>1.8408839463380969E-2</v>
      </c>
      <c r="G8">
        <v>1.5407911779979079E-2</v>
      </c>
      <c r="H8">
        <v>9.5481103594107719E-2</v>
      </c>
      <c r="I8">
        <v>2.5167313554924352E-6</v>
      </c>
      <c r="J8">
        <v>7.7429018086441119E-4</v>
      </c>
      <c r="K8">
        <v>2.487841511987725E-3</v>
      </c>
      <c r="L8">
        <v>0.78592722620127309</v>
      </c>
      <c r="M8">
        <v>0</v>
      </c>
    </row>
    <row r="9" spans="1:13" x14ac:dyDescent="0.25">
      <c r="A9" s="1">
        <v>7</v>
      </c>
      <c r="B9" t="s">
        <v>35</v>
      </c>
      <c r="C9" t="s">
        <v>27</v>
      </c>
      <c r="D9">
        <v>1.9581541027618079</v>
      </c>
      <c r="E9">
        <v>0.29609625964858588</v>
      </c>
      <c r="F9">
        <v>3.3612732923346579E-2</v>
      </c>
      <c r="G9">
        <v>1.5865174035849871E-2</v>
      </c>
      <c r="H9">
        <v>0.1022662252574716</v>
      </c>
      <c r="I9">
        <v>4.0961800201548603E-6</v>
      </c>
      <c r="J9">
        <v>1.3444113305011911E-3</v>
      </c>
      <c r="K9">
        <v>4.6919402588602938E-3</v>
      </c>
      <c r="L9">
        <v>1.504273246881715</v>
      </c>
      <c r="M9">
        <v>0</v>
      </c>
    </row>
    <row r="10" spans="1:13" x14ac:dyDescent="0.25">
      <c r="A10" s="1">
        <v>8</v>
      </c>
      <c r="B10" t="s">
        <v>35</v>
      </c>
      <c r="C10" t="s">
        <v>28</v>
      </c>
      <c r="D10">
        <v>1.5210411084871249</v>
      </c>
      <c r="E10">
        <v>0.26901122474317579</v>
      </c>
      <c r="F10">
        <v>2.4315997422068979E-2</v>
      </c>
      <c r="G10">
        <v>1.56233056109026E-2</v>
      </c>
      <c r="H10">
        <v>9.9854894853052517E-2</v>
      </c>
      <c r="I10">
        <v>3.4622336892347439E-6</v>
      </c>
      <c r="J10">
        <v>1.125036137698804E-3</v>
      </c>
      <c r="K10">
        <v>3.8782319714739479E-3</v>
      </c>
      <c r="L10">
        <v>1.1072289534338819</v>
      </c>
      <c r="M10">
        <v>0</v>
      </c>
    </row>
    <row r="11" spans="1:13" x14ac:dyDescent="0.25">
      <c r="A11" s="1">
        <v>9</v>
      </c>
      <c r="B11" t="s">
        <v>35</v>
      </c>
      <c r="C11" t="s">
        <v>29</v>
      </c>
      <c r="D11">
        <v>1.322298040883372</v>
      </c>
      <c r="E11">
        <v>0.25968582070672358</v>
      </c>
      <c r="F11">
        <v>2.616994220885761E-2</v>
      </c>
      <c r="G11">
        <v>1.561966559088734E-2</v>
      </c>
      <c r="H11">
        <v>9.6336493466910186E-2</v>
      </c>
      <c r="I11">
        <v>2.8707339339452812E-6</v>
      </c>
      <c r="J11">
        <v>8.7407508551036212E-4</v>
      </c>
      <c r="K11">
        <v>2.8025882090267108E-3</v>
      </c>
      <c r="L11">
        <v>0.92080658289800354</v>
      </c>
      <c r="M11">
        <v>0</v>
      </c>
    </row>
    <row r="14" spans="1:13" x14ac:dyDescent="0.25">
      <c r="E14">
        <f>E2/$D2*100</f>
        <v>13.460237770184893</v>
      </c>
      <c r="F14">
        <f t="shared" ref="F14:Z23" si="0">F2/$D2*100</f>
        <v>2.1391613150545141</v>
      </c>
      <c r="G14">
        <f t="shared" si="0"/>
        <v>0.6756563151328504</v>
      </c>
      <c r="H14">
        <f t="shared" si="0"/>
        <v>4.3456113516887811</v>
      </c>
      <c r="I14">
        <f t="shared" si="0"/>
        <v>2.014574477774528E-4</v>
      </c>
      <c r="J14">
        <f t="shared" si="0"/>
        <v>6.5032035948273434E-2</v>
      </c>
      <c r="K14">
        <f t="shared" si="0"/>
        <v>0.2256387582192359</v>
      </c>
      <c r="L14">
        <f t="shared" si="0"/>
        <v>79.08846280507025</v>
      </c>
      <c r="M14">
        <f t="shared" si="0"/>
        <v>0</v>
      </c>
    </row>
    <row r="15" spans="1:13" x14ac:dyDescent="0.25">
      <c r="D15">
        <f>($D$2-D3)/$D$2*100</f>
        <v>10.302048172537111</v>
      </c>
      <c r="E15">
        <f t="shared" ref="E15:K23" si="1">E3/$D3*100</f>
        <v>14.358688291221483</v>
      </c>
      <c r="F15">
        <f t="shared" si="1"/>
        <v>1.7730737062547981</v>
      </c>
      <c r="G15">
        <f t="shared" si="1"/>
        <v>0.74264279491751584</v>
      </c>
      <c r="H15">
        <f t="shared" si="1"/>
        <v>4.8124065045983082</v>
      </c>
      <c r="I15">
        <f t="shared" si="1"/>
        <v>2.0545521466753939E-4</v>
      </c>
      <c r="J15">
        <f t="shared" si="1"/>
        <v>6.8020068881013113E-2</v>
      </c>
      <c r="K15">
        <f t="shared" si="1"/>
        <v>0.23865048904309627</v>
      </c>
      <c r="L15">
        <f t="shared" si="0"/>
        <v>78.006311859976961</v>
      </c>
      <c r="M15">
        <f t="shared" si="0"/>
        <v>0</v>
      </c>
    </row>
    <row r="16" spans="1:13" x14ac:dyDescent="0.25">
      <c r="D16">
        <f>($D$2-D4)/$D$2*100</f>
        <v>19.109962063067851</v>
      </c>
      <c r="E16">
        <f t="shared" si="1"/>
        <v>15.56520737592724</v>
      </c>
      <c r="F16">
        <f t="shared" si="1"/>
        <v>2.3748371067566811</v>
      </c>
      <c r="G16">
        <f t="shared" si="1"/>
        <v>0.82849779511623323</v>
      </c>
      <c r="H16">
        <f t="shared" si="1"/>
        <v>5.3107100658667061</v>
      </c>
      <c r="I16">
        <f t="shared" si="1"/>
        <v>2.293581678665276E-4</v>
      </c>
      <c r="J16">
        <f t="shared" si="1"/>
        <v>7.4346854993247294E-2</v>
      </c>
      <c r="K16">
        <f t="shared" si="1"/>
        <v>0.25679550277478497</v>
      </c>
      <c r="L16">
        <f t="shared" si="0"/>
        <v>75.589375841218811</v>
      </c>
      <c r="M16">
        <f t="shared" si="0"/>
        <v>0</v>
      </c>
    </row>
    <row r="17" spans="4:13" x14ac:dyDescent="0.25">
      <c r="D17">
        <f>($D$2-D5)/$D$2*100</f>
        <v>20.923348803315118</v>
      </c>
      <c r="E17">
        <f t="shared" si="1"/>
        <v>16.199591595317884</v>
      </c>
      <c r="F17">
        <f t="shared" si="1"/>
        <v>3.3039710903134734</v>
      </c>
      <c r="G17">
        <f t="shared" si="1"/>
        <v>0.86127012963966043</v>
      </c>
      <c r="H17">
        <f t="shared" si="1"/>
        <v>5.381395522879755</v>
      </c>
      <c r="I17">
        <f t="shared" si="1"/>
        <v>2.4351731787791695E-4</v>
      </c>
      <c r="J17">
        <f t="shared" si="1"/>
        <v>7.5322672374819141E-2</v>
      </c>
      <c r="K17">
        <f t="shared" si="1"/>
        <v>0.25095048860581959</v>
      </c>
      <c r="L17">
        <f t="shared" si="0"/>
        <v>73.927254889896062</v>
      </c>
      <c r="M17">
        <f t="shared" si="0"/>
        <v>0</v>
      </c>
    </row>
    <row r="18" spans="4:13" x14ac:dyDescent="0.25">
      <c r="D18">
        <f>($D$2-D6)/$D$2*100</f>
        <v>35.880666721874384</v>
      </c>
      <c r="E18">
        <f t="shared" si="1"/>
        <v>16.891404485390858</v>
      </c>
      <c r="F18">
        <f t="shared" si="1"/>
        <v>1.1456424331888981</v>
      </c>
      <c r="G18">
        <f t="shared" si="1"/>
        <v>1.0087385901077106</v>
      </c>
      <c r="H18">
        <f t="shared" si="1"/>
        <v>6.3466466142391642</v>
      </c>
      <c r="I18">
        <f t="shared" si="1"/>
        <v>1.914017445313009E-4</v>
      </c>
      <c r="J18">
        <f t="shared" si="1"/>
        <v>6.1259629403939385E-2</v>
      </c>
      <c r="K18">
        <f t="shared" si="1"/>
        <v>0.20723033962177362</v>
      </c>
      <c r="L18">
        <f t="shared" si="0"/>
        <v>74.338885666650683</v>
      </c>
      <c r="M18">
        <f t="shared" si="0"/>
        <v>0</v>
      </c>
    </row>
    <row r="19" spans="4:13" x14ac:dyDescent="0.25">
      <c r="D19">
        <f>($D$2-D7)/$D$2*100</f>
        <v>48.521339781090752</v>
      </c>
      <c r="E19">
        <f t="shared" si="1"/>
        <v>19.688253350501757</v>
      </c>
      <c r="F19">
        <f t="shared" si="1"/>
        <v>1.2883049840913885</v>
      </c>
      <c r="G19">
        <f t="shared" si="1"/>
        <v>1.247805012703908</v>
      </c>
      <c r="H19">
        <f t="shared" si="1"/>
        <v>7.7924777155302767</v>
      </c>
      <c r="I19">
        <f t="shared" si="1"/>
        <v>2.1197893813947537E-4</v>
      </c>
      <c r="J19">
        <f t="shared" si="1"/>
        <v>6.6534274732652957E-2</v>
      </c>
      <c r="K19">
        <f t="shared" si="1"/>
        <v>0.21894831138616205</v>
      </c>
      <c r="L19">
        <f t="shared" si="0"/>
        <v>69.697464200638635</v>
      </c>
      <c r="M19">
        <f t="shared" si="0"/>
        <v>0</v>
      </c>
    </row>
    <row r="20" spans="4:13" x14ac:dyDescent="0.25">
      <c r="D20">
        <f>($D$2-D8)/$D$2*100</f>
        <v>51.895575630145231</v>
      </c>
      <c r="E20">
        <f t="shared" si="1"/>
        <v>20.412397448091017</v>
      </c>
      <c r="F20">
        <f t="shared" si="1"/>
        <v>1.5951353055792743</v>
      </c>
      <c r="G20">
        <f t="shared" si="1"/>
        <v>1.3351033949959541</v>
      </c>
      <c r="H20">
        <f t="shared" si="1"/>
        <v>8.2734862054503999</v>
      </c>
      <c r="I20">
        <f t="shared" si="1"/>
        <v>2.180760524198226E-4</v>
      </c>
      <c r="J20">
        <f t="shared" si="1"/>
        <v>6.7092638116435954E-2</v>
      </c>
      <c r="K20">
        <f t="shared" si="1"/>
        <v>0.215572732781521</v>
      </c>
      <c r="L20">
        <f t="shared" si="0"/>
        <v>68.10099401558864</v>
      </c>
      <c r="M20">
        <f t="shared" si="0"/>
        <v>0</v>
      </c>
    </row>
    <row r="21" spans="4:13" x14ac:dyDescent="0.25">
      <c r="D21">
        <f>($D$2-D9)/$D$2*100</f>
        <v>18.378794246065212</v>
      </c>
      <c r="E21">
        <f t="shared" si="1"/>
        <v>15.121192925059759</v>
      </c>
      <c r="F21">
        <f t="shared" si="1"/>
        <v>1.7165519749410281</v>
      </c>
      <c r="G21">
        <f t="shared" si="1"/>
        <v>0.81021069861015571</v>
      </c>
      <c r="H21">
        <f t="shared" si="1"/>
        <v>5.2225831007495209</v>
      </c>
      <c r="I21">
        <f t="shared" si="1"/>
        <v>2.0918578442715772E-4</v>
      </c>
      <c r="J21">
        <f t="shared" si="1"/>
        <v>6.8657074977143753E-2</v>
      </c>
      <c r="K21">
        <f t="shared" si="1"/>
        <v>0.23961036836900201</v>
      </c>
      <c r="L21">
        <f t="shared" si="0"/>
        <v>76.820983841877762</v>
      </c>
      <c r="M21">
        <f t="shared" si="0"/>
        <v>0</v>
      </c>
    </row>
    <row r="22" spans="4:13" x14ac:dyDescent="0.25">
      <c r="D22">
        <f>($D$2-D10)/$D$2*100</f>
        <v>36.598856494022151</v>
      </c>
      <c r="E22">
        <f t="shared" si="1"/>
        <v>17.685993050558825</v>
      </c>
      <c r="F22">
        <f t="shared" si="1"/>
        <v>1.5986416991881587</v>
      </c>
      <c r="G22">
        <f t="shared" si="1"/>
        <v>1.0271455205074653</v>
      </c>
      <c r="H22">
        <f t="shared" si="1"/>
        <v>6.56490441289725</v>
      </c>
      <c r="I22">
        <f t="shared" si="1"/>
        <v>2.2762262439299816E-4</v>
      </c>
      <c r="J22">
        <f t="shared" si="1"/>
        <v>7.396487388942434E-2</v>
      </c>
      <c r="K22">
        <f t="shared" si="1"/>
        <v>0.25497219962262285</v>
      </c>
      <c r="L22">
        <f t="shared" si="0"/>
        <v>72.794150483885772</v>
      </c>
      <c r="M22">
        <f t="shared" si="0"/>
        <v>0</v>
      </c>
    </row>
    <row r="23" spans="4:13" x14ac:dyDescent="0.25">
      <c r="D23">
        <f>($D$2-D11)/$D$2*100</f>
        <v>44.883009814833244</v>
      </c>
      <c r="E23">
        <f t="shared" si="1"/>
        <v>19.638977951841959</v>
      </c>
      <c r="F23">
        <f t="shared" si="1"/>
        <v>1.9791258399940277</v>
      </c>
      <c r="G23">
        <f t="shared" si="1"/>
        <v>1.1812515112290791</v>
      </c>
      <c r="H23">
        <f t="shared" si="1"/>
        <v>7.2855355213679207</v>
      </c>
      <c r="I23">
        <f t="shared" si="1"/>
        <v>2.1710188211633924E-4</v>
      </c>
      <c r="J23">
        <f t="shared" si="1"/>
        <v>6.610272861982229E-2</v>
      </c>
      <c r="K23">
        <f t="shared" si="1"/>
        <v>0.21194829927709938</v>
      </c>
      <c r="L23">
        <f t="shared" si="0"/>
        <v>69.636840895782555</v>
      </c>
      <c r="M23">
        <f t="shared" si="0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>
      <selection activeCell="L23" sqref="L23"/>
    </sheetView>
  </sheetViews>
  <sheetFormatPr defaultRowHeight="15" x14ac:dyDescent="0.25"/>
  <cols>
    <col min="3" max="3" width="29.42578125" bestFit="1" customWidth="1"/>
  </cols>
  <sheetData>
    <row r="1" spans="1:13" x14ac:dyDescent="0.25">
      <c r="B1" s="1" t="s">
        <v>0</v>
      </c>
      <c r="C1" s="1" t="s">
        <v>1</v>
      </c>
      <c r="D1" s="1" t="s">
        <v>40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41</v>
      </c>
      <c r="M1" s="1" t="s">
        <v>19</v>
      </c>
    </row>
    <row r="2" spans="1:13" x14ac:dyDescent="0.25">
      <c r="A2" s="1">
        <v>0</v>
      </c>
      <c r="B2" t="s">
        <v>40</v>
      </c>
      <c r="C2" t="s">
        <v>20</v>
      </c>
      <c r="D2">
        <v>4.063558420023198</v>
      </c>
      <c r="E2">
        <v>0.32292122580615479</v>
      </c>
      <c r="F2">
        <v>5.1320088533994827E-2</v>
      </c>
      <c r="G2">
        <v>1.6209503073538401E-2</v>
      </c>
      <c r="H2">
        <v>0.10425448409781</v>
      </c>
      <c r="I2">
        <v>4.8331156622042991E-6</v>
      </c>
      <c r="J2">
        <v>1.560167444560522E-3</v>
      </c>
      <c r="K2">
        <v>5.4132434833306341E-3</v>
      </c>
      <c r="L2">
        <v>3.5618749575377731</v>
      </c>
      <c r="M2">
        <v>0</v>
      </c>
    </row>
    <row r="3" spans="1:13" x14ac:dyDescent="0.25">
      <c r="A3" s="1">
        <v>1</v>
      </c>
      <c r="B3" t="s">
        <v>40</v>
      </c>
      <c r="C3" t="s">
        <v>21</v>
      </c>
      <c r="D3">
        <v>3.359939327028501</v>
      </c>
      <c r="E3">
        <v>0.30898767382703179</v>
      </c>
      <c r="F3">
        <v>3.8155151007386208E-2</v>
      </c>
      <c r="G3">
        <v>1.5981088594719261E-2</v>
      </c>
      <c r="H3">
        <v>0.1035592013147193</v>
      </c>
      <c r="I3">
        <v>4.4212345562629382E-6</v>
      </c>
      <c r="J3">
        <v>1.46373836041473E-3</v>
      </c>
      <c r="K3">
        <v>5.135570740970298E-3</v>
      </c>
      <c r="L3">
        <v>2.886652452639515</v>
      </c>
      <c r="M3">
        <v>0</v>
      </c>
    </row>
    <row r="4" spans="1:13" x14ac:dyDescent="0.25">
      <c r="A4" s="1">
        <v>2</v>
      </c>
      <c r="B4" t="s">
        <v>40</v>
      </c>
      <c r="C4" t="s">
        <v>22</v>
      </c>
      <c r="D4">
        <v>2.9209477842160241</v>
      </c>
      <c r="E4">
        <v>0.30206041244531362</v>
      </c>
      <c r="F4">
        <v>4.6086393751925532E-2</v>
      </c>
      <c r="G4">
        <v>1.6077934566415261E-2</v>
      </c>
      <c r="H4">
        <v>0.10306032127487889</v>
      </c>
      <c r="I4">
        <v>4.4509540483611897E-6</v>
      </c>
      <c r="J4">
        <v>1.4427846119161899E-3</v>
      </c>
      <c r="K4">
        <v>4.9834064917257436E-3</v>
      </c>
      <c r="L4">
        <v>2.44723207819513</v>
      </c>
      <c r="M4">
        <v>0</v>
      </c>
    </row>
    <row r="5" spans="1:13" x14ac:dyDescent="0.25">
      <c r="A5" s="1">
        <v>3</v>
      </c>
      <c r="B5" t="s">
        <v>40</v>
      </c>
      <c r="C5" t="s">
        <v>23</v>
      </c>
      <c r="D5">
        <v>2.7387698013796831</v>
      </c>
      <c r="E5">
        <v>0.30732380085239852</v>
      </c>
      <c r="F5">
        <v>6.2679910626577434E-2</v>
      </c>
      <c r="G5">
        <v>1.6339227334471851E-2</v>
      </c>
      <c r="H5">
        <v>0.1020909024928436</v>
      </c>
      <c r="I5">
        <v>4.6197873115056529E-6</v>
      </c>
      <c r="J5">
        <v>1.428952688614687E-3</v>
      </c>
      <c r="K5">
        <v>4.760802612233609E-3</v>
      </c>
      <c r="L5">
        <v>2.2441415832084992</v>
      </c>
      <c r="M5">
        <v>0</v>
      </c>
    </row>
    <row r="6" spans="1:13" x14ac:dyDescent="0.25">
      <c r="A6" s="1">
        <v>4</v>
      </c>
      <c r="B6" t="s">
        <v>40</v>
      </c>
      <c r="C6" t="s">
        <v>24</v>
      </c>
      <c r="D6">
        <v>2.295094453144944</v>
      </c>
      <c r="E6">
        <v>0.25983558026878739</v>
      </c>
      <c r="F6">
        <v>1.7623085556067349E-2</v>
      </c>
      <c r="G6">
        <v>1.551713341106996E-2</v>
      </c>
      <c r="H6">
        <v>9.76286256834379E-2</v>
      </c>
      <c r="I6">
        <v>2.9442775701548169E-6</v>
      </c>
      <c r="J6">
        <v>9.4233912680205046E-4</v>
      </c>
      <c r="K6">
        <v>3.1877642614912181E-3</v>
      </c>
      <c r="L6">
        <v>1.9003569604698161</v>
      </c>
      <c r="M6">
        <v>0</v>
      </c>
    </row>
    <row r="7" spans="1:13" x14ac:dyDescent="0.25">
      <c r="A7" s="1">
        <v>5</v>
      </c>
      <c r="B7" t="s">
        <v>40</v>
      </c>
      <c r="C7" t="s">
        <v>25</v>
      </c>
      <c r="D7">
        <v>1.83551755873601</v>
      </c>
      <c r="E7">
        <v>0.2431522460043293</v>
      </c>
      <c r="F7">
        <v>1.5910718175130019E-2</v>
      </c>
      <c r="G7">
        <v>1.541053876202195E-2</v>
      </c>
      <c r="H7">
        <v>9.6238016889476072E-2</v>
      </c>
      <c r="I7">
        <v>2.617964833986283E-6</v>
      </c>
      <c r="J7">
        <v>8.2170612341807172E-4</v>
      </c>
      <c r="K7">
        <v>2.7040374138137448E-3</v>
      </c>
      <c r="L7">
        <v>1.461277675285215</v>
      </c>
      <c r="M7">
        <v>0</v>
      </c>
    </row>
    <row r="8" spans="1:13" x14ac:dyDescent="0.25">
      <c r="A8" s="1">
        <v>6</v>
      </c>
      <c r="B8" t="s">
        <v>40</v>
      </c>
      <c r="C8" t="s">
        <v>26</v>
      </c>
      <c r="D8">
        <v>1.6775179614556699</v>
      </c>
      <c r="E8">
        <v>0.23557158215376239</v>
      </c>
      <c r="F8">
        <v>1.8408839463380969E-2</v>
      </c>
      <c r="G8">
        <v>1.5407911779979079E-2</v>
      </c>
      <c r="H8">
        <v>9.5481103594107719E-2</v>
      </c>
      <c r="I8">
        <v>2.5167313554924352E-6</v>
      </c>
      <c r="J8">
        <v>7.7429018086441119E-4</v>
      </c>
      <c r="K8">
        <v>2.487841511987725E-3</v>
      </c>
      <c r="L8">
        <v>1.3093838739243191</v>
      </c>
      <c r="M8">
        <v>0</v>
      </c>
    </row>
    <row r="9" spans="1:13" x14ac:dyDescent="0.25">
      <c r="A9" s="1">
        <v>7</v>
      </c>
      <c r="B9" t="s">
        <v>40</v>
      </c>
      <c r="C9" t="s">
        <v>27</v>
      </c>
      <c r="D9">
        <v>3.1168135871939779</v>
      </c>
      <c r="E9">
        <v>0.29609625964858588</v>
      </c>
      <c r="F9">
        <v>3.3612732923346579E-2</v>
      </c>
      <c r="G9">
        <v>1.5865174035849871E-2</v>
      </c>
      <c r="H9">
        <v>0.1022662252574716</v>
      </c>
      <c r="I9">
        <v>4.0961800201548603E-6</v>
      </c>
      <c r="J9">
        <v>1.3444113305011911E-3</v>
      </c>
      <c r="K9">
        <v>4.6919402588602938E-3</v>
      </c>
      <c r="L9">
        <v>2.6629327203311872</v>
      </c>
      <c r="M9">
        <v>0</v>
      </c>
    </row>
    <row r="10" spans="1:13" x14ac:dyDescent="0.25">
      <c r="A10" s="1">
        <v>8</v>
      </c>
      <c r="B10" t="s">
        <v>40</v>
      </c>
      <c r="C10" t="s">
        <v>28</v>
      </c>
      <c r="D10">
        <v>2.379589484484474</v>
      </c>
      <c r="E10">
        <v>0.26901122474317579</v>
      </c>
      <c r="F10">
        <v>2.4315997422068979E-2</v>
      </c>
      <c r="G10">
        <v>1.56233056109026E-2</v>
      </c>
      <c r="H10">
        <v>9.9854894853052517E-2</v>
      </c>
      <c r="I10">
        <v>3.4622336892347439E-6</v>
      </c>
      <c r="J10">
        <v>1.125036137698804E-3</v>
      </c>
      <c r="K10">
        <v>3.8782319714739479E-3</v>
      </c>
      <c r="L10">
        <v>1.96577732943123</v>
      </c>
      <c r="M10">
        <v>0</v>
      </c>
    </row>
    <row r="11" spans="1:13" x14ac:dyDescent="0.25">
      <c r="A11" s="1">
        <v>9</v>
      </c>
      <c r="B11" t="s">
        <v>40</v>
      </c>
      <c r="C11" t="s">
        <v>29</v>
      </c>
      <c r="D11">
        <v>1.850332406227821</v>
      </c>
      <c r="E11">
        <v>0.25968582070672358</v>
      </c>
      <c r="F11">
        <v>2.616994220885761E-2</v>
      </c>
      <c r="G11">
        <v>1.561966559088734E-2</v>
      </c>
      <c r="H11">
        <v>9.6336493466910186E-2</v>
      </c>
      <c r="I11">
        <v>2.8707339339452812E-6</v>
      </c>
      <c r="J11">
        <v>8.7407508551036212E-4</v>
      </c>
      <c r="K11">
        <v>2.8025882090267108E-3</v>
      </c>
      <c r="L11">
        <v>1.4488409482424529</v>
      </c>
      <c r="M11">
        <v>0</v>
      </c>
    </row>
    <row r="14" spans="1:13" x14ac:dyDescent="0.25">
      <c r="E14">
        <f>E2/$D2*100</f>
        <v>7.9467597713117479</v>
      </c>
      <c r="F14">
        <f t="shared" ref="F14:M23" si="0">F2/$D2*100</f>
        <v>1.2629346801344092</v>
      </c>
      <c r="G14">
        <f t="shared" si="0"/>
        <v>0.39889922570489006</v>
      </c>
      <c r="H14">
        <f t="shared" si="0"/>
        <v>2.5655957986009423</v>
      </c>
      <c r="I14">
        <f t="shared" si="0"/>
        <v>1.1893801350041149E-4</v>
      </c>
      <c r="J14">
        <f t="shared" si="0"/>
        <v>3.8394118732803045E-2</v>
      </c>
      <c r="K14">
        <f t="shared" si="0"/>
        <v>0.13321436346668128</v>
      </c>
      <c r="L14">
        <f t="shared" si="0"/>
        <v>87.65408514829322</v>
      </c>
      <c r="M14">
        <f t="shared" si="0"/>
        <v>0</v>
      </c>
    </row>
    <row r="15" spans="1:13" x14ac:dyDescent="0.25">
      <c r="D15">
        <f>($D$2-D3)/$D$2*100</f>
        <v>17.31534335836324</v>
      </c>
      <c r="E15">
        <f t="shared" ref="E15:K23" si="1">E3/$D3*100</f>
        <v>9.1962277813003723</v>
      </c>
      <c r="F15">
        <f t="shared" si="1"/>
        <v>1.1355904763057214</v>
      </c>
      <c r="G15">
        <f t="shared" si="1"/>
        <v>0.47563622551639306</v>
      </c>
      <c r="H15">
        <f t="shared" si="1"/>
        <v>3.0821747429084114</v>
      </c>
      <c r="I15">
        <f t="shared" si="1"/>
        <v>1.3158673791211094E-4</v>
      </c>
      <c r="J15">
        <f t="shared" si="1"/>
        <v>4.3564428340711926E-2</v>
      </c>
      <c r="K15">
        <f t="shared" si="1"/>
        <v>0.15284712731738964</v>
      </c>
      <c r="L15">
        <f t="shared" si="0"/>
        <v>85.913826759260076</v>
      </c>
      <c r="M15">
        <f t="shared" si="0"/>
        <v>0</v>
      </c>
    </row>
    <row r="16" spans="1:13" x14ac:dyDescent="0.25">
      <c r="D16">
        <f>($D$2-D4)/$D$2*100</f>
        <v>28.118474442915748</v>
      </c>
      <c r="E16">
        <f t="shared" si="1"/>
        <v>10.3411780956018</v>
      </c>
      <c r="F16">
        <f t="shared" si="1"/>
        <v>1.577789031387804</v>
      </c>
      <c r="G16">
        <f t="shared" si="1"/>
        <v>0.55043553511281074</v>
      </c>
      <c r="H16">
        <f t="shared" si="1"/>
        <v>3.5283178231321948</v>
      </c>
      <c r="I16">
        <f t="shared" si="1"/>
        <v>1.5238047295514445E-4</v>
      </c>
      <c r="J16">
        <f t="shared" si="1"/>
        <v>4.9394399301233322E-2</v>
      </c>
      <c r="K16">
        <f t="shared" si="1"/>
        <v>0.17060922891722555</v>
      </c>
      <c r="L16">
        <f t="shared" si="0"/>
        <v>83.782123440181991</v>
      </c>
      <c r="M16">
        <f t="shared" si="0"/>
        <v>0</v>
      </c>
    </row>
    <row r="17" spans="4:13" x14ac:dyDescent="0.25">
      <c r="D17">
        <f>($D$2-D5)/$D$2*100</f>
        <v>32.601687528733791</v>
      </c>
      <c r="E17">
        <f t="shared" si="1"/>
        <v>11.221235194633044</v>
      </c>
      <c r="F17">
        <f t="shared" si="1"/>
        <v>2.2886155161708657</v>
      </c>
      <c r="G17">
        <f t="shared" si="1"/>
        <v>0.596590021046705</v>
      </c>
      <c r="H17">
        <f t="shared" si="1"/>
        <v>3.7276189638652459</v>
      </c>
      <c r="I17">
        <f t="shared" si="1"/>
        <v>1.686811103721966E-4</v>
      </c>
      <c r="J17">
        <f t="shared" si="1"/>
        <v>5.2174983377384895E-2</v>
      </c>
      <c r="K17">
        <f t="shared" si="1"/>
        <v>0.17382996591518229</v>
      </c>
      <c r="L17">
        <f t="shared" si="0"/>
        <v>81.939766609007819</v>
      </c>
      <c r="M17">
        <f t="shared" si="0"/>
        <v>0</v>
      </c>
    </row>
    <row r="18" spans="4:13" x14ac:dyDescent="0.25">
      <c r="D18">
        <f>($D$2-D6)/$D$2*100</f>
        <v>43.520082255102857</v>
      </c>
      <c r="E18">
        <f t="shared" si="1"/>
        <v>11.321345834492231</v>
      </c>
      <c r="F18">
        <f t="shared" si="1"/>
        <v>0.7678588361328057</v>
      </c>
      <c r="G18">
        <f t="shared" si="1"/>
        <v>0.67609999186774183</v>
      </c>
      <c r="H18">
        <f t="shared" si="1"/>
        <v>4.2537955485735424</v>
      </c>
      <c r="I18">
        <f t="shared" si="1"/>
        <v>1.2828568193000965E-4</v>
      </c>
      <c r="J18">
        <f t="shared" si="1"/>
        <v>4.1058838581164839E-2</v>
      </c>
      <c r="K18">
        <f t="shared" si="1"/>
        <v>0.13889468719350778</v>
      </c>
      <c r="L18">
        <f t="shared" si="0"/>
        <v>82.800817102136108</v>
      </c>
      <c r="M18">
        <f t="shared" si="0"/>
        <v>0</v>
      </c>
    </row>
    <row r="19" spans="4:13" x14ac:dyDescent="0.25">
      <c r="D19">
        <f>($D$2-D7)/$D$2*100</f>
        <v>54.829797704113446</v>
      </c>
      <c r="E19">
        <f t="shared" si="1"/>
        <v>13.247067283397218</v>
      </c>
      <c r="F19">
        <f t="shared" si="1"/>
        <v>0.86682462389989867</v>
      </c>
      <c r="G19">
        <f t="shared" si="1"/>
        <v>0.83957457604677388</v>
      </c>
      <c r="H19">
        <f t="shared" si="1"/>
        <v>5.2430997694050028</v>
      </c>
      <c r="I19">
        <f t="shared" si="1"/>
        <v>1.4262815528657153E-4</v>
      </c>
      <c r="J19">
        <f t="shared" si="1"/>
        <v>4.4766998795910305E-2</v>
      </c>
      <c r="K19">
        <f t="shared" si="1"/>
        <v>0.14731743648782214</v>
      </c>
      <c r="L19">
        <f t="shared" si="0"/>
        <v>79.611206568434724</v>
      </c>
      <c r="M19">
        <f t="shared" si="0"/>
        <v>0</v>
      </c>
    </row>
    <row r="20" spans="4:13" x14ac:dyDescent="0.25">
      <c r="D20">
        <f>($D$2-D8)/$D$2*100</f>
        <v>58.718005549281784</v>
      </c>
      <c r="E20">
        <f t="shared" si="1"/>
        <v>14.042864968750893</v>
      </c>
      <c r="F20">
        <f t="shared" si="1"/>
        <v>1.0973855354375257</v>
      </c>
      <c r="G20">
        <f t="shared" si="1"/>
        <v>0.91849459344142159</v>
      </c>
      <c r="H20">
        <f t="shared" si="1"/>
        <v>5.6918081229517083</v>
      </c>
      <c r="I20">
        <f t="shared" si="1"/>
        <v>1.5002708843180052E-4</v>
      </c>
      <c r="J20">
        <f t="shared" si="1"/>
        <v>4.6156893616359204E-2</v>
      </c>
      <c r="K20">
        <f t="shared" si="1"/>
        <v>0.14830491053752384</v>
      </c>
      <c r="L20">
        <f t="shared" si="0"/>
        <v>78.054834822042579</v>
      </c>
      <c r="M20">
        <f t="shared" si="0"/>
        <v>0</v>
      </c>
    </row>
    <row r="21" spans="4:13" x14ac:dyDescent="0.25">
      <c r="D21">
        <f>($D$2-D9)/$D$2*100</f>
        <v>23.298418158925234</v>
      </c>
      <c r="E21">
        <f t="shared" si="1"/>
        <v>9.4999669170191545</v>
      </c>
      <c r="F21">
        <f t="shared" si="1"/>
        <v>1.0784325716960068</v>
      </c>
      <c r="G21">
        <f t="shared" si="1"/>
        <v>0.50901902189578996</v>
      </c>
      <c r="H21">
        <f t="shared" si="1"/>
        <v>3.2811145869503351</v>
      </c>
      <c r="I21">
        <f t="shared" si="1"/>
        <v>1.3142204066950925E-4</v>
      </c>
      <c r="J21">
        <f t="shared" si="1"/>
        <v>4.3134159066328545E-2</v>
      </c>
      <c r="K21">
        <f t="shared" si="1"/>
        <v>0.15053644138802602</v>
      </c>
      <c r="L21">
        <f t="shared" si="0"/>
        <v>85.437664006354225</v>
      </c>
      <c r="M21">
        <f t="shared" si="0"/>
        <v>0</v>
      </c>
    </row>
    <row r="22" spans="4:13" x14ac:dyDescent="0.25">
      <c r="D22">
        <f>($D$2-D10)/$D$2*100</f>
        <v>41.440746298637201</v>
      </c>
      <c r="E22">
        <f t="shared" si="1"/>
        <v>11.304942575061668</v>
      </c>
      <c r="F22">
        <f t="shared" si="1"/>
        <v>1.0218568194478685</v>
      </c>
      <c r="G22">
        <f t="shared" si="1"/>
        <v>0.65655465838836946</v>
      </c>
      <c r="H22">
        <f t="shared" si="1"/>
        <v>4.1963076196180777</v>
      </c>
      <c r="I22">
        <f t="shared" si="1"/>
        <v>1.4549709989094271E-4</v>
      </c>
      <c r="J22">
        <f t="shared" si="1"/>
        <v>4.7278580823891032E-2</v>
      </c>
      <c r="K22">
        <f t="shared" si="1"/>
        <v>0.16297903469321084</v>
      </c>
      <c r="L22">
        <f t="shared" si="0"/>
        <v>82.609935127407311</v>
      </c>
      <c r="M22">
        <f t="shared" si="0"/>
        <v>0</v>
      </c>
    </row>
    <row r="23" spans="4:13" x14ac:dyDescent="0.25">
      <c r="D23">
        <f>($D$2-D11)/$D$2*100</f>
        <v>54.465219520155003</v>
      </c>
      <c r="E23">
        <f t="shared" si="1"/>
        <v>14.034549675111183</v>
      </c>
      <c r="F23">
        <f t="shared" si="1"/>
        <v>1.4143373439699383</v>
      </c>
      <c r="G23">
        <f t="shared" si="1"/>
        <v>0.8441545712713513</v>
      </c>
      <c r="H23">
        <f t="shared" si="1"/>
        <v>5.2064425366308376</v>
      </c>
      <c r="I23">
        <f t="shared" si="1"/>
        <v>1.5514693058841795E-4</v>
      </c>
      <c r="J23">
        <f t="shared" si="1"/>
        <v>4.7238814094614209E-2</v>
      </c>
      <c r="K23">
        <f t="shared" si="1"/>
        <v>0.15146403962843658</v>
      </c>
      <c r="L23">
        <f t="shared" si="0"/>
        <v>78.301657765165103</v>
      </c>
      <c r="M23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hydrogenBAU</vt:lpstr>
      <vt:lpstr>hydrogenBlue</vt:lpstr>
      <vt:lpstr>hydrogenBAUWOElec</vt:lpstr>
      <vt:lpstr>hydrogenBlueWOElec</vt:lpstr>
      <vt:lpstr>hydrogenWind</vt:lpstr>
      <vt:lpstr>hydrogenSolar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2023-09-14T15:22:50Z</dcterms:created>
  <dcterms:modified xsi:type="dcterms:W3CDTF">2023-11-03T10:21:15Z</dcterms:modified>
</cp:coreProperties>
</file>