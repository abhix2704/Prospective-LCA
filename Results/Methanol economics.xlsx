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"/>
    </mc:Choice>
  </mc:AlternateContent>
  <xr:revisionPtr revIDLastSave="0" documentId="13_ncr:1_{FD44A3C1-41A2-4CFA-B74F-03E4639270E8}" xr6:coauthVersionLast="36" xr6:coauthVersionMax="36" xr10:uidLastSave="{00000000-0000-0000-0000-000000000000}"/>
  <bookViews>
    <workbookView xWindow="0" yWindow="0" windowWidth="28800" windowHeight="14025" xr2:uid="{741FF5BF-5CBD-4A41-8A6D-60044BC89C80}"/>
  </bookViews>
  <sheets>
    <sheet name="2020" sheetId="1" r:id="rId1"/>
    <sheet name="2030" sheetId="5" r:id="rId2"/>
    <sheet name="2040" sheetId="6" r:id="rId3"/>
    <sheet name="2050" sheetId="7" r:id="rId4"/>
    <sheet name="Overall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7" l="1"/>
  <c r="P8" i="7"/>
  <c r="Q8" i="6"/>
  <c r="P8" i="6"/>
  <c r="Q8" i="5"/>
  <c r="P8" i="5"/>
  <c r="O8" i="5"/>
  <c r="Q8" i="1"/>
  <c r="P8" i="1"/>
  <c r="O8" i="6" l="1"/>
  <c r="O8" i="7"/>
  <c r="O8" i="1"/>
  <c r="O18" i="7"/>
  <c r="O17" i="7"/>
  <c r="O14" i="7"/>
  <c r="O13" i="7"/>
  <c r="O18" i="6"/>
  <c r="O17" i="6"/>
  <c r="O14" i="6"/>
  <c r="O13" i="6"/>
  <c r="O18" i="5"/>
  <c r="O17" i="5"/>
  <c r="O14" i="5"/>
  <c r="O13" i="5"/>
  <c r="O18" i="1" l="1"/>
  <c r="O17" i="1"/>
  <c r="O14" i="1"/>
  <c r="O13" i="1"/>
  <c r="D38" i="7" l="1"/>
  <c r="E38" i="7" s="1"/>
  <c r="F38" i="7" s="1"/>
  <c r="D50" i="7"/>
  <c r="E50" i="7" s="1"/>
  <c r="F50" i="7" s="1"/>
  <c r="D12" i="7"/>
  <c r="E12" i="7" s="1"/>
  <c r="F12" i="7" s="1"/>
  <c r="D24" i="7"/>
  <c r="E24" i="7" s="1"/>
  <c r="F24" i="7" s="1"/>
  <c r="D21" i="7"/>
  <c r="I7" i="8" s="1"/>
  <c r="D51" i="6"/>
  <c r="E51" i="6" s="1"/>
  <c r="F51" i="6" s="1"/>
  <c r="D50" i="6"/>
  <c r="E50" i="6" s="1"/>
  <c r="F50" i="6" s="1"/>
  <c r="D12" i="6"/>
  <c r="E12" i="6" s="1"/>
  <c r="F12" i="6" s="1"/>
  <c r="D24" i="6"/>
  <c r="E24" i="6" s="1"/>
  <c r="F24" i="6" s="1"/>
  <c r="D47" i="6"/>
  <c r="P7" i="8" s="1"/>
  <c r="F49" i="7"/>
  <c r="E49" i="7"/>
  <c r="D49" i="7"/>
  <c r="Q9" i="8" s="1"/>
  <c r="F48" i="7"/>
  <c r="E48" i="7"/>
  <c r="D48" i="7"/>
  <c r="Q8" i="8" s="1"/>
  <c r="F47" i="7"/>
  <c r="E47" i="7"/>
  <c r="F46" i="7"/>
  <c r="E46" i="7"/>
  <c r="D46" i="7"/>
  <c r="Q6" i="8" s="1"/>
  <c r="F45" i="7"/>
  <c r="E45" i="7"/>
  <c r="D45" i="7"/>
  <c r="Q5" i="8" s="1"/>
  <c r="F36" i="7"/>
  <c r="E36" i="7"/>
  <c r="D36" i="7"/>
  <c r="M9" i="8" s="1"/>
  <c r="F35" i="7"/>
  <c r="E35" i="7"/>
  <c r="D35" i="7"/>
  <c r="M8" i="8" s="1"/>
  <c r="F34" i="7"/>
  <c r="E34" i="7"/>
  <c r="F33" i="7"/>
  <c r="E33" i="7"/>
  <c r="D33" i="7"/>
  <c r="M6" i="8" s="1"/>
  <c r="F32" i="7"/>
  <c r="E32" i="7"/>
  <c r="D32" i="7"/>
  <c r="M5" i="8" s="1"/>
  <c r="F23" i="7"/>
  <c r="E23" i="7"/>
  <c r="D23" i="7"/>
  <c r="I9" i="8" s="1"/>
  <c r="F22" i="7"/>
  <c r="E22" i="7"/>
  <c r="D22" i="7"/>
  <c r="I8" i="8" s="1"/>
  <c r="F21" i="7"/>
  <c r="E21" i="7"/>
  <c r="F20" i="7"/>
  <c r="E20" i="7"/>
  <c r="D20" i="7"/>
  <c r="I6" i="8" s="1"/>
  <c r="F19" i="7"/>
  <c r="E19" i="7"/>
  <c r="D19" i="7"/>
  <c r="I5" i="8" s="1"/>
  <c r="F10" i="7"/>
  <c r="E10" i="7"/>
  <c r="D10" i="7"/>
  <c r="E9" i="8" s="1"/>
  <c r="F9" i="7"/>
  <c r="E9" i="7"/>
  <c r="D9" i="7"/>
  <c r="E8" i="8" s="1"/>
  <c r="F8" i="7"/>
  <c r="E8" i="7"/>
  <c r="F7" i="7"/>
  <c r="E7" i="7"/>
  <c r="D7" i="7"/>
  <c r="E6" i="8" s="1"/>
  <c r="F6" i="7"/>
  <c r="E6" i="7"/>
  <c r="D6" i="7"/>
  <c r="E5" i="8" s="1"/>
  <c r="Q5" i="7"/>
  <c r="F5" i="7" s="1"/>
  <c r="P5" i="7"/>
  <c r="E5" i="7" s="1"/>
  <c r="O5" i="7"/>
  <c r="D5" i="7" s="1"/>
  <c r="E4" i="8" s="1"/>
  <c r="Q4" i="7"/>
  <c r="F43" i="7" s="1"/>
  <c r="P4" i="7"/>
  <c r="E4" i="7" s="1"/>
  <c r="O4" i="7"/>
  <c r="D4" i="7" s="1"/>
  <c r="E3" i="8" s="1"/>
  <c r="Q3" i="7"/>
  <c r="F29" i="7" s="1"/>
  <c r="P3" i="7"/>
  <c r="E16" i="7" s="1"/>
  <c r="O3" i="7"/>
  <c r="D16" i="7" s="1"/>
  <c r="I2" i="8" s="1"/>
  <c r="F49" i="6"/>
  <c r="E49" i="6"/>
  <c r="D49" i="6"/>
  <c r="P9" i="8" s="1"/>
  <c r="F48" i="6"/>
  <c r="E48" i="6"/>
  <c r="D48" i="6"/>
  <c r="P8" i="8" s="1"/>
  <c r="F47" i="6"/>
  <c r="E47" i="6"/>
  <c r="F46" i="6"/>
  <c r="E46" i="6"/>
  <c r="D46" i="6"/>
  <c r="P6" i="8" s="1"/>
  <c r="F45" i="6"/>
  <c r="E45" i="6"/>
  <c r="D45" i="6"/>
  <c r="P5" i="8" s="1"/>
  <c r="F36" i="6"/>
  <c r="E36" i="6"/>
  <c r="D36" i="6"/>
  <c r="L9" i="8" s="1"/>
  <c r="F35" i="6"/>
  <c r="E35" i="6"/>
  <c r="D35" i="6"/>
  <c r="L8" i="8" s="1"/>
  <c r="F34" i="6"/>
  <c r="E34" i="6"/>
  <c r="F33" i="6"/>
  <c r="E33" i="6"/>
  <c r="D33" i="6"/>
  <c r="L6" i="8" s="1"/>
  <c r="F32" i="6"/>
  <c r="E32" i="6"/>
  <c r="D32" i="6"/>
  <c r="L5" i="8" s="1"/>
  <c r="F23" i="6"/>
  <c r="E23" i="6"/>
  <c r="D23" i="6"/>
  <c r="H9" i="8" s="1"/>
  <c r="F22" i="6"/>
  <c r="E22" i="6"/>
  <c r="D22" i="6"/>
  <c r="H8" i="8" s="1"/>
  <c r="F21" i="6"/>
  <c r="E21" i="6"/>
  <c r="F20" i="6"/>
  <c r="E20" i="6"/>
  <c r="D20" i="6"/>
  <c r="H6" i="8" s="1"/>
  <c r="F19" i="6"/>
  <c r="E19" i="6"/>
  <c r="D19" i="6"/>
  <c r="H5" i="8" s="1"/>
  <c r="F10" i="6"/>
  <c r="E10" i="6"/>
  <c r="D10" i="6"/>
  <c r="D9" i="8" s="1"/>
  <c r="F9" i="6"/>
  <c r="E9" i="6"/>
  <c r="D9" i="6"/>
  <c r="D8" i="8" s="1"/>
  <c r="F8" i="6"/>
  <c r="E8" i="6"/>
  <c r="F7" i="6"/>
  <c r="E7" i="6"/>
  <c r="D7" i="6"/>
  <c r="D6" i="8" s="1"/>
  <c r="F6" i="6"/>
  <c r="E6" i="6"/>
  <c r="D6" i="6"/>
  <c r="D5" i="8" s="1"/>
  <c r="Q5" i="6"/>
  <c r="F18" i="6" s="1"/>
  <c r="P5" i="6"/>
  <c r="E31" i="6" s="1"/>
  <c r="O5" i="6"/>
  <c r="D5" i="6" s="1"/>
  <c r="D4" i="8" s="1"/>
  <c r="Q4" i="6"/>
  <c r="F4" i="6" s="1"/>
  <c r="P4" i="6"/>
  <c r="E43" i="6" s="1"/>
  <c r="O4" i="6"/>
  <c r="D43" i="6" s="1"/>
  <c r="P3" i="8" s="1"/>
  <c r="Q3" i="6"/>
  <c r="F16" i="6" s="1"/>
  <c r="P3" i="6"/>
  <c r="E42" i="6" s="1"/>
  <c r="O3" i="6"/>
  <c r="D29" i="6" s="1"/>
  <c r="L2" i="8" s="1"/>
  <c r="Q5" i="5"/>
  <c r="F44" i="5" s="1"/>
  <c r="O5" i="5"/>
  <c r="D44" i="5" s="1"/>
  <c r="O4" i="8" s="1"/>
  <c r="D21" i="5"/>
  <c r="G7" i="8" s="1"/>
  <c r="D51" i="5"/>
  <c r="E51" i="5" s="1"/>
  <c r="F51" i="5" s="1"/>
  <c r="D50" i="5"/>
  <c r="E50" i="5" s="1"/>
  <c r="F50" i="5" s="1"/>
  <c r="D12" i="5"/>
  <c r="E12" i="5" s="1"/>
  <c r="F12" i="5" s="1"/>
  <c r="D11" i="5"/>
  <c r="E11" i="5" s="1"/>
  <c r="F11" i="5" s="1"/>
  <c r="Q4" i="5"/>
  <c r="F4" i="5" s="1"/>
  <c r="P4" i="5"/>
  <c r="E30" i="5" s="1"/>
  <c r="Q3" i="5"/>
  <c r="F3" i="5" s="1"/>
  <c r="O4" i="5"/>
  <c r="D43" i="5" s="1"/>
  <c r="O3" i="8" s="1"/>
  <c r="O3" i="5"/>
  <c r="D3" i="5" s="1"/>
  <c r="C2" i="8" s="1"/>
  <c r="F49" i="5"/>
  <c r="E49" i="5"/>
  <c r="D49" i="5"/>
  <c r="O9" i="8" s="1"/>
  <c r="F48" i="5"/>
  <c r="E48" i="5"/>
  <c r="D48" i="5"/>
  <c r="O8" i="8" s="1"/>
  <c r="F47" i="5"/>
  <c r="E47" i="5"/>
  <c r="F46" i="5"/>
  <c r="E46" i="5"/>
  <c r="D46" i="5"/>
  <c r="O6" i="8" s="1"/>
  <c r="F45" i="5"/>
  <c r="E45" i="5"/>
  <c r="D45" i="5"/>
  <c r="O5" i="8" s="1"/>
  <c r="F36" i="5"/>
  <c r="E36" i="5"/>
  <c r="D36" i="5"/>
  <c r="K9" i="8" s="1"/>
  <c r="F35" i="5"/>
  <c r="E35" i="5"/>
  <c r="D35" i="5"/>
  <c r="K8" i="8" s="1"/>
  <c r="F34" i="5"/>
  <c r="E34" i="5"/>
  <c r="F33" i="5"/>
  <c r="E33" i="5"/>
  <c r="D33" i="5"/>
  <c r="K6" i="8" s="1"/>
  <c r="F32" i="5"/>
  <c r="E32" i="5"/>
  <c r="D32" i="5"/>
  <c r="K5" i="8" s="1"/>
  <c r="F23" i="5"/>
  <c r="E23" i="5"/>
  <c r="D23" i="5"/>
  <c r="G9" i="8" s="1"/>
  <c r="F22" i="5"/>
  <c r="E22" i="5"/>
  <c r="D22" i="5"/>
  <c r="G8" i="8" s="1"/>
  <c r="F21" i="5"/>
  <c r="E21" i="5"/>
  <c r="F20" i="5"/>
  <c r="E20" i="5"/>
  <c r="D20" i="5"/>
  <c r="G6" i="8" s="1"/>
  <c r="F19" i="5"/>
  <c r="E19" i="5"/>
  <c r="D19" i="5"/>
  <c r="G5" i="8" s="1"/>
  <c r="F10" i="5"/>
  <c r="E10" i="5"/>
  <c r="D10" i="5"/>
  <c r="C9" i="8" s="1"/>
  <c r="F9" i="5"/>
  <c r="E9" i="5"/>
  <c r="D9" i="5"/>
  <c r="C8" i="8" s="1"/>
  <c r="F8" i="5"/>
  <c r="E8" i="5"/>
  <c r="F7" i="5"/>
  <c r="E7" i="5"/>
  <c r="D7" i="5"/>
  <c r="C6" i="8" s="1"/>
  <c r="F6" i="5"/>
  <c r="E6" i="5"/>
  <c r="D6" i="5"/>
  <c r="C5" i="8" s="1"/>
  <c r="P5" i="5"/>
  <c r="E44" i="5" s="1"/>
  <c r="P3" i="5"/>
  <c r="E42" i="5" s="1"/>
  <c r="D51" i="1"/>
  <c r="E51" i="1" s="1"/>
  <c r="F51" i="1" s="1"/>
  <c r="D50" i="1"/>
  <c r="E50" i="1" s="1"/>
  <c r="F50" i="1" s="1"/>
  <c r="D38" i="1"/>
  <c r="E38" i="1" s="1"/>
  <c r="F38" i="1" s="1"/>
  <c r="D37" i="1"/>
  <c r="E37" i="1" s="1"/>
  <c r="F37" i="1" s="1"/>
  <c r="D25" i="1"/>
  <c r="E25" i="1" s="1"/>
  <c r="F25" i="1" s="1"/>
  <c r="D24" i="1"/>
  <c r="E24" i="1" s="1"/>
  <c r="F24" i="1" s="1"/>
  <c r="D12" i="1"/>
  <c r="E12" i="1" s="1"/>
  <c r="F12" i="1" s="1"/>
  <c r="D11" i="1"/>
  <c r="E11" i="1" s="1"/>
  <c r="F11" i="1" s="1"/>
  <c r="D34" i="1"/>
  <c r="J7" i="8" s="1"/>
  <c r="F46" i="1"/>
  <c r="E46" i="1"/>
  <c r="D46" i="1"/>
  <c r="N6" i="8" s="1"/>
  <c r="F33" i="1"/>
  <c r="E33" i="1"/>
  <c r="D33" i="1"/>
  <c r="J6" i="8" s="1"/>
  <c r="F20" i="1"/>
  <c r="E20" i="1"/>
  <c r="D20" i="1"/>
  <c r="F6" i="8" s="1"/>
  <c r="F7" i="1"/>
  <c r="E7" i="1"/>
  <c r="D7" i="1"/>
  <c r="B6" i="8" s="1"/>
  <c r="F10" i="1"/>
  <c r="D49" i="1"/>
  <c r="N9" i="8" s="1"/>
  <c r="E48" i="1"/>
  <c r="D9" i="1"/>
  <c r="B8" i="8" s="1"/>
  <c r="Q5" i="1"/>
  <c r="F44" i="1" s="1"/>
  <c r="P5" i="1"/>
  <c r="E18" i="1" s="1"/>
  <c r="O5" i="1"/>
  <c r="D44" i="1" s="1"/>
  <c r="N4" i="8" s="1"/>
  <c r="D45" i="1"/>
  <c r="N5" i="8" s="1"/>
  <c r="E45" i="1"/>
  <c r="F45" i="1"/>
  <c r="E47" i="1"/>
  <c r="F47" i="1"/>
  <c r="D48" i="1"/>
  <c r="N8" i="8" s="1"/>
  <c r="F48" i="1"/>
  <c r="E49" i="1"/>
  <c r="D32" i="1"/>
  <c r="E32" i="1"/>
  <c r="F32" i="1"/>
  <c r="E34" i="1"/>
  <c r="F34" i="1"/>
  <c r="D35" i="1"/>
  <c r="J8" i="8" s="1"/>
  <c r="E35" i="1"/>
  <c r="F35" i="1"/>
  <c r="D36" i="1"/>
  <c r="J9" i="8" s="1"/>
  <c r="E36" i="1"/>
  <c r="D19" i="1"/>
  <c r="F5" i="8" s="1"/>
  <c r="E19" i="1"/>
  <c r="F19" i="1"/>
  <c r="E21" i="1"/>
  <c r="F21" i="1"/>
  <c r="E22" i="1"/>
  <c r="F22" i="1"/>
  <c r="D23" i="1"/>
  <c r="F9" i="8" s="1"/>
  <c r="E23" i="1"/>
  <c r="F23" i="1"/>
  <c r="E10" i="1"/>
  <c r="F9" i="1"/>
  <c r="E9" i="1"/>
  <c r="F8" i="1"/>
  <c r="E8" i="1"/>
  <c r="F6" i="1"/>
  <c r="E6" i="1"/>
  <c r="D6" i="1"/>
  <c r="B5" i="8" s="1"/>
  <c r="Q4" i="1"/>
  <c r="F4" i="1" s="1"/>
  <c r="P4" i="1"/>
  <c r="E43" i="1" s="1"/>
  <c r="Q3" i="1"/>
  <c r="F29" i="1" s="1"/>
  <c r="O4" i="1"/>
  <c r="D43" i="1" s="1"/>
  <c r="N3" i="8" s="1"/>
  <c r="P3" i="1"/>
  <c r="E42" i="1" s="1"/>
  <c r="O3" i="1"/>
  <c r="D3" i="1" s="1"/>
  <c r="B2" i="8" s="1"/>
  <c r="J5" i="8" l="1"/>
  <c r="P11" i="8"/>
  <c r="J11" i="8"/>
  <c r="J10" i="8"/>
  <c r="F10" i="8"/>
  <c r="H10" i="8"/>
  <c r="D25" i="6"/>
  <c r="N11" i="8"/>
  <c r="B11" i="8"/>
  <c r="N10" i="8"/>
  <c r="D11" i="8"/>
  <c r="F11" i="8"/>
  <c r="D4" i="6"/>
  <c r="D3" i="8" s="1"/>
  <c r="D3" i="7"/>
  <c r="E2" i="8" s="1"/>
  <c r="C10" i="8"/>
  <c r="O10" i="8"/>
  <c r="C11" i="8"/>
  <c r="E11" i="8"/>
  <c r="O11" i="8"/>
  <c r="B10" i="8"/>
  <c r="F4" i="7"/>
  <c r="P10" i="8"/>
  <c r="I10" i="8"/>
  <c r="Q10" i="8"/>
  <c r="M11" i="8"/>
  <c r="E3" i="6"/>
  <c r="E29" i="6"/>
  <c r="D11" i="6"/>
  <c r="D29" i="7"/>
  <c r="M2" i="8" s="1"/>
  <c r="F17" i="6"/>
  <c r="E5" i="6"/>
  <c r="E4" i="6"/>
  <c r="E3" i="5"/>
  <c r="D34" i="6"/>
  <c r="L7" i="8" s="1"/>
  <c r="D16" i="6"/>
  <c r="H2" i="8" s="1"/>
  <c r="D37" i="7"/>
  <c r="D17" i="6"/>
  <c r="H3" i="8" s="1"/>
  <c r="E29" i="7"/>
  <c r="E44" i="7"/>
  <c r="D3" i="6"/>
  <c r="D2" i="8" s="1"/>
  <c r="E17" i="6"/>
  <c r="F44" i="7"/>
  <c r="D51" i="7"/>
  <c r="E30" i="6"/>
  <c r="D42" i="6"/>
  <c r="P2" i="8" s="1"/>
  <c r="F43" i="6"/>
  <c r="F5" i="6"/>
  <c r="F29" i="6"/>
  <c r="D30" i="6"/>
  <c r="L3" i="8" s="1"/>
  <c r="F42" i="6"/>
  <c r="D21" i="6"/>
  <c r="H7" i="8" s="1"/>
  <c r="E18" i="7"/>
  <c r="F3" i="6"/>
  <c r="E3" i="7"/>
  <c r="F31" i="7"/>
  <c r="E16" i="6"/>
  <c r="D8" i="7"/>
  <c r="E7" i="8" s="1"/>
  <c r="D42" i="7"/>
  <c r="Q2" i="8" s="1"/>
  <c r="E42" i="7"/>
  <c r="D8" i="6"/>
  <c r="D7" i="8" s="1"/>
  <c r="F16" i="7"/>
  <c r="D34" i="7"/>
  <c r="M7" i="8" s="1"/>
  <c r="D17" i="7"/>
  <c r="I3" i="8" s="1"/>
  <c r="D47" i="7"/>
  <c r="Q7" i="8" s="1"/>
  <c r="F3" i="7"/>
  <c r="D11" i="7"/>
  <c r="D30" i="7"/>
  <c r="M3" i="8" s="1"/>
  <c r="F42" i="7"/>
  <c r="D25" i="7"/>
  <c r="E17" i="7"/>
  <c r="F17" i="7"/>
  <c r="D18" i="7"/>
  <c r="I4" i="8" s="1"/>
  <c r="E30" i="7"/>
  <c r="D43" i="7"/>
  <c r="Q3" i="8" s="1"/>
  <c r="F30" i="7"/>
  <c r="F18" i="7"/>
  <c r="D31" i="7"/>
  <c r="M4" i="8" s="1"/>
  <c r="E43" i="7"/>
  <c r="E31" i="7"/>
  <c r="D44" i="7"/>
  <c r="Q4" i="8" s="1"/>
  <c r="D18" i="6"/>
  <c r="H4" i="8" s="1"/>
  <c r="E18" i="6"/>
  <c r="F30" i="6"/>
  <c r="F31" i="6"/>
  <c r="D37" i="6"/>
  <c r="E44" i="6"/>
  <c r="E41" i="6" s="1"/>
  <c r="P12" i="8" s="1"/>
  <c r="F44" i="6"/>
  <c r="D44" i="6"/>
  <c r="P4" i="8" s="1"/>
  <c r="D31" i="6"/>
  <c r="L4" i="8" s="1"/>
  <c r="D38" i="6"/>
  <c r="D37" i="5"/>
  <c r="F5" i="5"/>
  <c r="F2" i="5" s="1"/>
  <c r="C13" i="8" s="1"/>
  <c r="D25" i="5"/>
  <c r="D38" i="5"/>
  <c r="D24" i="5"/>
  <c r="E16" i="5"/>
  <c r="D4" i="5"/>
  <c r="C3" i="8" s="1"/>
  <c r="D17" i="5"/>
  <c r="G3" i="8" s="1"/>
  <c r="E4" i="5"/>
  <c r="E17" i="5"/>
  <c r="D29" i="5"/>
  <c r="K2" i="8" s="1"/>
  <c r="F16" i="5"/>
  <c r="E29" i="5"/>
  <c r="D5" i="5"/>
  <c r="C4" i="8" s="1"/>
  <c r="F29" i="5"/>
  <c r="D16" i="5"/>
  <c r="G2" i="8" s="1"/>
  <c r="E5" i="5"/>
  <c r="D30" i="5"/>
  <c r="K3" i="8" s="1"/>
  <c r="D42" i="5"/>
  <c r="O2" i="8" s="1"/>
  <c r="E43" i="5"/>
  <c r="E41" i="5" s="1"/>
  <c r="O12" i="8" s="1"/>
  <c r="F42" i="5"/>
  <c r="D47" i="5"/>
  <c r="O7" i="8" s="1"/>
  <c r="F17" i="5"/>
  <c r="D18" i="5"/>
  <c r="G4" i="8" s="1"/>
  <c r="E18" i="5"/>
  <c r="D31" i="5"/>
  <c r="K4" i="8" s="1"/>
  <c r="F43" i="5"/>
  <c r="F18" i="5"/>
  <c r="E31" i="5"/>
  <c r="D34" i="5"/>
  <c r="K7" i="8" s="1"/>
  <c r="F31" i="5"/>
  <c r="F30" i="5"/>
  <c r="D8" i="5"/>
  <c r="C7" i="8" s="1"/>
  <c r="D21" i="1"/>
  <c r="F7" i="8" s="1"/>
  <c r="D8" i="1"/>
  <c r="B7" i="8" s="1"/>
  <c r="D47" i="1"/>
  <c r="N7" i="8" s="1"/>
  <c r="E44" i="1"/>
  <c r="E41" i="1" s="1"/>
  <c r="N12" i="8" s="1"/>
  <c r="D5" i="1"/>
  <c r="B4" i="8" s="1"/>
  <c r="E31" i="1"/>
  <c r="E5" i="1"/>
  <c r="D18" i="1"/>
  <c r="F4" i="8" s="1"/>
  <c r="D22" i="1"/>
  <c r="F8" i="8" s="1"/>
  <c r="F49" i="1"/>
  <c r="D10" i="1"/>
  <c r="B9" i="8" s="1"/>
  <c r="F36" i="1"/>
  <c r="F3" i="1"/>
  <c r="D4" i="1"/>
  <c r="B3" i="8" s="1"/>
  <c r="F18" i="1"/>
  <c r="E4" i="1"/>
  <c r="D16" i="1"/>
  <c r="F2" i="8" s="1"/>
  <c r="F31" i="1"/>
  <c r="F16" i="1"/>
  <c r="E16" i="1"/>
  <c r="D31" i="1"/>
  <c r="J4" i="8" s="1"/>
  <c r="F5" i="1"/>
  <c r="E17" i="1"/>
  <c r="D42" i="1"/>
  <c r="N2" i="8" s="1"/>
  <c r="F17" i="1"/>
  <c r="F42" i="1"/>
  <c r="D17" i="1"/>
  <c r="F3" i="8" s="1"/>
  <c r="D29" i="1"/>
  <c r="J2" i="8" s="1"/>
  <c r="F30" i="1"/>
  <c r="E30" i="1"/>
  <c r="E29" i="1"/>
  <c r="E3" i="1"/>
  <c r="D30" i="1"/>
  <c r="J3" i="8" s="1"/>
  <c r="F43" i="1"/>
  <c r="D28" i="1" l="1"/>
  <c r="E25" i="6"/>
  <c r="F25" i="6" s="1"/>
  <c r="F15" i="6" s="1"/>
  <c r="H13" i="8" s="1"/>
  <c r="H11" i="8"/>
  <c r="E37" i="5"/>
  <c r="F37" i="5" s="1"/>
  <c r="K10" i="8"/>
  <c r="E38" i="6"/>
  <c r="F38" i="6" s="1"/>
  <c r="L11" i="8"/>
  <c r="E51" i="7"/>
  <c r="F51" i="7" s="1"/>
  <c r="F41" i="7" s="1"/>
  <c r="Q13" i="8" s="1"/>
  <c r="Q11" i="8"/>
  <c r="E25" i="5"/>
  <c r="F25" i="5" s="1"/>
  <c r="G11" i="8"/>
  <c r="E11" i="6"/>
  <c r="F11" i="6" s="1"/>
  <c r="F2" i="6" s="1"/>
  <c r="D13" i="8" s="1"/>
  <c r="D10" i="8"/>
  <c r="E37" i="6"/>
  <c r="F37" i="6" s="1"/>
  <c r="L10" i="8"/>
  <c r="E25" i="7"/>
  <c r="F25" i="7" s="1"/>
  <c r="F15" i="7" s="1"/>
  <c r="I13" i="8" s="1"/>
  <c r="I11" i="8"/>
  <c r="E37" i="7"/>
  <c r="F37" i="7" s="1"/>
  <c r="F28" i="7" s="1"/>
  <c r="M13" i="8" s="1"/>
  <c r="M10" i="8"/>
  <c r="E11" i="7"/>
  <c r="F11" i="7" s="1"/>
  <c r="F2" i="7" s="1"/>
  <c r="E13" i="8" s="1"/>
  <c r="E10" i="8"/>
  <c r="E24" i="5"/>
  <c r="F24" i="5" s="1"/>
  <c r="G10" i="8"/>
  <c r="E38" i="5"/>
  <c r="F38" i="5" s="1"/>
  <c r="K11" i="8"/>
  <c r="D41" i="6"/>
  <c r="D2" i="6"/>
  <c r="D15" i="6"/>
  <c r="D28" i="7"/>
  <c r="F41" i="6"/>
  <c r="P13" i="8" s="1"/>
  <c r="D41" i="7"/>
  <c r="D15" i="7"/>
  <c r="D2" i="7"/>
  <c r="D28" i="6"/>
  <c r="E2" i="5"/>
  <c r="C12" i="8" s="1"/>
  <c r="D28" i="5"/>
  <c r="D2" i="5"/>
  <c r="F28" i="1"/>
  <c r="J13" i="8" s="1"/>
  <c r="D41" i="5"/>
  <c r="F41" i="5"/>
  <c r="O13" i="8" s="1"/>
  <c r="D15" i="5"/>
  <c r="F41" i="1"/>
  <c r="N13" i="8" s="1"/>
  <c r="D41" i="1"/>
  <c r="E15" i="1"/>
  <c r="F12" i="8" s="1"/>
  <c r="F15" i="1"/>
  <c r="F13" i="8" s="1"/>
  <c r="D15" i="1"/>
  <c r="E28" i="1"/>
  <c r="J12" i="8" s="1"/>
  <c r="E2" i="1"/>
  <c r="B12" i="8" s="1"/>
  <c r="F2" i="1"/>
  <c r="B13" i="8" s="1"/>
  <c r="D2" i="1"/>
  <c r="F28" i="6" l="1"/>
  <c r="L13" i="8" s="1"/>
  <c r="F15" i="5"/>
  <c r="G13" i="8" s="1"/>
  <c r="E15" i="6"/>
  <c r="H12" i="8" s="1"/>
  <c r="E41" i="7"/>
  <c r="Q12" i="8" s="1"/>
  <c r="E28" i="5"/>
  <c r="K12" i="8" s="1"/>
  <c r="F28" i="5"/>
  <c r="K13" i="8" s="1"/>
  <c r="E28" i="6"/>
  <c r="L12" i="8" s="1"/>
  <c r="E2" i="7"/>
  <c r="E12" i="8" s="1"/>
  <c r="E15" i="5"/>
  <c r="G12" i="8" s="1"/>
  <c r="E2" i="6"/>
  <c r="D12" i="8" s="1"/>
  <c r="E28" i="7"/>
  <c r="M12" i="8" s="1"/>
  <c r="E15" i="7"/>
  <c r="I12" i="8" s="1"/>
</calcChain>
</file>

<file path=xl/sharedStrings.xml><?xml version="1.0" encoding="utf-8"?>
<sst xmlns="http://schemas.openxmlformats.org/spreadsheetml/2006/main" count="600" uniqueCount="50">
  <si>
    <t>natural gas, feedstock</t>
  </si>
  <si>
    <t>natural gas, heating</t>
  </si>
  <si>
    <t>electricity, from grid</t>
  </si>
  <si>
    <t>kilogram</t>
  </si>
  <si>
    <t>cubic meter</t>
  </si>
  <si>
    <t>kilowatt hour</t>
  </si>
  <si>
    <t>megajoule</t>
  </si>
  <si>
    <t>CAPEX contribution</t>
  </si>
  <si>
    <t>Fixed costs contribution</t>
  </si>
  <si>
    <t>Price</t>
  </si>
  <si>
    <t>Prices</t>
  </si>
  <si>
    <t>Category</t>
  </si>
  <si>
    <t>Low</t>
  </si>
  <si>
    <t>High</t>
  </si>
  <si>
    <t>USD per kg</t>
  </si>
  <si>
    <r>
      <t>USD per m</t>
    </r>
    <r>
      <rPr>
        <vertAlign val="superscript"/>
        <sz val="11"/>
        <color theme="1"/>
        <rFont val="Calibri"/>
        <family val="2"/>
        <scheme val="minor"/>
      </rPr>
      <t>3</t>
    </r>
  </si>
  <si>
    <t>USD per MJ</t>
  </si>
  <si>
    <t>Cost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</si>
  <si>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emissions, fossil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</si>
  <si>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emissions, biogenic</t>
    </r>
  </si>
  <si>
    <t>USD per kWh</t>
  </si>
  <si>
    <t>solar hydrogen, 25 bar</t>
  </si>
  <si>
    <t>wind hydrogen, 25 bar</t>
  </si>
  <si>
    <t>For fossil routes</t>
  </si>
  <si>
    <t>For green routes</t>
  </si>
  <si>
    <t>-</t>
  </si>
  <si>
    <t>Fossil 2030</t>
  </si>
  <si>
    <t>Fossil 2020</t>
  </si>
  <si>
    <t>Fossil 2040</t>
  </si>
  <si>
    <t>Fossil 2050</t>
  </si>
  <si>
    <t>Blue 2020</t>
  </si>
  <si>
    <t>Blue 2030</t>
  </si>
  <si>
    <t>Blue 2040</t>
  </si>
  <si>
    <t>Blue 2050</t>
  </si>
  <si>
    <t>Solar 2020</t>
  </si>
  <si>
    <t>Solar 2030</t>
  </si>
  <si>
    <t>Solar 2040</t>
  </si>
  <si>
    <t>Solar 2050</t>
  </si>
  <si>
    <t>Wind 2020</t>
  </si>
  <si>
    <t>Wind 2030</t>
  </si>
  <si>
    <t>Wind 2040</t>
  </si>
  <si>
    <t>Wind 2050</t>
  </si>
  <si>
    <t>methanol</t>
  </si>
  <si>
    <t>Fossil methanol</t>
  </si>
  <si>
    <t>USD2019 kg-1 methanol</t>
  </si>
  <si>
    <t>Blue methanol</t>
  </si>
  <si>
    <t>Solar methanol</t>
  </si>
  <si>
    <t>Wind methanol</t>
  </si>
  <si>
    <t>carbon dioxide gaseous</t>
  </si>
  <si>
    <r>
      <t>USD2019 kg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methanol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</si>
</sst>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3379-AAE6-44DB-9440-CE58FA411FEA}">
  <dimension ref="A1:R51"/>
  <sheetViews>
    <sheetView tabSelected="1" workbookViewId="0">
      <selection activeCell="O28" sqref="O28"/>
    </sheetView>
  </sheetViews>
  <sheetFormatPr defaultRowHeight="15" x14ac:dyDescent="0.25"/>
  <cols>
    <col min="1" max="1" width="22.5703125" style="5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18" x14ac:dyDescent="0.25">
      <c r="A1" s="6" t="s">
        <v>43</v>
      </c>
      <c r="B1" s="6"/>
      <c r="C1" s="6"/>
      <c r="D1" s="1" t="s">
        <v>17</v>
      </c>
      <c r="E1" s="1" t="s">
        <v>12</v>
      </c>
      <c r="F1" s="1" t="s">
        <v>13</v>
      </c>
      <c r="N1" s="6" t="s">
        <v>10</v>
      </c>
      <c r="O1" s="6"/>
      <c r="P1" s="6"/>
      <c r="Q1" s="6"/>
      <c r="R1" s="6"/>
    </row>
    <row r="2" spans="1:18" x14ac:dyDescent="0.25">
      <c r="A2" s="5" t="s">
        <v>42</v>
      </c>
      <c r="B2" s="4">
        <v>1</v>
      </c>
      <c r="C2" s="1" t="s">
        <v>3</v>
      </c>
      <c r="D2" s="4">
        <f>SUM(D3:D12)</f>
        <v>0.18006127907606934</v>
      </c>
      <c r="E2" s="4">
        <f t="shared" ref="E2:F2" si="0">SUM(E3:E12)</f>
        <v>0.13052289868226805</v>
      </c>
      <c r="F2" s="4">
        <f t="shared" si="0"/>
        <v>0.25748312288407949</v>
      </c>
      <c r="N2" s="1" t="s">
        <v>11</v>
      </c>
      <c r="O2" s="1" t="s">
        <v>9</v>
      </c>
      <c r="P2" s="1" t="s">
        <v>12</v>
      </c>
      <c r="Q2" s="1" t="s">
        <v>13</v>
      </c>
    </row>
    <row r="3" spans="1:18" ht="17.25" x14ac:dyDescent="0.25">
      <c r="A3" s="5" t="s">
        <v>0</v>
      </c>
      <c r="B3" s="4">
        <v>0.65178999999999998</v>
      </c>
      <c r="C3" s="3" t="s">
        <v>4</v>
      </c>
      <c r="D3" s="4">
        <f>$B3*O3</f>
        <v>7.3373147450400009E-2</v>
      </c>
      <c r="E3" s="4">
        <f>$B3*P3</f>
        <v>3.5754722597999999E-2</v>
      </c>
      <c r="F3" s="4">
        <f>$B3*Q3</f>
        <v>0.13260646692719996</v>
      </c>
      <c r="N3" t="s">
        <v>0</v>
      </c>
      <c r="O3" s="4">
        <f>144.88/1000*0.777</f>
        <v>0.11257176000000001</v>
      </c>
      <c r="P3" s="4">
        <f>70.6/1000*0.777</f>
        <v>5.4856200000000001E-2</v>
      </c>
      <c r="Q3" s="4">
        <f>261.84/1000*0.777</f>
        <v>0.20344967999999997</v>
      </c>
      <c r="R3" t="s">
        <v>15</v>
      </c>
    </row>
    <row r="4" spans="1:18" x14ac:dyDescent="0.25">
      <c r="A4" s="5" t="s">
        <v>1</v>
      </c>
      <c r="B4" s="4">
        <v>6.93</v>
      </c>
      <c r="C4" s="3" t="s">
        <v>6</v>
      </c>
      <c r="D4" s="4">
        <f t="shared" ref="D4:D6" si="1">$B4*O4</f>
        <v>2.1316738853503187E-2</v>
      </c>
      <c r="E4" s="4">
        <f t="shared" ref="E4:E6" si="2">$B4*P4</f>
        <v>1.0387643312101911E-2</v>
      </c>
      <c r="F4" s="4">
        <f t="shared" ref="F4:F6" si="3">$B4*Q4</f>
        <v>3.8525503184713372E-2</v>
      </c>
      <c r="N4" t="s">
        <v>1</v>
      </c>
      <c r="O4" s="4">
        <f>144.88/1000/47.1</f>
        <v>3.0760084925690024E-3</v>
      </c>
      <c r="P4" s="4">
        <f>70.6/1000/47.1</f>
        <v>1.4989384288747346E-3</v>
      </c>
      <c r="Q4" s="4">
        <f>261.84/1000/47.1</f>
        <v>5.5592356687898083E-3</v>
      </c>
      <c r="R4" t="s">
        <v>16</v>
      </c>
    </row>
    <row r="5" spans="1:18" x14ac:dyDescent="0.25">
      <c r="A5" s="5" t="s">
        <v>2</v>
      </c>
      <c r="B5" s="4">
        <v>7.3999999999999996E-2</v>
      </c>
      <c r="C5" s="1" t="s">
        <v>5</v>
      </c>
      <c r="D5" s="4">
        <f t="shared" si="1"/>
        <v>2.2525599999999998E-3</v>
      </c>
      <c r="E5" s="4">
        <f t="shared" si="2"/>
        <v>1.2616999999999999E-3</v>
      </c>
      <c r="F5" s="4">
        <f t="shared" si="3"/>
        <v>3.2323199999999995E-3</v>
      </c>
      <c r="N5" t="s">
        <v>2</v>
      </c>
      <c r="O5" s="4">
        <f>30.44/1000</f>
        <v>3.0440000000000002E-2</v>
      </c>
      <c r="P5" s="4">
        <f>17.05/1000</f>
        <v>1.7049999999999999E-2</v>
      </c>
      <c r="Q5" s="4">
        <f>43.68/1000</f>
        <v>4.3679999999999997E-2</v>
      </c>
      <c r="R5" t="s">
        <v>20</v>
      </c>
    </row>
    <row r="6" spans="1:18" x14ac:dyDescent="0.25">
      <c r="A6" s="5" t="s">
        <v>21</v>
      </c>
      <c r="B6" s="4">
        <v>0</v>
      </c>
      <c r="C6" s="1" t="s">
        <v>3</v>
      </c>
      <c r="D6" s="4">
        <f t="shared" si="1"/>
        <v>0</v>
      </c>
      <c r="E6" s="4">
        <f t="shared" si="2"/>
        <v>0</v>
      </c>
      <c r="F6" s="4">
        <f t="shared" si="3"/>
        <v>0</v>
      </c>
      <c r="N6" t="s">
        <v>21</v>
      </c>
      <c r="O6" s="4">
        <v>3.2</v>
      </c>
      <c r="P6" s="4">
        <v>2.7</v>
      </c>
      <c r="Q6" s="4">
        <v>4</v>
      </c>
      <c r="R6" t="s">
        <v>14</v>
      </c>
    </row>
    <row r="7" spans="1:18" x14ac:dyDescent="0.25">
      <c r="A7" s="5" t="s">
        <v>22</v>
      </c>
      <c r="B7" s="4">
        <v>0</v>
      </c>
      <c r="C7" s="1" t="s">
        <v>3</v>
      </c>
      <c r="D7" s="4">
        <f t="shared" ref="D7" si="4">$B7*O7</f>
        <v>0</v>
      </c>
      <c r="E7" s="4">
        <f t="shared" ref="E7" si="5">$B7*P7</f>
        <v>0</v>
      </c>
      <c r="F7" s="4">
        <f t="shared" ref="F7" si="6">$B7*Q7</f>
        <v>0</v>
      </c>
      <c r="N7" t="s">
        <v>22</v>
      </c>
      <c r="O7" s="4">
        <v>3</v>
      </c>
      <c r="P7" s="4">
        <v>2.2000000000000002</v>
      </c>
      <c r="Q7" s="4">
        <v>4</v>
      </c>
      <c r="R7" t="s">
        <v>14</v>
      </c>
    </row>
    <row r="8" spans="1:18" x14ac:dyDescent="0.25">
      <c r="A8" s="5" t="s">
        <v>48</v>
      </c>
      <c r="B8" s="4">
        <v>0</v>
      </c>
      <c r="C8" s="1" t="s">
        <v>3</v>
      </c>
      <c r="D8" s="4">
        <f t="shared" ref="D8:F10" si="7">$B8*O8</f>
        <v>0</v>
      </c>
      <c r="E8" s="4">
        <f t="shared" si="7"/>
        <v>0</v>
      </c>
      <c r="F8" s="4">
        <f t="shared" si="7"/>
        <v>0</v>
      </c>
      <c r="N8" t="s">
        <v>48</v>
      </c>
      <c r="O8" s="4">
        <f>453/1000</f>
        <v>0.45300000000000001</v>
      </c>
      <c r="P8" s="4">
        <f t="shared" ref="P8:Q8" si="8">453/1000</f>
        <v>0.45300000000000001</v>
      </c>
      <c r="Q8" s="4">
        <f t="shared" si="8"/>
        <v>0.45300000000000001</v>
      </c>
      <c r="R8" t="s">
        <v>14</v>
      </c>
    </row>
    <row r="9" spans="1:18" ht="18" x14ac:dyDescent="0.35">
      <c r="A9" s="5" t="s">
        <v>18</v>
      </c>
      <c r="B9" s="4">
        <v>0</v>
      </c>
      <c r="C9" s="1" t="s">
        <v>3</v>
      </c>
      <c r="D9" s="4">
        <f t="shared" si="7"/>
        <v>0</v>
      </c>
      <c r="E9" s="4">
        <f t="shared" si="7"/>
        <v>0</v>
      </c>
      <c r="F9" s="4">
        <f t="shared" si="7"/>
        <v>0</v>
      </c>
      <c r="N9" t="s">
        <v>18</v>
      </c>
      <c r="O9" s="4">
        <v>0</v>
      </c>
      <c r="P9" s="4">
        <v>0</v>
      </c>
      <c r="Q9" s="4">
        <v>0</v>
      </c>
      <c r="R9" t="s">
        <v>14</v>
      </c>
    </row>
    <row r="10" spans="1:18" ht="18" x14ac:dyDescent="0.35">
      <c r="A10" s="5" t="s">
        <v>19</v>
      </c>
      <c r="B10" s="4">
        <v>0</v>
      </c>
      <c r="C10" s="1" t="s">
        <v>3</v>
      </c>
      <c r="D10" s="4">
        <f t="shared" si="7"/>
        <v>0</v>
      </c>
      <c r="E10" s="4">
        <f t="shared" si="7"/>
        <v>0</v>
      </c>
      <c r="F10" s="4">
        <f t="shared" si="7"/>
        <v>0</v>
      </c>
      <c r="N10" t="s">
        <v>19</v>
      </c>
      <c r="O10" s="4">
        <v>0</v>
      </c>
      <c r="P10" s="4">
        <v>0</v>
      </c>
      <c r="Q10" s="4">
        <v>0</v>
      </c>
      <c r="R10" t="s">
        <v>14</v>
      </c>
    </row>
    <row r="11" spans="1:18" x14ac:dyDescent="0.25">
      <c r="A11" s="5" t="s">
        <v>7</v>
      </c>
      <c r="B11" s="4" t="s">
        <v>25</v>
      </c>
      <c r="C11" s="4" t="s">
        <v>25</v>
      </c>
      <c r="D11" s="4">
        <f>O13</f>
        <v>5.4958353909465019E-2</v>
      </c>
      <c r="E11" s="4">
        <f>D11</f>
        <v>5.4958353909465019E-2</v>
      </c>
      <c r="F11" s="4">
        <f>E11</f>
        <v>5.4958353909465019E-2</v>
      </c>
      <c r="O11" s="4"/>
      <c r="P11" s="4"/>
      <c r="Q11" s="4"/>
    </row>
    <row r="12" spans="1:18" x14ac:dyDescent="0.25">
      <c r="A12" s="5" t="s">
        <v>8</v>
      </c>
      <c r="B12" s="1" t="s">
        <v>25</v>
      </c>
      <c r="C12" s="4" t="s">
        <v>25</v>
      </c>
      <c r="D12" s="4">
        <f>O14</f>
        <v>2.8160478862701125E-2</v>
      </c>
      <c r="E12" s="4">
        <f>D12</f>
        <v>2.8160478862701125E-2</v>
      </c>
      <c r="F12" s="4">
        <f>E12</f>
        <v>2.8160478862701125E-2</v>
      </c>
      <c r="N12" s="6" t="s">
        <v>23</v>
      </c>
      <c r="O12" s="6"/>
      <c r="P12" s="6"/>
      <c r="Q12" s="6"/>
      <c r="R12" s="6"/>
    </row>
    <row r="13" spans="1:18" ht="17.25" x14ac:dyDescent="0.25">
      <c r="N13" s="1" t="s">
        <v>7</v>
      </c>
      <c r="O13" s="4">
        <f>0.056*596.2/607.5</f>
        <v>5.4958353909465019E-2</v>
      </c>
      <c r="P13" s="4">
        <v>0</v>
      </c>
      <c r="Q13" s="4">
        <v>0</v>
      </c>
      <c r="R13" s="1" t="s">
        <v>49</v>
      </c>
    </row>
    <row r="14" spans="1:18" ht="17.25" x14ac:dyDescent="0.25">
      <c r="A14" s="6" t="s">
        <v>45</v>
      </c>
      <c r="B14" s="6"/>
      <c r="C14" s="6"/>
      <c r="D14" s="1" t="s">
        <v>17</v>
      </c>
      <c r="E14" s="1" t="s">
        <v>12</v>
      </c>
      <c r="F14" s="1" t="s">
        <v>13</v>
      </c>
      <c r="N14" s="1" t="s">
        <v>8</v>
      </c>
      <c r="O14" s="4">
        <f>0.0286942148760331*596.2/607.5</f>
        <v>2.8160478862701125E-2</v>
      </c>
      <c r="P14" s="4">
        <v>0</v>
      </c>
      <c r="Q14" s="4">
        <v>0</v>
      </c>
      <c r="R14" s="2" t="s">
        <v>49</v>
      </c>
    </row>
    <row r="15" spans="1:18" x14ac:dyDescent="0.25">
      <c r="A15" s="5" t="s">
        <v>42</v>
      </c>
      <c r="B15" s="4">
        <v>1</v>
      </c>
      <c r="C15" s="1" t="s">
        <v>3</v>
      </c>
      <c r="D15" s="4">
        <f>SUM(D16:D25)</f>
        <v>0.18502299907606934</v>
      </c>
      <c r="E15" s="4">
        <f t="shared" ref="E15" si="9">SUM(E16:E25)</f>
        <v>0.13330204868226805</v>
      </c>
      <c r="F15" s="4">
        <f t="shared" ref="F15" si="10">SUM(F16:F25)</f>
        <v>0.26460296288407947</v>
      </c>
      <c r="N15" s="1"/>
      <c r="O15" s="1"/>
      <c r="P15" s="1"/>
      <c r="Q15" s="1"/>
    </row>
    <row r="16" spans="1:18" x14ac:dyDescent="0.25">
      <c r="A16" s="5" t="s">
        <v>0</v>
      </c>
      <c r="B16" s="4">
        <v>0.65178999999999998</v>
      </c>
      <c r="C16" s="3" t="s">
        <v>4</v>
      </c>
      <c r="D16" s="4">
        <f t="shared" ref="D16:F23" si="11">$B16*O3</f>
        <v>7.3373147450400009E-2</v>
      </c>
      <c r="E16" s="4">
        <f t="shared" si="11"/>
        <v>3.5754722597999999E-2</v>
      </c>
      <c r="F16" s="4">
        <f t="shared" si="11"/>
        <v>0.13260646692719996</v>
      </c>
      <c r="N16" s="6" t="s">
        <v>24</v>
      </c>
      <c r="O16" s="6"/>
      <c r="P16" s="6"/>
      <c r="Q16" s="6"/>
      <c r="R16" s="6"/>
    </row>
    <row r="17" spans="1:18" ht="17.25" x14ac:dyDescent="0.25">
      <c r="A17" s="5" t="s">
        <v>1</v>
      </c>
      <c r="B17" s="4">
        <v>6.93</v>
      </c>
      <c r="C17" s="3" t="s">
        <v>4</v>
      </c>
      <c r="D17" s="4">
        <f t="shared" si="11"/>
        <v>2.1316738853503187E-2</v>
      </c>
      <c r="E17" s="4">
        <f t="shared" si="11"/>
        <v>1.0387643312101911E-2</v>
      </c>
      <c r="F17" s="4">
        <f t="shared" si="11"/>
        <v>3.8525503184713372E-2</v>
      </c>
      <c r="N17" s="1" t="s">
        <v>7</v>
      </c>
      <c r="O17" s="4">
        <f>0.092*596.2/607.5</f>
        <v>9.0288724279835392E-2</v>
      </c>
      <c r="P17" s="4">
        <v>0</v>
      </c>
      <c r="Q17" s="4">
        <v>0</v>
      </c>
      <c r="R17" s="2" t="s">
        <v>49</v>
      </c>
    </row>
    <row r="18" spans="1:18" ht="17.25" x14ac:dyDescent="0.25">
      <c r="A18" s="5" t="s">
        <v>2</v>
      </c>
      <c r="B18" s="4">
        <v>0.23699999999999999</v>
      </c>
      <c r="C18" s="1" t="s">
        <v>5</v>
      </c>
      <c r="D18" s="4">
        <f t="shared" si="11"/>
        <v>7.21428E-3</v>
      </c>
      <c r="E18" s="4">
        <f t="shared" si="11"/>
        <v>4.0408499999999995E-3</v>
      </c>
      <c r="F18" s="4">
        <f t="shared" si="11"/>
        <v>1.0352159999999999E-2</v>
      </c>
      <c r="N18" s="1" t="s">
        <v>8</v>
      </c>
      <c r="O18" s="4">
        <f>0.0471404958677686*596.2/607.5</f>
        <v>4.6263643845866072E-2</v>
      </c>
      <c r="P18" s="4">
        <v>0</v>
      </c>
      <c r="Q18" s="4">
        <v>0</v>
      </c>
      <c r="R18" s="2" t="s">
        <v>49</v>
      </c>
    </row>
    <row r="19" spans="1:18" x14ac:dyDescent="0.25">
      <c r="A19" s="5" t="s">
        <v>21</v>
      </c>
      <c r="B19" s="4">
        <v>0</v>
      </c>
      <c r="C19" s="1" t="s">
        <v>3</v>
      </c>
      <c r="D19" s="4">
        <f t="shared" si="11"/>
        <v>0</v>
      </c>
      <c r="E19" s="4">
        <f t="shared" si="11"/>
        <v>0</v>
      </c>
      <c r="F19" s="4">
        <f t="shared" si="11"/>
        <v>0</v>
      </c>
    </row>
    <row r="20" spans="1:18" x14ac:dyDescent="0.25">
      <c r="A20" s="5" t="s">
        <v>22</v>
      </c>
      <c r="B20" s="4">
        <v>0</v>
      </c>
      <c r="C20" s="1" t="s">
        <v>3</v>
      </c>
      <c r="D20" s="4">
        <f t="shared" si="11"/>
        <v>0</v>
      </c>
      <c r="E20" s="4">
        <f t="shared" si="11"/>
        <v>0</v>
      </c>
      <c r="F20" s="4">
        <f t="shared" si="11"/>
        <v>0</v>
      </c>
    </row>
    <row r="21" spans="1:18" x14ac:dyDescent="0.25">
      <c r="A21" s="5" t="s">
        <v>48</v>
      </c>
      <c r="B21" s="4">
        <v>0</v>
      </c>
      <c r="C21" s="1" t="s">
        <v>3</v>
      </c>
      <c r="D21" s="4">
        <f t="shared" si="11"/>
        <v>0</v>
      </c>
      <c r="E21" s="4">
        <f t="shared" si="11"/>
        <v>0</v>
      </c>
      <c r="F21" s="4">
        <f t="shared" si="11"/>
        <v>0</v>
      </c>
    </row>
    <row r="22" spans="1:18" ht="18" x14ac:dyDescent="0.35">
      <c r="A22" s="5" t="s">
        <v>18</v>
      </c>
      <c r="B22" s="4">
        <v>0</v>
      </c>
      <c r="C22" s="1" t="s">
        <v>3</v>
      </c>
      <c r="D22" s="4">
        <f t="shared" si="11"/>
        <v>0</v>
      </c>
      <c r="E22" s="4">
        <f t="shared" si="11"/>
        <v>0</v>
      </c>
      <c r="F22" s="4">
        <f t="shared" si="11"/>
        <v>0</v>
      </c>
    </row>
    <row r="23" spans="1:18" ht="18" x14ac:dyDescent="0.35">
      <c r="A23" s="5" t="s">
        <v>19</v>
      </c>
      <c r="B23" s="4">
        <v>0</v>
      </c>
      <c r="C23" s="1" t="s">
        <v>3</v>
      </c>
      <c r="D23" s="4">
        <f t="shared" si="11"/>
        <v>0</v>
      </c>
      <c r="E23" s="4">
        <f t="shared" si="11"/>
        <v>0</v>
      </c>
      <c r="F23" s="4">
        <f t="shared" si="11"/>
        <v>0</v>
      </c>
    </row>
    <row r="24" spans="1:18" x14ac:dyDescent="0.25">
      <c r="A24" s="5" t="s">
        <v>7</v>
      </c>
      <c r="B24" s="4" t="s">
        <v>25</v>
      </c>
      <c r="C24" s="4" t="s">
        <v>25</v>
      </c>
      <c r="D24" s="4">
        <f>O13</f>
        <v>5.4958353909465019E-2</v>
      </c>
      <c r="E24" s="4">
        <f>D24</f>
        <v>5.4958353909465019E-2</v>
      </c>
      <c r="F24" s="4">
        <f t="shared" ref="F24:F25" si="12">E24</f>
        <v>5.4958353909465019E-2</v>
      </c>
    </row>
    <row r="25" spans="1:18" x14ac:dyDescent="0.25">
      <c r="A25" s="5" t="s">
        <v>8</v>
      </c>
      <c r="B25" s="1" t="s">
        <v>25</v>
      </c>
      <c r="C25" s="4" t="s">
        <v>25</v>
      </c>
      <c r="D25" s="4">
        <f>O14</f>
        <v>2.8160478862701125E-2</v>
      </c>
      <c r="E25" s="4">
        <f t="shared" ref="E25" si="13">D25</f>
        <v>2.8160478862701125E-2</v>
      </c>
      <c r="F25" s="4">
        <f t="shared" si="12"/>
        <v>2.8160478862701125E-2</v>
      </c>
    </row>
    <row r="26" spans="1:18" x14ac:dyDescent="0.25">
      <c r="N26" s="6"/>
      <c r="O26" s="6"/>
      <c r="P26" s="6"/>
      <c r="Q26" s="6"/>
      <c r="R26" s="6"/>
    </row>
    <row r="27" spans="1:18" x14ac:dyDescent="0.25">
      <c r="A27" s="6" t="s">
        <v>46</v>
      </c>
      <c r="B27" s="6"/>
      <c r="C27" s="6"/>
      <c r="D27" s="1" t="s">
        <v>17</v>
      </c>
      <c r="E27" s="1" t="s">
        <v>12</v>
      </c>
      <c r="F27" s="1" t="s">
        <v>13</v>
      </c>
      <c r="N27" s="1"/>
      <c r="O27" s="1"/>
      <c r="P27" s="1"/>
      <c r="Q27" s="1"/>
    </row>
    <row r="28" spans="1:18" x14ac:dyDescent="0.25">
      <c r="A28" s="5" t="s">
        <v>42</v>
      </c>
      <c r="B28" s="4">
        <v>1</v>
      </c>
      <c r="C28" s="1" t="s">
        <v>3</v>
      </c>
      <c r="D28" s="4">
        <f>SUM(D29:D38)</f>
        <v>1.3562557979697929</v>
      </c>
      <c r="E28" s="4">
        <f t="shared" ref="E28" si="14">SUM(E29:E38)</f>
        <v>1.2827122790388357</v>
      </c>
      <c r="F28" s="4">
        <f t="shared" ref="F28" si="15">SUM(F29:F38)</f>
        <v>1.4714465329363848</v>
      </c>
      <c r="O28" s="4"/>
      <c r="P28" s="4"/>
      <c r="Q28" s="4"/>
    </row>
    <row r="29" spans="1:18" x14ac:dyDescent="0.25">
      <c r="A29" s="5" t="s">
        <v>0</v>
      </c>
      <c r="B29" s="4">
        <v>0</v>
      </c>
      <c r="C29" s="3" t="s">
        <v>4</v>
      </c>
      <c r="D29" s="4">
        <f t="shared" ref="D29:F36" si="16">$B29*O3</f>
        <v>0</v>
      </c>
      <c r="E29" s="4">
        <f t="shared" si="16"/>
        <v>0</v>
      </c>
      <c r="F29" s="4">
        <f t="shared" si="16"/>
        <v>0</v>
      </c>
      <c r="O29" s="4"/>
      <c r="P29" s="4"/>
      <c r="Q29" s="4"/>
    </row>
    <row r="30" spans="1:18" x14ac:dyDescent="0.25">
      <c r="A30" s="5" t="s">
        <v>1</v>
      </c>
      <c r="B30" s="4">
        <v>0</v>
      </c>
      <c r="C30" s="3" t="s">
        <v>6</v>
      </c>
      <c r="D30" s="4">
        <f t="shared" si="16"/>
        <v>0</v>
      </c>
      <c r="E30" s="4">
        <f t="shared" si="16"/>
        <v>0</v>
      </c>
      <c r="F30" s="4">
        <f t="shared" si="16"/>
        <v>0</v>
      </c>
    </row>
    <row r="31" spans="1:18" x14ac:dyDescent="0.25">
      <c r="A31" s="5" t="s">
        <v>2</v>
      </c>
      <c r="B31" s="4">
        <v>0.30289532293986599</v>
      </c>
      <c r="C31" s="1" t="s">
        <v>5</v>
      </c>
      <c r="D31" s="4">
        <f t="shared" si="16"/>
        <v>9.2201336302895204E-3</v>
      </c>
      <c r="E31" s="4">
        <f t="shared" si="16"/>
        <v>5.1643652561247149E-3</v>
      </c>
      <c r="F31" s="4">
        <f t="shared" si="16"/>
        <v>1.3230467706013346E-2</v>
      </c>
    </row>
    <row r="32" spans="1:18" x14ac:dyDescent="0.25">
      <c r="A32" s="5" t="s">
        <v>21</v>
      </c>
      <c r="B32" s="4">
        <v>0.138975501113585</v>
      </c>
      <c r="C32" s="1" t="s">
        <v>3</v>
      </c>
      <c r="D32" s="4">
        <f t="shared" si="16"/>
        <v>0.44472160356347201</v>
      </c>
      <c r="E32" s="4">
        <f t="shared" si="16"/>
        <v>0.37523385300667955</v>
      </c>
      <c r="F32" s="4">
        <f t="shared" si="16"/>
        <v>0.55590200445434002</v>
      </c>
    </row>
    <row r="33" spans="1:18" x14ac:dyDescent="0.25">
      <c r="A33" s="5" t="s">
        <v>22</v>
      </c>
      <c r="B33" s="4">
        <v>0</v>
      </c>
      <c r="C33" s="1" t="s">
        <v>3</v>
      </c>
      <c r="D33" s="4">
        <f t="shared" si="16"/>
        <v>0</v>
      </c>
      <c r="E33" s="4">
        <f t="shared" si="16"/>
        <v>0</v>
      </c>
      <c r="F33" s="4">
        <f t="shared" si="16"/>
        <v>0</v>
      </c>
    </row>
    <row r="34" spans="1:18" x14ac:dyDescent="0.25">
      <c r="A34" s="5" t="s">
        <v>48</v>
      </c>
      <c r="B34" s="4">
        <v>1.69042316258351</v>
      </c>
      <c r="C34" s="1" t="s">
        <v>3</v>
      </c>
      <c r="D34" s="4">
        <f t="shared" si="16"/>
        <v>0.76576169265033001</v>
      </c>
      <c r="E34" s="4">
        <f t="shared" si="16"/>
        <v>0.76576169265033001</v>
      </c>
      <c r="F34" s="4">
        <f t="shared" si="16"/>
        <v>0.76576169265033001</v>
      </c>
    </row>
    <row r="35" spans="1:18" ht="18" x14ac:dyDescent="0.35">
      <c r="A35" s="5" t="s">
        <v>18</v>
      </c>
      <c r="B35" s="4">
        <v>0</v>
      </c>
      <c r="C35" s="1" t="s">
        <v>3</v>
      </c>
      <c r="D35" s="4">
        <f t="shared" si="16"/>
        <v>0</v>
      </c>
      <c r="E35" s="4">
        <f t="shared" si="16"/>
        <v>0</v>
      </c>
      <c r="F35" s="4">
        <f t="shared" si="16"/>
        <v>0</v>
      </c>
    </row>
    <row r="36" spans="1:18" ht="18" x14ac:dyDescent="0.35">
      <c r="A36" s="5" t="s">
        <v>19</v>
      </c>
      <c r="B36" s="4">
        <v>0</v>
      </c>
      <c r="C36" s="1" t="s">
        <v>3</v>
      </c>
      <c r="D36" s="4">
        <f t="shared" si="16"/>
        <v>0</v>
      </c>
      <c r="E36" s="4">
        <f t="shared" si="16"/>
        <v>0</v>
      </c>
      <c r="F36" s="4">
        <f t="shared" si="16"/>
        <v>0</v>
      </c>
    </row>
    <row r="37" spans="1:18" x14ac:dyDescent="0.25">
      <c r="A37" s="5" t="s">
        <v>7</v>
      </c>
      <c r="B37" s="4" t="s">
        <v>25</v>
      </c>
      <c r="C37" s="4" t="s">
        <v>25</v>
      </c>
      <c r="D37" s="4">
        <f>O17</f>
        <v>9.0288724279835392E-2</v>
      </c>
      <c r="E37" s="4">
        <f>D37</f>
        <v>9.0288724279835392E-2</v>
      </c>
      <c r="F37" s="4">
        <f t="shared" ref="F37:F38" si="17">E37</f>
        <v>9.0288724279835392E-2</v>
      </c>
      <c r="N37" s="6"/>
      <c r="O37" s="6"/>
      <c r="P37" s="6"/>
      <c r="Q37" s="6"/>
      <c r="R37" s="6"/>
    </row>
    <row r="38" spans="1:18" x14ac:dyDescent="0.25">
      <c r="A38" s="5" t="s">
        <v>8</v>
      </c>
      <c r="B38" s="1" t="s">
        <v>25</v>
      </c>
      <c r="C38" s="4" t="s">
        <v>25</v>
      </c>
      <c r="D38" s="4">
        <f>O18</f>
        <v>4.6263643845866072E-2</v>
      </c>
      <c r="E38" s="4">
        <f t="shared" ref="E38" si="18">D38</f>
        <v>4.6263643845866072E-2</v>
      </c>
      <c r="F38" s="4">
        <f t="shared" si="17"/>
        <v>4.6263643845866072E-2</v>
      </c>
      <c r="N38" s="1"/>
      <c r="O38" s="1"/>
      <c r="P38" s="1"/>
      <c r="Q38" s="1"/>
    </row>
    <row r="39" spans="1:18" x14ac:dyDescent="0.25">
      <c r="O39" s="4"/>
      <c r="P39" s="4"/>
      <c r="Q39" s="4"/>
    </row>
    <row r="40" spans="1:18" x14ac:dyDescent="0.25">
      <c r="A40" s="6" t="s">
        <v>47</v>
      </c>
      <c r="B40" s="6"/>
      <c r="C40" s="6"/>
      <c r="D40" s="1" t="s">
        <v>17</v>
      </c>
      <c r="E40" s="1" t="s">
        <v>12</v>
      </c>
      <c r="F40" s="1" t="s">
        <v>13</v>
      </c>
      <c r="O40" s="4"/>
      <c r="P40" s="4"/>
      <c r="Q40" s="4"/>
    </row>
    <row r="41" spans="1:18" x14ac:dyDescent="0.25">
      <c r="A41" s="5" t="s">
        <v>42</v>
      </c>
      <c r="B41" s="4">
        <v>1</v>
      </c>
      <c r="C41" s="1" t="s">
        <v>3</v>
      </c>
      <c r="D41" s="4">
        <f>SUM(D42:D51)</f>
        <v>1.3284606977470759</v>
      </c>
      <c r="E41" s="4">
        <f t="shared" ref="E41" si="19">SUM(E42:E51)</f>
        <v>1.2132245284820433</v>
      </c>
      <c r="F41" s="4">
        <f t="shared" ref="F41" si="20">SUM(F42:F51)</f>
        <v>1.4714465329363848</v>
      </c>
    </row>
    <row r="42" spans="1:18" x14ac:dyDescent="0.25">
      <c r="A42" s="5" t="s">
        <v>0</v>
      </c>
      <c r="B42" s="4">
        <v>0</v>
      </c>
      <c r="C42" s="3" t="s">
        <v>4</v>
      </c>
      <c r="D42" s="4">
        <f t="shared" ref="D42:F49" si="21">$B42*O3</f>
        <v>0</v>
      </c>
      <c r="E42" s="4">
        <f t="shared" si="21"/>
        <v>0</v>
      </c>
      <c r="F42" s="4">
        <f t="shared" si="21"/>
        <v>0</v>
      </c>
    </row>
    <row r="43" spans="1:18" x14ac:dyDescent="0.25">
      <c r="A43" s="5" t="s">
        <v>1</v>
      </c>
      <c r="B43" s="4">
        <v>0</v>
      </c>
      <c r="C43" s="3" t="s">
        <v>6</v>
      </c>
      <c r="D43" s="4">
        <f t="shared" si="21"/>
        <v>0</v>
      </c>
      <c r="E43" s="4">
        <f t="shared" si="21"/>
        <v>0</v>
      </c>
      <c r="F43" s="4">
        <f t="shared" si="21"/>
        <v>0</v>
      </c>
    </row>
    <row r="44" spans="1:18" x14ac:dyDescent="0.25">
      <c r="A44" s="5" t="s">
        <v>2</v>
      </c>
      <c r="B44" s="4">
        <v>0.30289532293986599</v>
      </c>
      <c r="C44" s="1" t="s">
        <v>5</v>
      </c>
      <c r="D44" s="4">
        <f t="shared" si="21"/>
        <v>9.2201336302895204E-3</v>
      </c>
      <c r="E44" s="4">
        <f t="shared" si="21"/>
        <v>5.1643652561247149E-3</v>
      </c>
      <c r="F44" s="4">
        <f t="shared" si="21"/>
        <v>1.3230467706013346E-2</v>
      </c>
    </row>
    <row r="45" spans="1:18" x14ac:dyDescent="0.25">
      <c r="A45" s="5" t="s">
        <v>21</v>
      </c>
      <c r="B45" s="4">
        <v>0</v>
      </c>
      <c r="C45" s="1" t="s">
        <v>3</v>
      </c>
      <c r="D45" s="4">
        <f t="shared" si="21"/>
        <v>0</v>
      </c>
      <c r="E45" s="4">
        <f t="shared" si="21"/>
        <v>0</v>
      </c>
      <c r="F45" s="4">
        <f t="shared" si="21"/>
        <v>0</v>
      </c>
    </row>
    <row r="46" spans="1:18" x14ac:dyDescent="0.25">
      <c r="A46" s="5" t="s">
        <v>22</v>
      </c>
      <c r="B46" s="4">
        <v>0.138975501113585</v>
      </c>
      <c r="C46" s="1" t="s">
        <v>3</v>
      </c>
      <c r="D46" s="4">
        <f t="shared" si="21"/>
        <v>0.41692650334075498</v>
      </c>
      <c r="E46" s="4">
        <f t="shared" si="21"/>
        <v>0.30574610244988704</v>
      </c>
      <c r="F46" s="4">
        <f t="shared" si="21"/>
        <v>0.55590200445434002</v>
      </c>
    </row>
    <row r="47" spans="1:18" x14ac:dyDescent="0.25">
      <c r="A47" s="5" t="s">
        <v>48</v>
      </c>
      <c r="B47" s="4">
        <v>1.69042316258351</v>
      </c>
      <c r="C47" s="1" t="s">
        <v>3</v>
      </c>
      <c r="D47" s="4">
        <f t="shared" si="21"/>
        <v>0.76576169265033001</v>
      </c>
      <c r="E47" s="4">
        <f t="shared" si="21"/>
        <v>0.76576169265033001</v>
      </c>
      <c r="F47" s="4">
        <f t="shared" si="21"/>
        <v>0.76576169265033001</v>
      </c>
    </row>
    <row r="48" spans="1:18" ht="18" x14ac:dyDescent="0.35">
      <c r="A48" s="5" t="s">
        <v>18</v>
      </c>
      <c r="B48" s="4">
        <v>0</v>
      </c>
      <c r="C48" s="1" t="s">
        <v>3</v>
      </c>
      <c r="D48" s="4">
        <f t="shared" si="21"/>
        <v>0</v>
      </c>
      <c r="E48" s="4">
        <f t="shared" si="21"/>
        <v>0</v>
      </c>
      <c r="F48" s="4">
        <f t="shared" si="21"/>
        <v>0</v>
      </c>
    </row>
    <row r="49" spans="1:6" ht="18" x14ac:dyDescent="0.35">
      <c r="A49" s="5" t="s">
        <v>19</v>
      </c>
      <c r="B49" s="4">
        <v>0</v>
      </c>
      <c r="C49" s="1" t="s">
        <v>3</v>
      </c>
      <c r="D49" s="4">
        <f t="shared" si="21"/>
        <v>0</v>
      </c>
      <c r="E49" s="4">
        <f t="shared" si="21"/>
        <v>0</v>
      </c>
      <c r="F49" s="4">
        <f t="shared" si="21"/>
        <v>0</v>
      </c>
    </row>
    <row r="50" spans="1:6" x14ac:dyDescent="0.25">
      <c r="A50" s="5" t="s">
        <v>7</v>
      </c>
      <c r="B50" s="4" t="s">
        <v>25</v>
      </c>
      <c r="C50" s="4" t="s">
        <v>25</v>
      </c>
      <c r="D50" s="4">
        <f>O17</f>
        <v>9.0288724279835392E-2</v>
      </c>
      <c r="E50" s="4">
        <f>D50</f>
        <v>9.0288724279835392E-2</v>
      </c>
      <c r="F50" s="4">
        <f t="shared" ref="F50:F51" si="22">E50</f>
        <v>9.0288724279835392E-2</v>
      </c>
    </row>
    <row r="51" spans="1:6" x14ac:dyDescent="0.25">
      <c r="A51" s="5" t="s">
        <v>8</v>
      </c>
      <c r="B51" s="1" t="s">
        <v>25</v>
      </c>
      <c r="C51" s="4" t="s">
        <v>25</v>
      </c>
      <c r="D51" s="4">
        <f>O18</f>
        <v>4.6263643845866072E-2</v>
      </c>
      <c r="E51" s="4">
        <f t="shared" ref="E51" si="23">D51</f>
        <v>4.6263643845866072E-2</v>
      </c>
      <c r="F51" s="4">
        <f t="shared" si="22"/>
        <v>4.6263643845866072E-2</v>
      </c>
    </row>
  </sheetData>
  <mergeCells count="9">
    <mergeCell ref="N16:R16"/>
    <mergeCell ref="A1:C1"/>
    <mergeCell ref="A14:C14"/>
    <mergeCell ref="A27:C27"/>
    <mergeCell ref="A40:C40"/>
    <mergeCell ref="N1:R1"/>
    <mergeCell ref="N12:R12"/>
    <mergeCell ref="N26:R26"/>
    <mergeCell ref="N37:R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A7F-9CAF-46F0-9748-9A9C974BB09A}">
  <dimension ref="A1:R51"/>
  <sheetViews>
    <sheetView workbookViewId="0">
      <selection activeCell="P8" sqref="P8:Q8"/>
    </sheetView>
  </sheetViews>
  <sheetFormatPr defaultRowHeight="15" x14ac:dyDescent="0.25"/>
  <cols>
    <col min="1" max="1" width="22.5703125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18" x14ac:dyDescent="0.25">
      <c r="A1" s="6" t="s">
        <v>43</v>
      </c>
      <c r="B1" s="6"/>
      <c r="C1" s="6"/>
      <c r="D1" s="1" t="s">
        <v>17</v>
      </c>
      <c r="E1" s="1" t="s">
        <v>12</v>
      </c>
      <c r="F1" s="1" t="s">
        <v>13</v>
      </c>
      <c r="N1" s="6" t="s">
        <v>10</v>
      </c>
      <c r="O1" s="6"/>
      <c r="P1" s="6"/>
      <c r="Q1" s="6"/>
      <c r="R1" s="6"/>
    </row>
    <row r="2" spans="1:18" x14ac:dyDescent="0.25">
      <c r="A2" t="s">
        <v>42</v>
      </c>
      <c r="B2" s="4">
        <v>1</v>
      </c>
      <c r="C2" s="1" t="s">
        <v>3</v>
      </c>
      <c r="D2" s="4">
        <f>SUM(D3:D12)</f>
        <v>0.55571129600403091</v>
      </c>
      <c r="E2" s="4">
        <f t="shared" ref="E2:F2" si="0">SUM(E3:E12)</f>
        <v>0.13737401525426576</v>
      </c>
      <c r="F2" s="4">
        <f t="shared" si="0"/>
        <v>2.1700700581164454</v>
      </c>
      <c r="N2" s="1" t="s">
        <v>11</v>
      </c>
      <c r="O2" s="1" t="s">
        <v>9</v>
      </c>
      <c r="P2" s="1" t="s">
        <v>12</v>
      </c>
      <c r="Q2" s="1" t="s">
        <v>13</v>
      </c>
    </row>
    <row r="3" spans="1:18" ht="17.25" x14ac:dyDescent="0.25">
      <c r="A3" t="s">
        <v>0</v>
      </c>
      <c r="B3" s="4">
        <v>0.65178999999999998</v>
      </c>
      <c r="C3" s="3" t="s">
        <v>4</v>
      </c>
      <c r="D3" s="4">
        <f>$B3*O3</f>
        <v>0.35532395073630008</v>
      </c>
      <c r="E3" s="4">
        <f>$B3*P3</f>
        <v>3.5754722597999999E-2</v>
      </c>
      <c r="F3" s="4">
        <f>$B3*Q3</f>
        <v>1.5849116418933</v>
      </c>
      <c r="N3" t="s">
        <v>0</v>
      </c>
      <c r="O3" s="4">
        <f>701.61/1000*0.777</f>
        <v>0.54515097000000012</v>
      </c>
      <c r="P3" s="4">
        <f>70.6/1000*0.777</f>
        <v>5.4856200000000001E-2</v>
      </c>
      <c r="Q3" s="4">
        <f>3129.51/1000*0.777</f>
        <v>2.4316292700000002</v>
      </c>
      <c r="R3" t="s">
        <v>15</v>
      </c>
    </row>
    <row r="4" spans="1:18" x14ac:dyDescent="0.25">
      <c r="A4" t="s">
        <v>1</v>
      </c>
      <c r="B4" s="4">
        <v>6.93</v>
      </c>
      <c r="C4" s="3" t="s">
        <v>6</v>
      </c>
      <c r="D4" s="4">
        <f t="shared" ref="D4:F7" si="1">$B4*O4</f>
        <v>0.10323051592356688</v>
      </c>
      <c r="E4" s="4">
        <f t="shared" si="1"/>
        <v>1.0387643312101911E-2</v>
      </c>
      <c r="F4" s="4">
        <f t="shared" si="1"/>
        <v>0.4604565668789809</v>
      </c>
      <c r="N4" t="s">
        <v>1</v>
      </c>
      <c r="O4" s="4">
        <f>701.61/1000/47.1</f>
        <v>1.4896178343949046E-2</v>
      </c>
      <c r="P4" s="4">
        <f>70.6/1000/47.1</f>
        <v>1.4989384288747346E-3</v>
      </c>
      <c r="Q4" s="4">
        <f>3129.51/1000/47.1</f>
        <v>6.644394904458599E-2</v>
      </c>
      <c r="R4" t="s">
        <v>16</v>
      </c>
    </row>
    <row r="5" spans="1:18" x14ac:dyDescent="0.25">
      <c r="A5" t="s">
        <v>2</v>
      </c>
      <c r="B5" s="4">
        <v>7.3999999999999996E-2</v>
      </c>
      <c r="C5" s="1" t="s">
        <v>5</v>
      </c>
      <c r="D5" s="4">
        <f t="shared" si="1"/>
        <v>7.1868799999999997E-3</v>
      </c>
      <c r="E5" s="4">
        <f t="shared" si="1"/>
        <v>1.2616999999999999E-3</v>
      </c>
      <c r="F5" s="4">
        <f t="shared" si="1"/>
        <v>3.4731900000000003E-2</v>
      </c>
      <c r="N5" t="s">
        <v>2</v>
      </c>
      <c r="O5" s="4">
        <f>97.12/1000</f>
        <v>9.7119999999999998E-2</v>
      </c>
      <c r="P5" s="4">
        <f>17.05/1000</f>
        <v>1.7049999999999999E-2</v>
      </c>
      <c r="Q5" s="4">
        <f>469.35/1000</f>
        <v>0.46935000000000004</v>
      </c>
      <c r="R5" t="s">
        <v>20</v>
      </c>
    </row>
    <row r="6" spans="1:18" x14ac:dyDescent="0.25">
      <c r="A6" t="s">
        <v>21</v>
      </c>
      <c r="B6" s="4">
        <v>0</v>
      </c>
      <c r="C6" s="1" t="s">
        <v>3</v>
      </c>
      <c r="D6" s="4">
        <f t="shared" si="1"/>
        <v>0</v>
      </c>
      <c r="E6" s="4">
        <f t="shared" si="1"/>
        <v>0</v>
      </c>
      <c r="F6" s="4">
        <f t="shared" si="1"/>
        <v>0</v>
      </c>
      <c r="N6" t="s">
        <v>21</v>
      </c>
      <c r="O6" s="4">
        <v>2.5</v>
      </c>
      <c r="P6" s="4">
        <v>1.8</v>
      </c>
      <c r="Q6" s="4">
        <v>2.7</v>
      </c>
      <c r="R6" t="s">
        <v>14</v>
      </c>
    </row>
    <row r="7" spans="1:18" x14ac:dyDescent="0.25">
      <c r="A7" t="s">
        <v>22</v>
      </c>
      <c r="B7" s="4">
        <v>0</v>
      </c>
      <c r="C7" s="1" t="s">
        <v>3</v>
      </c>
      <c r="D7" s="4">
        <f t="shared" si="1"/>
        <v>0</v>
      </c>
      <c r="E7" s="4">
        <f t="shared" si="1"/>
        <v>0</v>
      </c>
      <c r="F7" s="4">
        <f t="shared" si="1"/>
        <v>0</v>
      </c>
      <c r="N7" t="s">
        <v>22</v>
      </c>
      <c r="O7" s="4">
        <v>2.5</v>
      </c>
      <c r="P7" s="4">
        <v>1.8</v>
      </c>
      <c r="Q7" s="4">
        <v>3</v>
      </c>
      <c r="R7" t="s">
        <v>14</v>
      </c>
    </row>
    <row r="8" spans="1:18" x14ac:dyDescent="0.25">
      <c r="A8" t="s">
        <v>48</v>
      </c>
      <c r="B8" s="4">
        <v>0</v>
      </c>
      <c r="C8" s="1" t="s">
        <v>3</v>
      </c>
      <c r="D8" s="4">
        <f t="shared" ref="D8:F10" si="2">$B8*O8</f>
        <v>0</v>
      </c>
      <c r="E8" s="4">
        <f t="shared" si="2"/>
        <v>0</v>
      </c>
      <c r="F8" s="4">
        <f t="shared" si="2"/>
        <v>0</v>
      </c>
      <c r="N8" t="s">
        <v>48</v>
      </c>
      <c r="O8" s="4">
        <f>373.599/1000</f>
        <v>0.37359900000000001</v>
      </c>
      <c r="P8" s="4">
        <f t="shared" ref="P8:Q8" si="3">373.599/1000</f>
        <v>0.37359900000000001</v>
      </c>
      <c r="Q8" s="4">
        <f t="shared" si="3"/>
        <v>0.37359900000000001</v>
      </c>
      <c r="R8" t="s">
        <v>14</v>
      </c>
    </row>
    <row r="9" spans="1:18" ht="18" x14ac:dyDescent="0.35">
      <c r="A9" t="s">
        <v>18</v>
      </c>
      <c r="B9" s="4">
        <v>0</v>
      </c>
      <c r="C9" s="1" t="s">
        <v>3</v>
      </c>
      <c r="D9" s="4">
        <f t="shared" si="2"/>
        <v>0</v>
      </c>
      <c r="E9" s="4">
        <f t="shared" si="2"/>
        <v>0</v>
      </c>
      <c r="F9" s="4">
        <f t="shared" si="2"/>
        <v>0</v>
      </c>
      <c r="N9" t="s">
        <v>18</v>
      </c>
      <c r="O9" s="4">
        <v>0</v>
      </c>
      <c r="P9" s="4">
        <v>0</v>
      </c>
      <c r="Q9" s="4">
        <v>0</v>
      </c>
      <c r="R9" t="s">
        <v>14</v>
      </c>
    </row>
    <row r="10" spans="1:18" ht="18" x14ac:dyDescent="0.35">
      <c r="A10" t="s">
        <v>19</v>
      </c>
      <c r="B10" s="4">
        <v>0</v>
      </c>
      <c r="C10" s="1" t="s">
        <v>3</v>
      </c>
      <c r="D10" s="4">
        <f t="shared" si="2"/>
        <v>0</v>
      </c>
      <c r="E10" s="4">
        <f t="shared" si="2"/>
        <v>0</v>
      </c>
      <c r="F10" s="4">
        <f t="shared" si="2"/>
        <v>0</v>
      </c>
      <c r="N10" t="s">
        <v>19</v>
      </c>
      <c r="O10" s="4">
        <v>0</v>
      </c>
      <c r="P10" s="4">
        <v>0</v>
      </c>
      <c r="Q10" s="4">
        <v>0</v>
      </c>
      <c r="R10" t="s">
        <v>14</v>
      </c>
    </row>
    <row r="11" spans="1:18" x14ac:dyDescent="0.25">
      <c r="A11" s="1" t="s">
        <v>7</v>
      </c>
      <c r="B11" s="4" t="s">
        <v>25</v>
      </c>
      <c r="C11" s="4" t="s">
        <v>25</v>
      </c>
      <c r="D11" s="4">
        <f>O13</f>
        <v>5.9488327161988104E-2</v>
      </c>
      <c r="E11" s="4">
        <f>D11</f>
        <v>5.9488327161988104E-2</v>
      </c>
      <c r="F11" s="4">
        <f>E11</f>
        <v>5.9488327161988104E-2</v>
      </c>
      <c r="O11" s="4"/>
      <c r="P11" s="4"/>
      <c r="Q11" s="4"/>
    </row>
    <row r="12" spans="1:18" x14ac:dyDescent="0.25">
      <c r="A12" s="1" t="s">
        <v>8</v>
      </c>
      <c r="B12" s="1" t="s">
        <v>25</v>
      </c>
      <c r="C12" s="4" t="s">
        <v>25</v>
      </c>
      <c r="D12" s="4">
        <f>O14</f>
        <v>3.0481622182175767E-2</v>
      </c>
      <c r="E12" s="4">
        <f>D12</f>
        <v>3.0481622182175767E-2</v>
      </c>
      <c r="F12" s="4">
        <f>E12</f>
        <v>3.0481622182175767E-2</v>
      </c>
      <c r="N12" s="6" t="s">
        <v>23</v>
      </c>
      <c r="O12" s="6"/>
      <c r="P12" s="6"/>
      <c r="Q12" s="6"/>
      <c r="R12" s="6"/>
    </row>
    <row r="13" spans="1:18" ht="17.25" x14ac:dyDescent="0.25">
      <c r="A13" s="1"/>
      <c r="N13" s="1" t="s">
        <v>7</v>
      </c>
      <c r="O13" s="4">
        <f>0.056*596.2/607.5*596.2/550.8</f>
        <v>5.9488327161988104E-2</v>
      </c>
      <c r="P13" s="4">
        <v>0</v>
      </c>
      <c r="Q13" s="4">
        <v>0</v>
      </c>
      <c r="R13" s="1" t="s">
        <v>44</v>
      </c>
    </row>
    <row r="14" spans="1:18" ht="17.25" x14ac:dyDescent="0.25">
      <c r="A14" s="6" t="s">
        <v>45</v>
      </c>
      <c r="B14" s="6"/>
      <c r="C14" s="6"/>
      <c r="D14" s="1" t="s">
        <v>17</v>
      </c>
      <c r="E14" s="1" t="s">
        <v>12</v>
      </c>
      <c r="F14" s="1" t="s">
        <v>13</v>
      </c>
      <c r="N14" s="1" t="s">
        <v>8</v>
      </c>
      <c r="O14" s="4">
        <f>0.0286942148760331*596.2/607.5*596.2/550.8</f>
        <v>3.0481622182175767E-2</v>
      </c>
      <c r="P14" s="4">
        <v>0</v>
      </c>
      <c r="Q14" s="4">
        <v>0</v>
      </c>
      <c r="R14" s="1" t="s">
        <v>44</v>
      </c>
    </row>
    <row r="15" spans="1:18" x14ac:dyDescent="0.25">
      <c r="A15" t="s">
        <v>42</v>
      </c>
      <c r="B15" s="4">
        <v>1</v>
      </c>
      <c r="C15" s="1" t="s">
        <v>3</v>
      </c>
      <c r="D15" s="4">
        <f>SUM(D16:D25)</f>
        <v>0.57154185600403085</v>
      </c>
      <c r="E15" s="4">
        <f t="shared" ref="E15:F15" si="4">SUM(E16:E25)</f>
        <v>0.14015316525426577</v>
      </c>
      <c r="F15" s="4">
        <f t="shared" si="4"/>
        <v>2.2465741081164454</v>
      </c>
      <c r="N15" s="1"/>
      <c r="O15" s="1"/>
      <c r="P15" s="1"/>
      <c r="Q15" s="1"/>
    </row>
    <row r="16" spans="1:18" x14ac:dyDescent="0.25">
      <c r="A16" t="s">
        <v>0</v>
      </c>
      <c r="B16" s="4">
        <v>0.65178999999999998</v>
      </c>
      <c r="C16" s="3" t="s">
        <v>4</v>
      </c>
      <c r="D16" s="4">
        <f t="shared" ref="D16:F23" si="5">$B16*O3</f>
        <v>0.35532395073630008</v>
      </c>
      <c r="E16" s="4">
        <f t="shared" si="5"/>
        <v>3.5754722597999999E-2</v>
      </c>
      <c r="F16" s="4">
        <f t="shared" si="5"/>
        <v>1.5849116418933</v>
      </c>
      <c r="N16" s="6" t="s">
        <v>24</v>
      </c>
      <c r="O16" s="6"/>
      <c r="P16" s="6"/>
      <c r="Q16" s="6"/>
      <c r="R16" s="6"/>
    </row>
    <row r="17" spans="1:18" ht="17.25" x14ac:dyDescent="0.25">
      <c r="A17" t="s">
        <v>1</v>
      </c>
      <c r="B17" s="4">
        <v>6.93</v>
      </c>
      <c r="C17" s="3" t="s">
        <v>4</v>
      </c>
      <c r="D17" s="4">
        <f t="shared" si="5"/>
        <v>0.10323051592356688</v>
      </c>
      <c r="E17" s="4">
        <f t="shared" si="5"/>
        <v>1.0387643312101911E-2</v>
      </c>
      <c r="F17" s="4">
        <f t="shared" si="5"/>
        <v>0.4604565668789809</v>
      </c>
      <c r="N17" s="1" t="s">
        <v>7</v>
      </c>
      <c r="O17" s="4">
        <f>0.092*596.2/607.5*596.2/550.8</f>
        <v>9.7730823194694755E-2</v>
      </c>
      <c r="P17" s="4">
        <v>0</v>
      </c>
      <c r="Q17" s="4">
        <v>0</v>
      </c>
      <c r="R17" s="1" t="s">
        <v>44</v>
      </c>
    </row>
    <row r="18" spans="1:18" ht="17.25" x14ac:dyDescent="0.25">
      <c r="A18" t="s">
        <v>2</v>
      </c>
      <c r="B18" s="4">
        <v>0.23699999999999999</v>
      </c>
      <c r="C18" s="1" t="s">
        <v>5</v>
      </c>
      <c r="D18" s="4">
        <f t="shared" si="5"/>
        <v>2.301744E-2</v>
      </c>
      <c r="E18" s="4">
        <f t="shared" si="5"/>
        <v>4.0408499999999995E-3</v>
      </c>
      <c r="F18" s="4">
        <f t="shared" si="5"/>
        <v>0.11123595</v>
      </c>
      <c r="N18" s="1" t="s">
        <v>8</v>
      </c>
      <c r="O18" s="4">
        <f>0.0471404958677686*596.2/607.5*596.2/550.8</f>
        <v>5.0076950727860121E-2</v>
      </c>
      <c r="P18" s="4">
        <v>0</v>
      </c>
      <c r="Q18" s="4">
        <v>0</v>
      </c>
      <c r="R18" s="1" t="s">
        <v>44</v>
      </c>
    </row>
    <row r="19" spans="1:18" x14ac:dyDescent="0.25">
      <c r="A19" t="s">
        <v>21</v>
      </c>
      <c r="B19" s="4">
        <v>0</v>
      </c>
      <c r="C19" s="1" t="s">
        <v>3</v>
      </c>
      <c r="D19" s="4">
        <f t="shared" si="5"/>
        <v>0</v>
      </c>
      <c r="E19" s="4">
        <f t="shared" si="5"/>
        <v>0</v>
      </c>
      <c r="F19" s="4">
        <f t="shared" si="5"/>
        <v>0</v>
      </c>
    </row>
    <row r="20" spans="1:18" x14ac:dyDescent="0.25">
      <c r="A20" t="s">
        <v>22</v>
      </c>
      <c r="B20" s="4">
        <v>0</v>
      </c>
      <c r="C20" s="1" t="s">
        <v>3</v>
      </c>
      <c r="D20" s="4">
        <f t="shared" si="5"/>
        <v>0</v>
      </c>
      <c r="E20" s="4">
        <f t="shared" si="5"/>
        <v>0</v>
      </c>
      <c r="F20" s="4">
        <f t="shared" si="5"/>
        <v>0</v>
      </c>
    </row>
    <row r="21" spans="1:18" x14ac:dyDescent="0.25">
      <c r="A21" t="s">
        <v>48</v>
      </c>
      <c r="B21" s="4">
        <v>0</v>
      </c>
      <c r="C21" s="1" t="s">
        <v>3</v>
      </c>
      <c r="D21" s="4">
        <f t="shared" si="5"/>
        <v>0</v>
      </c>
      <c r="E21" s="4">
        <f t="shared" si="5"/>
        <v>0</v>
      </c>
      <c r="F21" s="4">
        <f t="shared" si="5"/>
        <v>0</v>
      </c>
    </row>
    <row r="22" spans="1:18" ht="18" x14ac:dyDescent="0.35">
      <c r="A22" t="s">
        <v>18</v>
      </c>
      <c r="B22" s="4">
        <v>0</v>
      </c>
      <c r="C22" s="1" t="s">
        <v>3</v>
      </c>
      <c r="D22" s="4">
        <f t="shared" si="5"/>
        <v>0</v>
      </c>
      <c r="E22" s="4">
        <f t="shared" si="5"/>
        <v>0</v>
      </c>
      <c r="F22" s="4">
        <f t="shared" si="5"/>
        <v>0</v>
      </c>
    </row>
    <row r="23" spans="1:18" ht="18" x14ac:dyDescent="0.35">
      <c r="A23" t="s">
        <v>19</v>
      </c>
      <c r="B23" s="4">
        <v>0</v>
      </c>
      <c r="C23" s="1" t="s">
        <v>3</v>
      </c>
      <c r="D23" s="4">
        <f t="shared" si="5"/>
        <v>0</v>
      </c>
      <c r="E23" s="4">
        <f t="shared" si="5"/>
        <v>0</v>
      </c>
      <c r="F23" s="4">
        <f t="shared" si="5"/>
        <v>0</v>
      </c>
    </row>
    <row r="24" spans="1:18" x14ac:dyDescent="0.25">
      <c r="A24" s="1" t="s">
        <v>7</v>
      </c>
      <c r="B24" s="4" t="s">
        <v>25</v>
      </c>
      <c r="C24" s="4" t="s">
        <v>25</v>
      </c>
      <c r="D24" s="4">
        <f>O13</f>
        <v>5.9488327161988104E-2</v>
      </c>
      <c r="E24" s="4">
        <f>D24</f>
        <v>5.9488327161988104E-2</v>
      </c>
      <c r="F24" s="4">
        <f t="shared" ref="F24:F25" si="6">E24</f>
        <v>5.9488327161988104E-2</v>
      </c>
    </row>
    <row r="25" spans="1:18" x14ac:dyDescent="0.25">
      <c r="A25" s="1" t="s">
        <v>8</v>
      </c>
      <c r="B25" s="1" t="s">
        <v>25</v>
      </c>
      <c r="C25" s="4" t="s">
        <v>25</v>
      </c>
      <c r="D25" s="4">
        <f>O14</f>
        <v>3.0481622182175767E-2</v>
      </c>
      <c r="E25" s="4">
        <f t="shared" ref="E25" si="7">D25</f>
        <v>3.0481622182175767E-2</v>
      </c>
      <c r="F25" s="4">
        <f t="shared" si="6"/>
        <v>3.0481622182175767E-2</v>
      </c>
    </row>
    <row r="26" spans="1:18" x14ac:dyDescent="0.25">
      <c r="N26" s="6"/>
      <c r="O26" s="6"/>
      <c r="P26" s="6"/>
      <c r="Q26" s="6"/>
      <c r="R26" s="6"/>
    </row>
    <row r="27" spans="1:18" x14ac:dyDescent="0.25">
      <c r="A27" s="6" t="s">
        <v>46</v>
      </c>
      <c r="B27" s="6"/>
      <c r="C27" s="6"/>
      <c r="D27" s="1" t="s">
        <v>17</v>
      </c>
      <c r="E27" s="1" t="s">
        <v>12</v>
      </c>
      <c r="F27" s="1" t="s">
        <v>13</v>
      </c>
      <c r="N27" s="1"/>
      <c r="O27" s="1"/>
      <c r="P27" s="1"/>
      <c r="Q27" s="1"/>
    </row>
    <row r="28" spans="1:18" x14ac:dyDescent="0.25">
      <c r="A28" t="s">
        <v>42</v>
      </c>
      <c r="B28" s="4">
        <v>1</v>
      </c>
      <c r="C28" s="1" t="s">
        <v>3</v>
      </c>
      <c r="D28" s="4">
        <f>SUM(D29:D38)</f>
        <v>1.1562041235884741</v>
      </c>
      <c r="E28" s="4">
        <f t="shared" ref="E28:F28" si="8">SUM(E29:E38)</f>
        <v>1.0346684443011696</v>
      </c>
      <c r="F28" s="4">
        <f t="shared" si="8"/>
        <v>1.2967459498690974</v>
      </c>
      <c r="O28" s="4"/>
      <c r="P28" s="4"/>
      <c r="Q28" s="4"/>
    </row>
    <row r="29" spans="1:18" x14ac:dyDescent="0.25">
      <c r="A29" t="s">
        <v>0</v>
      </c>
      <c r="B29" s="4">
        <v>0</v>
      </c>
      <c r="C29" s="3" t="s">
        <v>4</v>
      </c>
      <c r="D29" s="4">
        <f t="shared" ref="D29:F36" si="9">$B29*O3</f>
        <v>0</v>
      </c>
      <c r="E29" s="4">
        <f t="shared" si="9"/>
        <v>0</v>
      </c>
      <c r="F29" s="4">
        <f t="shared" si="9"/>
        <v>0</v>
      </c>
      <c r="O29" s="4"/>
      <c r="P29" s="4"/>
      <c r="Q29" s="4"/>
    </row>
    <row r="30" spans="1:18" x14ac:dyDescent="0.25">
      <c r="A30" t="s">
        <v>1</v>
      </c>
      <c r="B30" s="4">
        <v>0</v>
      </c>
      <c r="C30" s="3" t="s">
        <v>6</v>
      </c>
      <c r="D30" s="4">
        <f t="shared" si="9"/>
        <v>0</v>
      </c>
      <c r="E30" s="4">
        <f t="shared" si="9"/>
        <v>0</v>
      </c>
      <c r="F30" s="4">
        <f t="shared" si="9"/>
        <v>0</v>
      </c>
    </row>
    <row r="31" spans="1:18" x14ac:dyDescent="0.25">
      <c r="A31" t="s">
        <v>2</v>
      </c>
      <c r="B31" s="4">
        <v>0.30289532293986599</v>
      </c>
      <c r="C31" s="1" t="s">
        <v>5</v>
      </c>
      <c r="D31" s="4">
        <f t="shared" si="9"/>
        <v>2.9417193763919783E-2</v>
      </c>
      <c r="E31" s="4">
        <f t="shared" si="9"/>
        <v>5.1643652561247149E-3</v>
      </c>
      <c r="F31" s="4">
        <f t="shared" si="9"/>
        <v>0.14216391982182611</v>
      </c>
    </row>
    <row r="32" spans="1:18" x14ac:dyDescent="0.25">
      <c r="A32" t="s">
        <v>21</v>
      </c>
      <c r="B32" s="4">
        <v>0.138975501113585</v>
      </c>
      <c r="C32" s="1" t="s">
        <v>3</v>
      </c>
      <c r="D32" s="4">
        <f t="shared" si="9"/>
        <v>0.34743875278396252</v>
      </c>
      <c r="E32" s="4">
        <f t="shared" si="9"/>
        <v>0.25015590200445303</v>
      </c>
      <c r="F32" s="4">
        <f t="shared" si="9"/>
        <v>0.37523385300667955</v>
      </c>
    </row>
    <row r="33" spans="1:18" x14ac:dyDescent="0.25">
      <c r="A33" t="s">
        <v>22</v>
      </c>
      <c r="B33" s="4">
        <v>0</v>
      </c>
      <c r="C33" s="1" t="s">
        <v>3</v>
      </c>
      <c r="D33" s="4">
        <f t="shared" si="9"/>
        <v>0</v>
      </c>
      <c r="E33" s="4">
        <f t="shared" si="9"/>
        <v>0</v>
      </c>
      <c r="F33" s="4">
        <f t="shared" si="9"/>
        <v>0</v>
      </c>
    </row>
    <row r="34" spans="1:18" x14ac:dyDescent="0.25">
      <c r="A34" t="s">
        <v>48</v>
      </c>
      <c r="B34" s="4">
        <v>1.69042316258351</v>
      </c>
      <c r="C34" s="1" t="s">
        <v>3</v>
      </c>
      <c r="D34" s="4">
        <f t="shared" si="9"/>
        <v>0.63154040311803683</v>
      </c>
      <c r="E34" s="4">
        <f t="shared" si="9"/>
        <v>0.63154040311803683</v>
      </c>
      <c r="F34" s="4">
        <f t="shared" si="9"/>
        <v>0.63154040311803683</v>
      </c>
    </row>
    <row r="35" spans="1:18" ht="18" x14ac:dyDescent="0.35">
      <c r="A35" t="s">
        <v>18</v>
      </c>
      <c r="B35" s="4">
        <v>0</v>
      </c>
      <c r="C35" s="1" t="s">
        <v>3</v>
      </c>
      <c r="D35" s="4">
        <f t="shared" si="9"/>
        <v>0</v>
      </c>
      <c r="E35" s="4">
        <f t="shared" si="9"/>
        <v>0</v>
      </c>
      <c r="F35" s="4">
        <f t="shared" si="9"/>
        <v>0</v>
      </c>
    </row>
    <row r="36" spans="1:18" ht="18" x14ac:dyDescent="0.35">
      <c r="A36" t="s">
        <v>19</v>
      </c>
      <c r="B36" s="4">
        <v>0</v>
      </c>
      <c r="C36" s="1" t="s">
        <v>3</v>
      </c>
      <c r="D36" s="4">
        <f t="shared" si="9"/>
        <v>0</v>
      </c>
      <c r="E36" s="4">
        <f t="shared" si="9"/>
        <v>0</v>
      </c>
      <c r="F36" s="4">
        <f t="shared" si="9"/>
        <v>0</v>
      </c>
    </row>
    <row r="37" spans="1:18" x14ac:dyDescent="0.25">
      <c r="A37" s="1" t="s">
        <v>7</v>
      </c>
      <c r="B37" s="4" t="s">
        <v>25</v>
      </c>
      <c r="C37" s="4" t="s">
        <v>25</v>
      </c>
      <c r="D37" s="4">
        <f>O17</f>
        <v>9.7730823194694755E-2</v>
      </c>
      <c r="E37" s="4">
        <f>D37</f>
        <v>9.7730823194694755E-2</v>
      </c>
      <c r="F37" s="4">
        <f t="shared" ref="F37:F38" si="10">E37</f>
        <v>9.7730823194694755E-2</v>
      </c>
      <c r="N37" s="6"/>
      <c r="O37" s="6"/>
      <c r="P37" s="6"/>
      <c r="Q37" s="6"/>
      <c r="R37" s="6"/>
    </row>
    <row r="38" spans="1:18" x14ac:dyDescent="0.25">
      <c r="A38" s="1" t="s">
        <v>8</v>
      </c>
      <c r="B38" s="1" t="s">
        <v>25</v>
      </c>
      <c r="C38" s="4" t="s">
        <v>25</v>
      </c>
      <c r="D38" s="4">
        <f>O18</f>
        <v>5.0076950727860121E-2</v>
      </c>
      <c r="E38" s="4">
        <f t="shared" ref="E38" si="11">D38</f>
        <v>5.0076950727860121E-2</v>
      </c>
      <c r="F38" s="4">
        <f t="shared" si="10"/>
        <v>5.0076950727860121E-2</v>
      </c>
      <c r="N38" s="1"/>
      <c r="O38" s="1"/>
      <c r="P38" s="1"/>
      <c r="Q38" s="1"/>
    </row>
    <row r="39" spans="1:18" x14ac:dyDescent="0.25">
      <c r="O39" s="4"/>
      <c r="P39" s="4"/>
      <c r="Q39" s="4"/>
    </row>
    <row r="40" spans="1:18" x14ac:dyDescent="0.25">
      <c r="A40" s="6" t="s">
        <v>47</v>
      </c>
      <c r="B40" s="6"/>
      <c r="C40" s="6"/>
      <c r="D40" s="1" t="s">
        <v>17</v>
      </c>
      <c r="E40" s="1" t="s">
        <v>12</v>
      </c>
      <c r="F40" s="1" t="s">
        <v>13</v>
      </c>
      <c r="O40" s="4"/>
      <c r="P40" s="4"/>
      <c r="Q40" s="4"/>
    </row>
    <row r="41" spans="1:18" x14ac:dyDescent="0.25">
      <c r="A41" t="s">
        <v>42</v>
      </c>
      <c r="B41" s="4">
        <v>1</v>
      </c>
      <c r="C41" s="1" t="s">
        <v>3</v>
      </c>
      <c r="D41" s="4">
        <f>SUM(D42:D51)</f>
        <v>1.1562041235884741</v>
      </c>
      <c r="E41" s="4">
        <f t="shared" ref="E41:F41" si="12">SUM(E42:E51)</f>
        <v>1.0346684443011696</v>
      </c>
      <c r="F41" s="4">
        <f t="shared" si="12"/>
        <v>1.3384386002031727</v>
      </c>
    </row>
    <row r="42" spans="1:18" x14ac:dyDescent="0.25">
      <c r="A42" t="s">
        <v>0</v>
      </c>
      <c r="B42" s="4">
        <v>0</v>
      </c>
      <c r="C42" s="3" t="s">
        <v>4</v>
      </c>
      <c r="D42" s="4">
        <f t="shared" ref="D42:F49" si="13">$B42*O3</f>
        <v>0</v>
      </c>
      <c r="E42" s="4">
        <f t="shared" si="13"/>
        <v>0</v>
      </c>
      <c r="F42" s="4">
        <f t="shared" si="13"/>
        <v>0</v>
      </c>
    </row>
    <row r="43" spans="1:18" x14ac:dyDescent="0.25">
      <c r="A43" t="s">
        <v>1</v>
      </c>
      <c r="B43" s="4">
        <v>0</v>
      </c>
      <c r="C43" s="3" t="s">
        <v>6</v>
      </c>
      <c r="D43" s="4">
        <f t="shared" si="13"/>
        <v>0</v>
      </c>
      <c r="E43" s="4">
        <f t="shared" si="13"/>
        <v>0</v>
      </c>
      <c r="F43" s="4">
        <f t="shared" si="13"/>
        <v>0</v>
      </c>
    </row>
    <row r="44" spans="1:18" x14ac:dyDescent="0.25">
      <c r="A44" t="s">
        <v>2</v>
      </c>
      <c r="B44" s="4">
        <v>0.30289532293986599</v>
      </c>
      <c r="C44" s="1" t="s">
        <v>5</v>
      </c>
      <c r="D44" s="4">
        <f t="shared" si="13"/>
        <v>2.9417193763919783E-2</v>
      </c>
      <c r="E44" s="4">
        <f t="shared" si="13"/>
        <v>5.1643652561247149E-3</v>
      </c>
      <c r="F44" s="4">
        <f t="shared" si="13"/>
        <v>0.14216391982182611</v>
      </c>
    </row>
    <row r="45" spans="1:18" x14ac:dyDescent="0.25">
      <c r="A45" t="s">
        <v>21</v>
      </c>
      <c r="B45" s="4">
        <v>0</v>
      </c>
      <c r="C45" s="1" t="s">
        <v>3</v>
      </c>
      <c r="D45" s="4">
        <f t="shared" si="13"/>
        <v>0</v>
      </c>
      <c r="E45" s="4">
        <f t="shared" si="13"/>
        <v>0</v>
      </c>
      <c r="F45" s="4">
        <f t="shared" si="13"/>
        <v>0</v>
      </c>
    </row>
    <row r="46" spans="1:18" x14ac:dyDescent="0.25">
      <c r="A46" t="s">
        <v>22</v>
      </c>
      <c r="B46" s="4">
        <v>0.138975501113585</v>
      </c>
      <c r="C46" s="1" t="s">
        <v>3</v>
      </c>
      <c r="D46" s="4">
        <f t="shared" si="13"/>
        <v>0.34743875278396252</v>
      </c>
      <c r="E46" s="4">
        <f t="shared" si="13"/>
        <v>0.25015590200445303</v>
      </c>
      <c r="F46" s="4">
        <f t="shared" si="13"/>
        <v>0.41692650334075498</v>
      </c>
    </row>
    <row r="47" spans="1:18" x14ac:dyDescent="0.25">
      <c r="A47" t="s">
        <v>48</v>
      </c>
      <c r="B47" s="4">
        <v>1.69042316258351</v>
      </c>
      <c r="C47" s="1" t="s">
        <v>3</v>
      </c>
      <c r="D47" s="4">
        <f t="shared" si="13"/>
        <v>0.63154040311803683</v>
      </c>
      <c r="E47" s="4">
        <f t="shared" si="13"/>
        <v>0.63154040311803683</v>
      </c>
      <c r="F47" s="4">
        <f t="shared" si="13"/>
        <v>0.63154040311803683</v>
      </c>
    </row>
    <row r="48" spans="1:18" ht="18" x14ac:dyDescent="0.35">
      <c r="A48" t="s">
        <v>18</v>
      </c>
      <c r="B48" s="4">
        <v>0</v>
      </c>
      <c r="C48" s="1" t="s">
        <v>3</v>
      </c>
      <c r="D48" s="4">
        <f t="shared" si="13"/>
        <v>0</v>
      </c>
      <c r="E48" s="4">
        <f t="shared" si="13"/>
        <v>0</v>
      </c>
      <c r="F48" s="4">
        <f t="shared" si="13"/>
        <v>0</v>
      </c>
    </row>
    <row r="49" spans="1:6" ht="18" x14ac:dyDescent="0.35">
      <c r="A49" t="s">
        <v>19</v>
      </c>
      <c r="B49" s="4">
        <v>0</v>
      </c>
      <c r="C49" s="1" t="s">
        <v>3</v>
      </c>
      <c r="D49" s="4">
        <f t="shared" si="13"/>
        <v>0</v>
      </c>
      <c r="E49" s="4">
        <f t="shared" si="13"/>
        <v>0</v>
      </c>
      <c r="F49" s="4">
        <f t="shared" si="13"/>
        <v>0</v>
      </c>
    </row>
    <row r="50" spans="1:6" x14ac:dyDescent="0.25">
      <c r="A50" s="1" t="s">
        <v>7</v>
      </c>
      <c r="B50" s="4" t="s">
        <v>25</v>
      </c>
      <c r="C50" s="4" t="s">
        <v>25</v>
      </c>
      <c r="D50" s="4">
        <f>O17</f>
        <v>9.7730823194694755E-2</v>
      </c>
      <c r="E50" s="4">
        <f>D50</f>
        <v>9.7730823194694755E-2</v>
      </c>
      <c r="F50" s="4">
        <f t="shared" ref="F50:F51" si="14">E50</f>
        <v>9.7730823194694755E-2</v>
      </c>
    </row>
    <row r="51" spans="1:6" x14ac:dyDescent="0.25">
      <c r="A51" s="1" t="s">
        <v>8</v>
      </c>
      <c r="B51" s="1" t="s">
        <v>25</v>
      </c>
      <c r="C51" s="4" t="s">
        <v>25</v>
      </c>
      <c r="D51" s="4">
        <f>O18</f>
        <v>5.0076950727860121E-2</v>
      </c>
      <c r="E51" s="4">
        <f t="shared" ref="E51" si="15">D51</f>
        <v>5.0076950727860121E-2</v>
      </c>
      <c r="F51" s="4">
        <f t="shared" si="14"/>
        <v>5.0076950727860121E-2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BC48-4868-409B-A4B0-BA4018665A77}">
  <dimension ref="A1:R51"/>
  <sheetViews>
    <sheetView workbookViewId="0">
      <selection activeCell="P8" sqref="P8:Q8"/>
    </sheetView>
  </sheetViews>
  <sheetFormatPr defaultRowHeight="15" x14ac:dyDescent="0.25"/>
  <cols>
    <col min="1" max="1" width="22.5703125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18" x14ac:dyDescent="0.25">
      <c r="A1" s="6" t="s">
        <v>43</v>
      </c>
      <c r="B1" s="6"/>
      <c r="C1" s="6"/>
      <c r="D1" s="1" t="s">
        <v>17</v>
      </c>
      <c r="E1" s="1" t="s">
        <v>12</v>
      </c>
      <c r="F1" s="1" t="s">
        <v>13</v>
      </c>
      <c r="N1" s="6" t="s">
        <v>10</v>
      </c>
      <c r="O1" s="6"/>
      <c r="P1" s="6"/>
      <c r="Q1" s="6"/>
      <c r="R1" s="6"/>
    </row>
    <row r="2" spans="1:18" x14ac:dyDescent="0.25">
      <c r="A2" t="s">
        <v>42</v>
      </c>
      <c r="B2" s="4">
        <v>1</v>
      </c>
      <c r="C2" s="1" t="s">
        <v>3</v>
      </c>
      <c r="D2" s="4">
        <f>SUM(D3:D12)</f>
        <v>0.5631271197154053</v>
      </c>
      <c r="E2" s="4">
        <f t="shared" ref="E2:F2" si="0">SUM(E3:E12)</f>
        <v>0.14478983896564024</v>
      </c>
      <c r="F2" s="4">
        <f t="shared" si="0"/>
        <v>2.1774858818278195</v>
      </c>
      <c r="N2" s="1" t="s">
        <v>11</v>
      </c>
      <c r="O2" s="1" t="s">
        <v>9</v>
      </c>
      <c r="P2" s="1" t="s">
        <v>12</v>
      </c>
      <c r="Q2" s="1" t="s">
        <v>13</v>
      </c>
    </row>
    <row r="3" spans="1:18" ht="17.25" x14ac:dyDescent="0.25">
      <c r="A3" t="s">
        <v>0</v>
      </c>
      <c r="B3" s="4">
        <v>0.65178999999999998</v>
      </c>
      <c r="C3" s="3" t="s">
        <v>4</v>
      </c>
      <c r="D3" s="4">
        <f>$B3*O3</f>
        <v>0.35532395073630008</v>
      </c>
      <c r="E3" s="4">
        <f>$B3*P3</f>
        <v>3.5754722597999999E-2</v>
      </c>
      <c r="F3" s="4">
        <f>$B3*Q3</f>
        <v>1.5849116418933</v>
      </c>
      <c r="N3" t="s">
        <v>0</v>
      </c>
      <c r="O3" s="4">
        <f>701.61/1000*0.777</f>
        <v>0.54515097000000012</v>
      </c>
      <c r="P3" s="4">
        <f>70.6/1000*0.777</f>
        <v>5.4856200000000001E-2</v>
      </c>
      <c r="Q3" s="4">
        <f>3129.51/1000*0.777</f>
        <v>2.4316292700000002</v>
      </c>
      <c r="R3" t="s">
        <v>15</v>
      </c>
    </row>
    <row r="4" spans="1:18" x14ac:dyDescent="0.25">
      <c r="A4" t="s">
        <v>1</v>
      </c>
      <c r="B4" s="4">
        <v>6.93</v>
      </c>
      <c r="C4" s="3" t="s">
        <v>6</v>
      </c>
      <c r="D4" s="4">
        <f t="shared" ref="D4:F7" si="1">$B4*O4</f>
        <v>0.10323051592356688</v>
      </c>
      <c r="E4" s="4">
        <f t="shared" si="1"/>
        <v>1.0387643312101911E-2</v>
      </c>
      <c r="F4" s="4">
        <f t="shared" si="1"/>
        <v>0.4604565668789809</v>
      </c>
      <c r="N4" t="s">
        <v>1</v>
      </c>
      <c r="O4" s="4">
        <f>701.61/1000/47.1</f>
        <v>1.4896178343949046E-2</v>
      </c>
      <c r="P4" s="4">
        <f>70.6/1000/47.1</f>
        <v>1.4989384288747346E-3</v>
      </c>
      <c r="Q4" s="4">
        <f>3129.51/1000/47.1</f>
        <v>6.644394904458599E-2</v>
      </c>
      <c r="R4" t="s">
        <v>16</v>
      </c>
    </row>
    <row r="5" spans="1:18" x14ac:dyDescent="0.25">
      <c r="A5" t="s">
        <v>2</v>
      </c>
      <c r="B5" s="4">
        <v>7.3999999999999996E-2</v>
      </c>
      <c r="C5" s="1" t="s">
        <v>5</v>
      </c>
      <c r="D5" s="4">
        <f t="shared" si="1"/>
        <v>7.1868799999999997E-3</v>
      </c>
      <c r="E5" s="4">
        <f t="shared" si="1"/>
        <v>1.2616999999999999E-3</v>
      </c>
      <c r="F5" s="4">
        <f t="shared" si="1"/>
        <v>3.4731900000000003E-2</v>
      </c>
      <c r="N5" t="s">
        <v>2</v>
      </c>
      <c r="O5" s="4">
        <f>97.12/1000</f>
        <v>9.7119999999999998E-2</v>
      </c>
      <c r="P5" s="4">
        <f>17.05/1000</f>
        <v>1.7049999999999999E-2</v>
      </c>
      <c r="Q5" s="4">
        <f>469.35/1000</f>
        <v>0.46935000000000004</v>
      </c>
      <c r="R5" t="s">
        <v>20</v>
      </c>
    </row>
    <row r="6" spans="1:18" x14ac:dyDescent="0.25">
      <c r="A6" t="s">
        <v>21</v>
      </c>
      <c r="B6" s="4">
        <v>0</v>
      </c>
      <c r="C6" s="1" t="s">
        <v>3</v>
      </c>
      <c r="D6" s="4">
        <f t="shared" si="1"/>
        <v>0</v>
      </c>
      <c r="E6" s="4">
        <f t="shared" si="1"/>
        <v>0</v>
      </c>
      <c r="F6" s="4">
        <f t="shared" si="1"/>
        <v>0</v>
      </c>
      <c r="N6" t="s">
        <v>21</v>
      </c>
      <c r="O6" s="4">
        <v>1.8</v>
      </c>
      <c r="P6" s="4">
        <v>1.4</v>
      </c>
      <c r="Q6" s="4">
        <v>2.2000000000000002</v>
      </c>
      <c r="R6" t="s">
        <v>14</v>
      </c>
    </row>
    <row r="7" spans="1:18" x14ac:dyDescent="0.25">
      <c r="A7" t="s">
        <v>22</v>
      </c>
      <c r="B7" s="4">
        <v>0</v>
      </c>
      <c r="C7" s="1" t="s">
        <v>3</v>
      </c>
      <c r="D7" s="4">
        <f t="shared" si="1"/>
        <v>0</v>
      </c>
      <c r="E7" s="4">
        <f t="shared" si="1"/>
        <v>0</v>
      </c>
      <c r="F7" s="4">
        <f t="shared" si="1"/>
        <v>0</v>
      </c>
      <c r="N7" t="s">
        <v>22</v>
      </c>
      <c r="O7" s="4">
        <v>2</v>
      </c>
      <c r="P7" s="4">
        <v>1.6</v>
      </c>
      <c r="Q7" s="4">
        <v>2.6</v>
      </c>
      <c r="R7" t="s">
        <v>14</v>
      </c>
    </row>
    <row r="8" spans="1:18" x14ac:dyDescent="0.25">
      <c r="A8" t="s">
        <v>48</v>
      </c>
      <c r="B8" s="4">
        <v>0</v>
      </c>
      <c r="C8" s="1" t="s">
        <v>3</v>
      </c>
      <c r="D8" s="4">
        <f t="shared" ref="D8:F10" si="2">$B8*O8</f>
        <v>0</v>
      </c>
      <c r="E8" s="4">
        <f t="shared" si="2"/>
        <v>0</v>
      </c>
      <c r="F8" s="4">
        <f t="shared" si="2"/>
        <v>0</v>
      </c>
      <c r="N8" t="s">
        <v>48</v>
      </c>
      <c r="O8" s="4">
        <f>293.931999999999/1000</f>
        <v>0.29393199999999897</v>
      </c>
      <c r="P8" s="4">
        <f t="shared" ref="P8:Q8" si="3">293.931999999999/1000</f>
        <v>0.29393199999999897</v>
      </c>
      <c r="Q8" s="4">
        <f t="shared" si="3"/>
        <v>0.29393199999999897</v>
      </c>
      <c r="R8" t="s">
        <v>14</v>
      </c>
    </row>
    <row r="9" spans="1:18" ht="18" x14ac:dyDescent="0.35">
      <c r="A9" t="s">
        <v>18</v>
      </c>
      <c r="B9" s="4">
        <v>0</v>
      </c>
      <c r="C9" s="1" t="s">
        <v>3</v>
      </c>
      <c r="D9" s="4">
        <f t="shared" si="2"/>
        <v>0</v>
      </c>
      <c r="E9" s="4">
        <f t="shared" si="2"/>
        <v>0</v>
      </c>
      <c r="F9" s="4">
        <f t="shared" si="2"/>
        <v>0</v>
      </c>
      <c r="N9" t="s">
        <v>18</v>
      </c>
      <c r="O9" s="4">
        <v>0</v>
      </c>
      <c r="P9" s="4">
        <v>0</v>
      </c>
      <c r="Q9" s="4">
        <v>0</v>
      </c>
      <c r="R9" t="s">
        <v>14</v>
      </c>
    </row>
    <row r="10" spans="1:18" ht="18" x14ac:dyDescent="0.35">
      <c r="A10" t="s">
        <v>19</v>
      </c>
      <c r="B10" s="4">
        <v>0</v>
      </c>
      <c r="C10" s="1" t="s">
        <v>3</v>
      </c>
      <c r="D10" s="4">
        <f t="shared" si="2"/>
        <v>0</v>
      </c>
      <c r="E10" s="4">
        <f t="shared" si="2"/>
        <v>0</v>
      </c>
      <c r="F10" s="4">
        <f t="shared" si="2"/>
        <v>0</v>
      </c>
      <c r="N10" t="s">
        <v>19</v>
      </c>
      <c r="O10" s="4">
        <v>0</v>
      </c>
      <c r="P10" s="4">
        <v>0</v>
      </c>
      <c r="Q10" s="4">
        <v>0</v>
      </c>
      <c r="R10" t="s">
        <v>14</v>
      </c>
    </row>
    <row r="11" spans="1:18" x14ac:dyDescent="0.25">
      <c r="A11" s="1" t="s">
        <v>7</v>
      </c>
      <c r="B11" s="4" t="s">
        <v>25</v>
      </c>
      <c r="C11" s="4" t="s">
        <v>25</v>
      </c>
      <c r="D11" s="4">
        <f>O13</f>
        <v>6.4391686009399624E-2</v>
      </c>
      <c r="E11" s="4">
        <f>D11</f>
        <v>6.4391686009399624E-2</v>
      </c>
      <c r="F11" s="4">
        <f>E11</f>
        <v>6.4391686009399624E-2</v>
      </c>
      <c r="O11" s="4"/>
      <c r="P11" s="4"/>
      <c r="Q11" s="4"/>
    </row>
    <row r="12" spans="1:18" x14ac:dyDescent="0.25">
      <c r="A12" s="1" t="s">
        <v>8</v>
      </c>
      <c r="B12" s="1" t="s">
        <v>25</v>
      </c>
      <c r="C12" s="4" t="s">
        <v>25</v>
      </c>
      <c r="D12" s="4">
        <f>O14</f>
        <v>3.2994087046138695E-2</v>
      </c>
      <c r="E12" s="4">
        <f>D12</f>
        <v>3.2994087046138695E-2</v>
      </c>
      <c r="F12" s="4">
        <f>E12</f>
        <v>3.2994087046138695E-2</v>
      </c>
      <c r="N12" s="6" t="s">
        <v>23</v>
      </c>
      <c r="O12" s="6"/>
      <c r="P12" s="6"/>
      <c r="Q12" s="6"/>
      <c r="R12" s="6"/>
    </row>
    <row r="13" spans="1:18" ht="17.25" x14ac:dyDescent="0.25">
      <c r="A13" s="1"/>
      <c r="N13" s="1" t="s">
        <v>7</v>
      </c>
      <c r="O13" s="4">
        <f>0.056*596.2/607.5*596.2/550.8*596.2/550.8</f>
        <v>6.4391686009399624E-2</v>
      </c>
      <c r="P13" s="4">
        <v>0</v>
      </c>
      <c r="Q13" s="4">
        <v>0</v>
      </c>
      <c r="R13" s="1" t="s">
        <v>44</v>
      </c>
    </row>
    <row r="14" spans="1:18" ht="17.25" x14ac:dyDescent="0.25">
      <c r="A14" s="6" t="s">
        <v>45</v>
      </c>
      <c r="B14" s="6"/>
      <c r="C14" s="6"/>
      <c r="D14" s="1" t="s">
        <v>17</v>
      </c>
      <c r="E14" s="1" t="s">
        <v>12</v>
      </c>
      <c r="F14" s="1" t="s">
        <v>13</v>
      </c>
      <c r="N14" s="1" t="s">
        <v>8</v>
      </c>
      <c r="O14" s="4">
        <f>0.0286942148760331*596.2/607.5*596.2/550.8*596.2/550.8</f>
        <v>3.2994087046138695E-2</v>
      </c>
      <c r="P14" s="4">
        <v>0</v>
      </c>
      <c r="Q14" s="4">
        <v>0</v>
      </c>
      <c r="R14" s="1" t="s">
        <v>44</v>
      </c>
    </row>
    <row r="15" spans="1:18" x14ac:dyDescent="0.25">
      <c r="A15" t="s">
        <v>42</v>
      </c>
      <c r="B15" s="4">
        <v>1</v>
      </c>
      <c r="C15" s="1" t="s">
        <v>3</v>
      </c>
      <c r="D15" s="4">
        <f>SUM(D16:D25)</f>
        <v>0.57895767971540535</v>
      </c>
      <c r="E15" s="4">
        <f t="shared" ref="E15:F15" si="4">SUM(E16:E25)</f>
        <v>0.14756898896564025</v>
      </c>
      <c r="F15" s="4">
        <f t="shared" si="4"/>
        <v>2.2539899318278196</v>
      </c>
      <c r="N15" s="1"/>
      <c r="O15" s="1"/>
      <c r="P15" s="1"/>
      <c r="Q15" s="1"/>
    </row>
    <row r="16" spans="1:18" x14ac:dyDescent="0.25">
      <c r="A16" t="s">
        <v>0</v>
      </c>
      <c r="B16" s="4">
        <v>0.65178999999999998</v>
      </c>
      <c r="C16" s="3" t="s">
        <v>4</v>
      </c>
      <c r="D16" s="4">
        <f t="shared" ref="D16:F23" si="5">$B16*O3</f>
        <v>0.35532395073630008</v>
      </c>
      <c r="E16" s="4">
        <f t="shared" si="5"/>
        <v>3.5754722597999999E-2</v>
      </c>
      <c r="F16" s="4">
        <f t="shared" si="5"/>
        <v>1.5849116418933</v>
      </c>
      <c r="N16" s="6" t="s">
        <v>24</v>
      </c>
      <c r="O16" s="6"/>
      <c r="P16" s="6"/>
      <c r="Q16" s="6"/>
      <c r="R16" s="6"/>
    </row>
    <row r="17" spans="1:18" ht="17.25" x14ac:dyDescent="0.25">
      <c r="A17" t="s">
        <v>1</v>
      </c>
      <c r="B17" s="4">
        <v>6.93</v>
      </c>
      <c r="C17" s="3" t="s">
        <v>4</v>
      </c>
      <c r="D17" s="4">
        <f t="shared" si="5"/>
        <v>0.10323051592356688</v>
      </c>
      <c r="E17" s="4">
        <f t="shared" si="5"/>
        <v>1.0387643312101911E-2</v>
      </c>
      <c r="F17" s="4">
        <f t="shared" si="5"/>
        <v>0.4604565668789809</v>
      </c>
      <c r="N17" s="1" t="s">
        <v>7</v>
      </c>
      <c r="O17" s="4">
        <f>0.092*596.2/607.5*596.2/550.8*596.2/550.8</f>
        <v>0.10578634130115654</v>
      </c>
      <c r="P17" s="4">
        <v>0</v>
      </c>
      <c r="Q17" s="4">
        <v>0</v>
      </c>
      <c r="R17" s="1" t="s">
        <v>44</v>
      </c>
    </row>
    <row r="18" spans="1:18" ht="17.25" x14ac:dyDescent="0.25">
      <c r="A18" t="s">
        <v>2</v>
      </c>
      <c r="B18" s="4">
        <v>0.23699999999999999</v>
      </c>
      <c r="C18" s="1" t="s">
        <v>5</v>
      </c>
      <c r="D18" s="4">
        <f t="shared" si="5"/>
        <v>2.301744E-2</v>
      </c>
      <c r="E18" s="4">
        <f t="shared" si="5"/>
        <v>4.0408499999999995E-3</v>
      </c>
      <c r="F18" s="4">
        <f t="shared" si="5"/>
        <v>0.11123595</v>
      </c>
      <c r="N18" s="1" t="s">
        <v>8</v>
      </c>
      <c r="O18" s="4">
        <f>0.0471404958677686*596.2/607.5*596.2/550.8*596.2/550.8</f>
        <v>5.4204571575799221E-2</v>
      </c>
      <c r="P18" s="4">
        <v>0</v>
      </c>
      <c r="Q18" s="4">
        <v>0</v>
      </c>
      <c r="R18" s="1" t="s">
        <v>44</v>
      </c>
    </row>
    <row r="19" spans="1:18" x14ac:dyDescent="0.25">
      <c r="A19" t="s">
        <v>21</v>
      </c>
      <c r="B19" s="4">
        <v>0</v>
      </c>
      <c r="C19" s="1" t="s">
        <v>3</v>
      </c>
      <c r="D19" s="4">
        <f t="shared" si="5"/>
        <v>0</v>
      </c>
      <c r="E19" s="4">
        <f t="shared" si="5"/>
        <v>0</v>
      </c>
      <c r="F19" s="4">
        <f t="shared" si="5"/>
        <v>0</v>
      </c>
    </row>
    <row r="20" spans="1:18" x14ac:dyDescent="0.25">
      <c r="A20" t="s">
        <v>22</v>
      </c>
      <c r="B20" s="4">
        <v>0</v>
      </c>
      <c r="C20" s="1" t="s">
        <v>3</v>
      </c>
      <c r="D20" s="4">
        <f t="shared" si="5"/>
        <v>0</v>
      </c>
      <c r="E20" s="4">
        <f t="shared" si="5"/>
        <v>0</v>
      </c>
      <c r="F20" s="4">
        <f t="shared" si="5"/>
        <v>0</v>
      </c>
      <c r="O20" s="4"/>
    </row>
    <row r="21" spans="1:18" x14ac:dyDescent="0.25">
      <c r="A21" t="s">
        <v>48</v>
      </c>
      <c r="B21" s="4">
        <v>0</v>
      </c>
      <c r="C21" s="1" t="s">
        <v>3</v>
      </c>
      <c r="D21" s="4">
        <f t="shared" si="5"/>
        <v>0</v>
      </c>
      <c r="E21" s="4">
        <f t="shared" si="5"/>
        <v>0</v>
      </c>
      <c r="F21" s="4">
        <f t="shared" si="5"/>
        <v>0</v>
      </c>
      <c r="O21" s="4"/>
    </row>
    <row r="22" spans="1:18" ht="18" x14ac:dyDescent="0.35">
      <c r="A22" t="s">
        <v>18</v>
      </c>
      <c r="B22" s="4">
        <v>0</v>
      </c>
      <c r="C22" s="1" t="s">
        <v>3</v>
      </c>
      <c r="D22" s="4">
        <f t="shared" si="5"/>
        <v>0</v>
      </c>
      <c r="E22" s="4">
        <f t="shared" si="5"/>
        <v>0</v>
      </c>
      <c r="F22" s="4">
        <f t="shared" si="5"/>
        <v>0</v>
      </c>
      <c r="O22" s="4"/>
    </row>
    <row r="23" spans="1:18" ht="18" x14ac:dyDescent="0.35">
      <c r="A23" t="s">
        <v>19</v>
      </c>
      <c r="B23" s="4">
        <v>0</v>
      </c>
      <c r="C23" s="1" t="s">
        <v>3</v>
      </c>
      <c r="D23" s="4">
        <f t="shared" si="5"/>
        <v>0</v>
      </c>
      <c r="E23" s="4">
        <f t="shared" si="5"/>
        <v>0</v>
      </c>
      <c r="F23" s="4">
        <f t="shared" si="5"/>
        <v>0</v>
      </c>
      <c r="O23" s="4"/>
    </row>
    <row r="24" spans="1:18" x14ac:dyDescent="0.25">
      <c r="A24" s="1" t="s">
        <v>7</v>
      </c>
      <c r="B24" s="4" t="s">
        <v>25</v>
      </c>
      <c r="C24" s="4" t="s">
        <v>25</v>
      </c>
      <c r="D24" s="4">
        <f>O13</f>
        <v>6.4391686009399624E-2</v>
      </c>
      <c r="E24" s="4">
        <f>D24</f>
        <v>6.4391686009399624E-2</v>
      </c>
      <c r="F24" s="4">
        <f t="shared" ref="F24:F25" si="6">E24</f>
        <v>6.4391686009399624E-2</v>
      </c>
      <c r="O24" s="4"/>
    </row>
    <row r="25" spans="1:18" x14ac:dyDescent="0.25">
      <c r="A25" s="1" t="s">
        <v>8</v>
      </c>
      <c r="B25" s="1" t="s">
        <v>25</v>
      </c>
      <c r="C25" s="4" t="s">
        <v>25</v>
      </c>
      <c r="D25" s="4">
        <f>O14</f>
        <v>3.2994087046138695E-2</v>
      </c>
      <c r="E25" s="4">
        <f t="shared" ref="E25" si="7">D25</f>
        <v>3.2994087046138695E-2</v>
      </c>
      <c r="F25" s="4">
        <f t="shared" si="6"/>
        <v>3.2994087046138695E-2</v>
      </c>
    </row>
    <row r="26" spans="1:18" x14ac:dyDescent="0.25">
      <c r="N26" s="6"/>
      <c r="O26" s="6"/>
      <c r="P26" s="6"/>
      <c r="Q26" s="6"/>
      <c r="R26" s="6"/>
    </row>
    <row r="27" spans="1:18" x14ac:dyDescent="0.25">
      <c r="A27" s="6" t="s">
        <v>46</v>
      </c>
      <c r="B27" s="6"/>
      <c r="C27" s="6"/>
      <c r="D27" s="1" t="s">
        <v>17</v>
      </c>
      <c r="E27" s="1" t="s">
        <v>12</v>
      </c>
      <c r="F27" s="1" t="s">
        <v>13</v>
      </c>
      <c r="N27" s="1"/>
      <c r="O27" s="1"/>
      <c r="P27" s="1"/>
      <c r="Q27" s="1"/>
    </row>
    <row r="28" spans="1:18" x14ac:dyDescent="0.25">
      <c r="A28" t="s">
        <v>42</v>
      </c>
      <c r="B28" s="4">
        <v>1</v>
      </c>
      <c r="C28" s="1" t="s">
        <v>3</v>
      </c>
      <c r="D28" s="4">
        <f>SUM(D29:D38)</f>
        <v>0.9364334696698231</v>
      </c>
      <c r="E28" s="4">
        <f t="shared" ref="E28:F28" si="8">SUM(E29:E38)</f>
        <v>0.85659044071659385</v>
      </c>
      <c r="F28" s="4">
        <f t="shared" si="8"/>
        <v>1.1047703961731636</v>
      </c>
      <c r="O28" s="4"/>
      <c r="P28" s="4"/>
      <c r="Q28" s="4"/>
    </row>
    <row r="29" spans="1:18" x14ac:dyDescent="0.25">
      <c r="A29" t="s">
        <v>0</v>
      </c>
      <c r="B29" s="4">
        <v>0</v>
      </c>
      <c r="C29" s="3" t="s">
        <v>4</v>
      </c>
      <c r="D29" s="4">
        <f t="shared" ref="D29:F36" si="9">$B29*O3</f>
        <v>0</v>
      </c>
      <c r="E29" s="4">
        <f t="shared" si="9"/>
        <v>0</v>
      </c>
      <c r="F29" s="4">
        <f t="shared" si="9"/>
        <v>0</v>
      </c>
      <c r="O29" s="4"/>
      <c r="P29" s="4"/>
      <c r="Q29" s="4"/>
    </row>
    <row r="30" spans="1:18" x14ac:dyDescent="0.25">
      <c r="A30" t="s">
        <v>1</v>
      </c>
      <c r="B30" s="4">
        <v>0</v>
      </c>
      <c r="C30" s="3" t="s">
        <v>6</v>
      </c>
      <c r="D30" s="4">
        <f t="shared" si="9"/>
        <v>0</v>
      </c>
      <c r="E30" s="4">
        <f t="shared" si="9"/>
        <v>0</v>
      </c>
      <c r="F30" s="4">
        <f t="shared" si="9"/>
        <v>0</v>
      </c>
    </row>
    <row r="31" spans="1:18" x14ac:dyDescent="0.25">
      <c r="A31" t="s">
        <v>2</v>
      </c>
      <c r="B31" s="4">
        <v>0.30289532293986599</v>
      </c>
      <c r="C31" s="1" t="s">
        <v>5</v>
      </c>
      <c r="D31" s="4">
        <f t="shared" si="9"/>
        <v>2.9417193763919783E-2</v>
      </c>
      <c r="E31" s="4">
        <f t="shared" si="9"/>
        <v>5.1643652561247149E-3</v>
      </c>
      <c r="F31" s="4">
        <f t="shared" si="9"/>
        <v>0.14216391982182611</v>
      </c>
    </row>
    <row r="32" spans="1:18" x14ac:dyDescent="0.25">
      <c r="A32" t="s">
        <v>21</v>
      </c>
      <c r="B32" s="4">
        <v>0.138975501113585</v>
      </c>
      <c r="C32" s="1" t="s">
        <v>3</v>
      </c>
      <c r="D32" s="4">
        <f t="shared" si="9"/>
        <v>0.25015590200445303</v>
      </c>
      <c r="E32" s="4">
        <f t="shared" si="9"/>
        <v>0.19456570155901901</v>
      </c>
      <c r="F32" s="4">
        <f t="shared" si="9"/>
        <v>0.30574610244988704</v>
      </c>
    </row>
    <row r="33" spans="1:18" x14ac:dyDescent="0.25">
      <c r="A33" t="s">
        <v>22</v>
      </c>
      <c r="B33" s="4">
        <v>0</v>
      </c>
      <c r="C33" s="1" t="s">
        <v>3</v>
      </c>
      <c r="D33" s="4">
        <f t="shared" si="9"/>
        <v>0</v>
      </c>
      <c r="E33" s="4">
        <f t="shared" si="9"/>
        <v>0</v>
      </c>
      <c r="F33" s="4">
        <f t="shared" si="9"/>
        <v>0</v>
      </c>
    </row>
    <row r="34" spans="1:18" x14ac:dyDescent="0.25">
      <c r="A34" t="s">
        <v>48</v>
      </c>
      <c r="B34" s="4">
        <v>1.69042316258351</v>
      </c>
      <c r="C34" s="1" t="s">
        <v>3</v>
      </c>
      <c r="D34" s="4">
        <f t="shared" si="9"/>
        <v>0.49686946102449453</v>
      </c>
      <c r="E34" s="4">
        <f t="shared" si="9"/>
        <v>0.49686946102449453</v>
      </c>
      <c r="F34" s="4">
        <f t="shared" si="9"/>
        <v>0.49686946102449453</v>
      </c>
    </row>
    <row r="35" spans="1:18" ht="18" x14ac:dyDescent="0.35">
      <c r="A35" t="s">
        <v>18</v>
      </c>
      <c r="B35" s="4">
        <v>0</v>
      </c>
      <c r="C35" s="1" t="s">
        <v>3</v>
      </c>
      <c r="D35" s="4">
        <f t="shared" si="9"/>
        <v>0</v>
      </c>
      <c r="E35" s="4">
        <f t="shared" si="9"/>
        <v>0</v>
      </c>
      <c r="F35" s="4">
        <f t="shared" si="9"/>
        <v>0</v>
      </c>
    </row>
    <row r="36" spans="1:18" ht="18" x14ac:dyDescent="0.35">
      <c r="A36" t="s">
        <v>19</v>
      </c>
      <c r="B36" s="4">
        <v>0</v>
      </c>
      <c r="C36" s="1" t="s">
        <v>3</v>
      </c>
      <c r="D36" s="4">
        <f t="shared" si="9"/>
        <v>0</v>
      </c>
      <c r="E36" s="4">
        <f t="shared" si="9"/>
        <v>0</v>
      </c>
      <c r="F36" s="4">
        <f t="shared" si="9"/>
        <v>0</v>
      </c>
    </row>
    <row r="37" spans="1:18" x14ac:dyDescent="0.25">
      <c r="A37" s="1" t="s">
        <v>7</v>
      </c>
      <c r="B37" s="4" t="s">
        <v>25</v>
      </c>
      <c r="C37" s="4" t="s">
        <v>25</v>
      </c>
      <c r="D37" s="4">
        <f>O17</f>
        <v>0.10578634130115654</v>
      </c>
      <c r="E37" s="4">
        <f>D37</f>
        <v>0.10578634130115654</v>
      </c>
      <c r="F37" s="4">
        <f t="shared" ref="F37:F38" si="10">E37</f>
        <v>0.10578634130115654</v>
      </c>
      <c r="N37" s="6"/>
      <c r="O37" s="6"/>
      <c r="P37" s="6"/>
      <c r="Q37" s="6"/>
      <c r="R37" s="6"/>
    </row>
    <row r="38" spans="1:18" x14ac:dyDescent="0.25">
      <c r="A38" s="1" t="s">
        <v>8</v>
      </c>
      <c r="B38" s="1" t="s">
        <v>25</v>
      </c>
      <c r="C38" s="4" t="s">
        <v>25</v>
      </c>
      <c r="D38" s="4">
        <f>O18</f>
        <v>5.4204571575799221E-2</v>
      </c>
      <c r="E38" s="4">
        <f t="shared" ref="E38" si="11">D38</f>
        <v>5.4204571575799221E-2</v>
      </c>
      <c r="F38" s="4">
        <f t="shared" si="10"/>
        <v>5.4204571575799221E-2</v>
      </c>
      <c r="N38" s="1"/>
      <c r="O38" s="1"/>
      <c r="P38" s="1"/>
      <c r="Q38" s="1"/>
    </row>
    <row r="39" spans="1:18" x14ac:dyDescent="0.25">
      <c r="O39" s="4"/>
      <c r="P39" s="4"/>
      <c r="Q39" s="4"/>
    </row>
    <row r="40" spans="1:18" x14ac:dyDescent="0.25">
      <c r="A40" s="6" t="s">
        <v>47</v>
      </c>
      <c r="B40" s="6"/>
      <c r="C40" s="6"/>
      <c r="D40" s="1" t="s">
        <v>17</v>
      </c>
      <c r="E40" s="1" t="s">
        <v>12</v>
      </c>
      <c r="F40" s="1" t="s">
        <v>13</v>
      </c>
      <c r="O40" s="4"/>
      <c r="P40" s="4"/>
      <c r="Q40" s="4"/>
    </row>
    <row r="41" spans="1:18" x14ac:dyDescent="0.25">
      <c r="A41" t="s">
        <v>42</v>
      </c>
      <c r="B41" s="4">
        <v>1</v>
      </c>
      <c r="C41" s="1" t="s">
        <v>3</v>
      </c>
      <c r="D41" s="4">
        <f>SUM(D42:D51)</f>
        <v>0.96422856989253991</v>
      </c>
      <c r="E41" s="4">
        <f t="shared" ref="E41:F41" si="12">SUM(E42:E51)</f>
        <v>0.88438554093931088</v>
      </c>
      <c r="F41" s="4">
        <f t="shared" si="12"/>
        <v>1.1603605966185975</v>
      </c>
    </row>
    <row r="42" spans="1:18" x14ac:dyDescent="0.25">
      <c r="A42" t="s">
        <v>0</v>
      </c>
      <c r="B42" s="4">
        <v>0</v>
      </c>
      <c r="C42" s="3" t="s">
        <v>4</v>
      </c>
      <c r="D42" s="4">
        <f t="shared" ref="D42:F49" si="13">$B42*O3</f>
        <v>0</v>
      </c>
      <c r="E42" s="4">
        <f t="shared" si="13"/>
        <v>0</v>
      </c>
      <c r="F42" s="4">
        <f t="shared" si="13"/>
        <v>0</v>
      </c>
    </row>
    <row r="43" spans="1:18" x14ac:dyDescent="0.25">
      <c r="A43" t="s">
        <v>1</v>
      </c>
      <c r="B43" s="4">
        <v>0</v>
      </c>
      <c r="C43" s="3" t="s">
        <v>6</v>
      </c>
      <c r="D43" s="4">
        <f t="shared" si="13"/>
        <v>0</v>
      </c>
      <c r="E43" s="4">
        <f t="shared" si="13"/>
        <v>0</v>
      </c>
      <c r="F43" s="4">
        <f t="shared" si="13"/>
        <v>0</v>
      </c>
    </row>
    <row r="44" spans="1:18" x14ac:dyDescent="0.25">
      <c r="A44" t="s">
        <v>2</v>
      </c>
      <c r="B44" s="4">
        <v>0.30289532293986599</v>
      </c>
      <c r="C44" s="1" t="s">
        <v>5</v>
      </c>
      <c r="D44" s="4">
        <f t="shared" si="13"/>
        <v>2.9417193763919783E-2</v>
      </c>
      <c r="E44" s="4">
        <f t="shared" si="13"/>
        <v>5.1643652561247149E-3</v>
      </c>
      <c r="F44" s="4">
        <f t="shared" si="13"/>
        <v>0.14216391982182611</v>
      </c>
    </row>
    <row r="45" spans="1:18" x14ac:dyDescent="0.25">
      <c r="A45" t="s">
        <v>21</v>
      </c>
      <c r="B45" s="4">
        <v>0</v>
      </c>
      <c r="C45" s="1" t="s">
        <v>3</v>
      </c>
      <c r="D45" s="4">
        <f t="shared" si="13"/>
        <v>0</v>
      </c>
      <c r="E45" s="4">
        <f t="shared" si="13"/>
        <v>0</v>
      </c>
      <c r="F45" s="4">
        <f t="shared" si="13"/>
        <v>0</v>
      </c>
    </row>
    <row r="46" spans="1:18" x14ac:dyDescent="0.25">
      <c r="A46" t="s">
        <v>22</v>
      </c>
      <c r="B46" s="4">
        <v>0.138975501113585</v>
      </c>
      <c r="C46" s="1" t="s">
        <v>3</v>
      </c>
      <c r="D46" s="4">
        <f t="shared" si="13"/>
        <v>0.27795100222717001</v>
      </c>
      <c r="E46" s="4">
        <f t="shared" si="13"/>
        <v>0.22236080178173601</v>
      </c>
      <c r="F46" s="4">
        <f t="shared" si="13"/>
        <v>0.36133630289532104</v>
      </c>
    </row>
    <row r="47" spans="1:18" x14ac:dyDescent="0.25">
      <c r="A47" t="s">
        <v>48</v>
      </c>
      <c r="B47" s="4">
        <v>1.69042316258351</v>
      </c>
      <c r="C47" s="1" t="s">
        <v>3</v>
      </c>
      <c r="D47" s="4">
        <f t="shared" si="13"/>
        <v>0.49686946102449453</v>
      </c>
      <c r="E47" s="4">
        <f t="shared" si="13"/>
        <v>0.49686946102449453</v>
      </c>
      <c r="F47" s="4">
        <f t="shared" si="13"/>
        <v>0.49686946102449453</v>
      </c>
    </row>
    <row r="48" spans="1:18" ht="18" x14ac:dyDescent="0.35">
      <c r="A48" t="s">
        <v>18</v>
      </c>
      <c r="B48" s="4">
        <v>0</v>
      </c>
      <c r="C48" s="1" t="s">
        <v>3</v>
      </c>
      <c r="D48" s="4">
        <f t="shared" si="13"/>
        <v>0</v>
      </c>
      <c r="E48" s="4">
        <f t="shared" si="13"/>
        <v>0</v>
      </c>
      <c r="F48" s="4">
        <f t="shared" si="13"/>
        <v>0</v>
      </c>
    </row>
    <row r="49" spans="1:6" ht="18" x14ac:dyDescent="0.35">
      <c r="A49" t="s">
        <v>19</v>
      </c>
      <c r="B49" s="4">
        <v>0</v>
      </c>
      <c r="C49" s="1" t="s">
        <v>3</v>
      </c>
      <c r="D49" s="4">
        <f t="shared" si="13"/>
        <v>0</v>
      </c>
      <c r="E49" s="4">
        <f t="shared" si="13"/>
        <v>0</v>
      </c>
      <c r="F49" s="4">
        <f t="shared" si="13"/>
        <v>0</v>
      </c>
    </row>
    <row r="50" spans="1:6" x14ac:dyDescent="0.25">
      <c r="A50" s="1" t="s">
        <v>7</v>
      </c>
      <c r="B50" s="4" t="s">
        <v>25</v>
      </c>
      <c r="C50" s="4" t="s">
        <v>25</v>
      </c>
      <c r="D50" s="4">
        <f>O17</f>
        <v>0.10578634130115654</v>
      </c>
      <c r="E50" s="4">
        <f>D50</f>
        <v>0.10578634130115654</v>
      </c>
      <c r="F50" s="4">
        <f t="shared" ref="F50:F51" si="14">E50</f>
        <v>0.10578634130115654</v>
      </c>
    </row>
    <row r="51" spans="1:6" x14ac:dyDescent="0.25">
      <c r="A51" s="1" t="s">
        <v>8</v>
      </c>
      <c r="B51" s="1" t="s">
        <v>25</v>
      </c>
      <c r="C51" s="4" t="s">
        <v>25</v>
      </c>
      <c r="D51" s="4">
        <f>O18</f>
        <v>5.4204571575799221E-2</v>
      </c>
      <c r="E51" s="4">
        <f t="shared" ref="E51" si="15">D51</f>
        <v>5.4204571575799221E-2</v>
      </c>
      <c r="F51" s="4">
        <f t="shared" si="14"/>
        <v>5.4204571575799221E-2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FB47-E18B-454B-BC6D-DB219CFDE4C8}">
  <dimension ref="A1:R51"/>
  <sheetViews>
    <sheetView topLeftCell="A16" workbookViewId="0">
      <selection activeCell="D32" sqref="D32"/>
    </sheetView>
  </sheetViews>
  <sheetFormatPr defaultRowHeight="15" x14ac:dyDescent="0.25"/>
  <cols>
    <col min="1" max="1" width="22.5703125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18" x14ac:dyDescent="0.25">
      <c r="A1" s="6" t="s">
        <v>43</v>
      </c>
      <c r="B1" s="6"/>
      <c r="C1" s="6"/>
      <c r="D1" s="1" t="s">
        <v>17</v>
      </c>
      <c r="E1" s="1" t="s">
        <v>12</v>
      </c>
      <c r="F1" s="1" t="s">
        <v>13</v>
      </c>
      <c r="N1" s="6" t="s">
        <v>10</v>
      </c>
      <c r="O1" s="6"/>
      <c r="P1" s="6"/>
      <c r="Q1" s="6"/>
      <c r="R1" s="6"/>
    </row>
    <row r="2" spans="1:18" x14ac:dyDescent="0.25">
      <c r="A2" t="s">
        <v>42</v>
      </c>
      <c r="B2" s="4">
        <v>1</v>
      </c>
      <c r="C2" s="1" t="s">
        <v>3</v>
      </c>
      <c r="D2" s="4">
        <f>SUM(D3:D12)</f>
        <v>0.57115419686994673</v>
      </c>
      <c r="E2" s="4">
        <f t="shared" ref="E2:F2" si="0">SUM(E3:E12)</f>
        <v>0.15281691612018172</v>
      </c>
      <c r="F2" s="4">
        <f t="shared" si="0"/>
        <v>2.1855129589823612</v>
      </c>
      <c r="N2" s="1" t="s">
        <v>11</v>
      </c>
      <c r="O2" s="1" t="s">
        <v>9</v>
      </c>
      <c r="P2" s="1" t="s">
        <v>12</v>
      </c>
      <c r="Q2" s="1" t="s">
        <v>13</v>
      </c>
    </row>
    <row r="3" spans="1:18" ht="17.25" x14ac:dyDescent="0.25">
      <c r="A3" t="s">
        <v>0</v>
      </c>
      <c r="B3" s="4">
        <v>0.65178999999999998</v>
      </c>
      <c r="C3" s="3" t="s">
        <v>4</v>
      </c>
      <c r="D3" s="4">
        <f>$B3*O3</f>
        <v>0.35532395073630008</v>
      </c>
      <c r="E3" s="4">
        <f>$B3*P3</f>
        <v>3.5754722597999999E-2</v>
      </c>
      <c r="F3" s="4">
        <f>$B3*Q3</f>
        <v>1.5849116418933</v>
      </c>
      <c r="N3" t="s">
        <v>0</v>
      </c>
      <c r="O3" s="4">
        <f>701.61/1000*0.777</f>
        <v>0.54515097000000012</v>
      </c>
      <c r="P3" s="4">
        <f>70.6/1000*0.777</f>
        <v>5.4856200000000001E-2</v>
      </c>
      <c r="Q3" s="4">
        <f>3129.51/1000*0.777</f>
        <v>2.4316292700000002</v>
      </c>
      <c r="R3" t="s">
        <v>15</v>
      </c>
    </row>
    <row r="4" spans="1:18" x14ac:dyDescent="0.25">
      <c r="A4" t="s">
        <v>1</v>
      </c>
      <c r="B4" s="4">
        <v>6.93</v>
      </c>
      <c r="C4" s="3" t="s">
        <v>6</v>
      </c>
      <c r="D4" s="4">
        <f t="shared" ref="D4:F7" si="1">$B4*O4</f>
        <v>0.10323051592356688</v>
      </c>
      <c r="E4" s="4">
        <f t="shared" si="1"/>
        <v>1.0387643312101911E-2</v>
      </c>
      <c r="F4" s="4">
        <f t="shared" si="1"/>
        <v>0.4604565668789809</v>
      </c>
      <c r="N4" t="s">
        <v>1</v>
      </c>
      <c r="O4" s="4">
        <f>701.61/1000/47.1</f>
        <v>1.4896178343949046E-2</v>
      </c>
      <c r="P4" s="4">
        <f>70.6/1000/47.1</f>
        <v>1.4989384288747346E-3</v>
      </c>
      <c r="Q4" s="4">
        <f>3129.51/1000/47.1</f>
        <v>6.644394904458599E-2</v>
      </c>
      <c r="R4" t="s">
        <v>16</v>
      </c>
    </row>
    <row r="5" spans="1:18" x14ac:dyDescent="0.25">
      <c r="A5" t="s">
        <v>2</v>
      </c>
      <c r="B5" s="4">
        <v>7.3999999999999996E-2</v>
      </c>
      <c r="C5" s="1" t="s">
        <v>5</v>
      </c>
      <c r="D5" s="4">
        <f t="shared" si="1"/>
        <v>7.1868799999999997E-3</v>
      </c>
      <c r="E5" s="4">
        <f t="shared" si="1"/>
        <v>1.2616999999999999E-3</v>
      </c>
      <c r="F5" s="4">
        <f t="shared" si="1"/>
        <v>3.4731900000000003E-2</v>
      </c>
      <c r="N5" t="s">
        <v>2</v>
      </c>
      <c r="O5" s="4">
        <f>97.12/1000</f>
        <v>9.7119999999999998E-2</v>
      </c>
      <c r="P5" s="4">
        <f>17.05/1000</f>
        <v>1.7049999999999999E-2</v>
      </c>
      <c r="Q5" s="4">
        <f>469.35/1000</f>
        <v>0.46935000000000004</v>
      </c>
      <c r="R5" t="s">
        <v>20</v>
      </c>
    </row>
    <row r="6" spans="1:18" x14ac:dyDescent="0.25">
      <c r="A6" t="s">
        <v>21</v>
      </c>
      <c r="B6" s="4">
        <v>0</v>
      </c>
      <c r="C6" s="1" t="s">
        <v>3</v>
      </c>
      <c r="D6" s="4">
        <f t="shared" si="1"/>
        <v>0</v>
      </c>
      <c r="E6" s="4">
        <f t="shared" si="1"/>
        <v>0</v>
      </c>
      <c r="F6" s="4">
        <f t="shared" si="1"/>
        <v>0</v>
      </c>
      <c r="N6" t="s">
        <v>21</v>
      </c>
      <c r="O6" s="4">
        <v>1.5</v>
      </c>
      <c r="P6" s="4">
        <v>1</v>
      </c>
      <c r="Q6" s="4">
        <v>1.8</v>
      </c>
      <c r="R6" t="s">
        <v>14</v>
      </c>
    </row>
    <row r="7" spans="1:18" x14ac:dyDescent="0.25">
      <c r="A7" t="s">
        <v>22</v>
      </c>
      <c r="B7" s="4">
        <v>0</v>
      </c>
      <c r="C7" s="1" t="s">
        <v>3</v>
      </c>
      <c r="D7" s="4">
        <f t="shared" si="1"/>
        <v>0</v>
      </c>
      <c r="E7" s="4">
        <f t="shared" si="1"/>
        <v>0</v>
      </c>
      <c r="F7" s="4">
        <f t="shared" si="1"/>
        <v>0</v>
      </c>
      <c r="N7" t="s">
        <v>22</v>
      </c>
      <c r="O7" s="4">
        <v>1.8</v>
      </c>
      <c r="P7" s="4">
        <v>1.2</v>
      </c>
      <c r="Q7" s="4">
        <v>2.2000000000000002</v>
      </c>
      <c r="R7" t="s">
        <v>14</v>
      </c>
    </row>
    <row r="8" spans="1:18" x14ac:dyDescent="0.25">
      <c r="A8" t="s">
        <v>48</v>
      </c>
      <c r="B8" s="4">
        <v>0</v>
      </c>
      <c r="C8" s="1" t="s">
        <v>3</v>
      </c>
      <c r="D8" s="4">
        <f t="shared" ref="D8:F10" si="2">$B8*O8</f>
        <v>0</v>
      </c>
      <c r="E8" s="4">
        <f t="shared" si="2"/>
        <v>0</v>
      </c>
      <c r="F8" s="4">
        <f t="shared" si="2"/>
        <v>0</v>
      </c>
      <c r="N8" t="s">
        <v>48</v>
      </c>
      <c r="O8" s="4">
        <f>214/1000</f>
        <v>0.214</v>
      </c>
      <c r="P8" s="4">
        <f t="shared" ref="P8:Q8" si="3">214/1000</f>
        <v>0.214</v>
      </c>
      <c r="Q8" s="4">
        <f t="shared" si="3"/>
        <v>0.214</v>
      </c>
      <c r="R8" t="s">
        <v>14</v>
      </c>
    </row>
    <row r="9" spans="1:18" ht="18" x14ac:dyDescent="0.35">
      <c r="A9" t="s">
        <v>18</v>
      </c>
      <c r="B9" s="4">
        <v>0</v>
      </c>
      <c r="C9" s="1" t="s">
        <v>3</v>
      </c>
      <c r="D9" s="4">
        <f t="shared" si="2"/>
        <v>0</v>
      </c>
      <c r="E9" s="4">
        <f t="shared" si="2"/>
        <v>0</v>
      </c>
      <c r="F9" s="4">
        <f t="shared" si="2"/>
        <v>0</v>
      </c>
      <c r="N9" t="s">
        <v>18</v>
      </c>
      <c r="O9" s="4">
        <v>0</v>
      </c>
      <c r="P9" s="4">
        <v>0</v>
      </c>
      <c r="Q9" s="4">
        <v>0</v>
      </c>
      <c r="R9" t="s">
        <v>14</v>
      </c>
    </row>
    <row r="10" spans="1:18" ht="18" x14ac:dyDescent="0.35">
      <c r="A10" t="s">
        <v>19</v>
      </c>
      <c r="B10" s="4">
        <v>0</v>
      </c>
      <c r="C10" s="1" t="s">
        <v>3</v>
      </c>
      <c r="D10" s="4">
        <f t="shared" si="2"/>
        <v>0</v>
      </c>
      <c r="E10" s="4">
        <f t="shared" si="2"/>
        <v>0</v>
      </c>
      <c r="F10" s="4">
        <f t="shared" si="2"/>
        <v>0</v>
      </c>
      <c r="N10" t="s">
        <v>19</v>
      </c>
      <c r="O10" s="4">
        <v>0</v>
      </c>
      <c r="P10" s="4">
        <v>0</v>
      </c>
      <c r="Q10" s="4">
        <v>0</v>
      </c>
      <c r="R10" t="s">
        <v>14</v>
      </c>
    </row>
    <row r="11" spans="1:18" x14ac:dyDescent="0.25">
      <c r="A11" s="1" t="s">
        <v>7</v>
      </c>
      <c r="B11" s="4" t="s">
        <v>25</v>
      </c>
      <c r="C11" s="4" t="s">
        <v>25</v>
      </c>
      <c r="D11" s="4">
        <f>O13</f>
        <v>6.9699206969506294E-2</v>
      </c>
      <c r="E11" s="4">
        <f>D11</f>
        <v>6.9699206969506294E-2</v>
      </c>
      <c r="F11" s="4">
        <f>E11</f>
        <v>6.9699206969506294E-2</v>
      </c>
      <c r="O11" s="4"/>
      <c r="P11" s="4"/>
      <c r="Q11" s="4"/>
    </row>
    <row r="12" spans="1:18" x14ac:dyDescent="0.25">
      <c r="A12" s="1" t="s">
        <v>8</v>
      </c>
      <c r="B12" s="1" t="s">
        <v>25</v>
      </c>
      <c r="C12" s="4" t="s">
        <v>25</v>
      </c>
      <c r="D12" s="4">
        <f>O14</f>
        <v>3.5713643240573516E-2</v>
      </c>
      <c r="E12" s="4">
        <f>D12</f>
        <v>3.5713643240573516E-2</v>
      </c>
      <c r="F12" s="4">
        <f>E12</f>
        <v>3.5713643240573516E-2</v>
      </c>
      <c r="N12" s="6" t="s">
        <v>23</v>
      </c>
      <c r="O12" s="6"/>
      <c r="P12" s="6"/>
      <c r="Q12" s="6"/>
      <c r="R12" s="6"/>
    </row>
    <row r="13" spans="1:18" ht="17.25" x14ac:dyDescent="0.25">
      <c r="A13" s="1"/>
      <c r="N13" s="1" t="s">
        <v>7</v>
      </c>
      <c r="O13" s="4">
        <f>0.056*596.2/607.5*596.2/550.8*596.2/550.8*596.2/550.8</f>
        <v>6.9699206969506294E-2</v>
      </c>
      <c r="P13" s="4">
        <v>0</v>
      </c>
      <c r="Q13" s="4">
        <v>0</v>
      </c>
      <c r="R13" s="1" t="s">
        <v>44</v>
      </c>
    </row>
    <row r="14" spans="1:18" ht="17.25" x14ac:dyDescent="0.25">
      <c r="A14" s="6" t="s">
        <v>45</v>
      </c>
      <c r="B14" s="6"/>
      <c r="C14" s="6"/>
      <c r="D14" s="1" t="s">
        <v>17</v>
      </c>
      <c r="E14" s="1" t="s">
        <v>12</v>
      </c>
      <c r="F14" s="1" t="s">
        <v>13</v>
      </c>
      <c r="N14" s="1" t="s">
        <v>8</v>
      </c>
      <c r="O14" s="4">
        <f>0.0286942148760331*596.2/607.5*596.2/550.8*596.2/550.8*596.2/550.8</f>
        <v>3.5713643240573516E-2</v>
      </c>
      <c r="P14" s="4">
        <v>0</v>
      </c>
      <c r="Q14" s="4">
        <v>0</v>
      </c>
      <c r="R14" s="1" t="s">
        <v>44</v>
      </c>
    </row>
    <row r="15" spans="1:18" x14ac:dyDescent="0.25">
      <c r="A15" t="s">
        <v>42</v>
      </c>
      <c r="B15" s="4">
        <v>1</v>
      </c>
      <c r="C15" s="1" t="s">
        <v>3</v>
      </c>
      <c r="D15" s="4">
        <f>SUM(D16:D25)</f>
        <v>0.58698475686994678</v>
      </c>
      <c r="E15" s="4">
        <f t="shared" ref="E15:F15" si="4">SUM(E16:E25)</f>
        <v>0.15559606612018173</v>
      </c>
      <c r="F15" s="4">
        <f t="shared" si="4"/>
        <v>2.2620170089823612</v>
      </c>
      <c r="N15" s="1"/>
      <c r="O15" s="1"/>
      <c r="P15" s="1"/>
      <c r="Q15" s="1"/>
    </row>
    <row r="16" spans="1:18" x14ac:dyDescent="0.25">
      <c r="A16" t="s">
        <v>0</v>
      </c>
      <c r="B16" s="4">
        <v>0.65178999999999998</v>
      </c>
      <c r="C16" s="3" t="s">
        <v>4</v>
      </c>
      <c r="D16" s="4">
        <f t="shared" ref="D16:F23" si="5">$B16*O3</f>
        <v>0.35532395073630008</v>
      </c>
      <c r="E16" s="4">
        <f t="shared" si="5"/>
        <v>3.5754722597999999E-2</v>
      </c>
      <c r="F16" s="4">
        <f t="shared" si="5"/>
        <v>1.5849116418933</v>
      </c>
      <c r="N16" s="6" t="s">
        <v>24</v>
      </c>
      <c r="O16" s="6"/>
      <c r="P16" s="6"/>
      <c r="Q16" s="6"/>
      <c r="R16" s="6"/>
    </row>
    <row r="17" spans="1:18" ht="17.25" x14ac:dyDescent="0.25">
      <c r="A17" t="s">
        <v>1</v>
      </c>
      <c r="B17" s="4">
        <v>6.93</v>
      </c>
      <c r="C17" s="3" t="s">
        <v>4</v>
      </c>
      <c r="D17" s="4">
        <f t="shared" si="5"/>
        <v>0.10323051592356688</v>
      </c>
      <c r="E17" s="4">
        <f t="shared" si="5"/>
        <v>1.0387643312101911E-2</v>
      </c>
      <c r="F17" s="4">
        <f t="shared" si="5"/>
        <v>0.4604565668789809</v>
      </c>
      <c r="N17" s="1" t="s">
        <v>7</v>
      </c>
      <c r="O17" s="4">
        <f>0.092*596.2/607.5*596.2/550.8*596.2/550.8*596.2/550.8</f>
        <v>0.11450584002133177</v>
      </c>
      <c r="P17" s="4">
        <v>0</v>
      </c>
      <c r="Q17" s="4">
        <v>0</v>
      </c>
      <c r="R17" s="1" t="s">
        <v>44</v>
      </c>
    </row>
    <row r="18" spans="1:18" ht="17.25" x14ac:dyDescent="0.25">
      <c r="A18" t="s">
        <v>2</v>
      </c>
      <c r="B18" s="4">
        <v>0.23699999999999999</v>
      </c>
      <c r="C18" s="1" t="s">
        <v>5</v>
      </c>
      <c r="D18" s="4">
        <f t="shared" si="5"/>
        <v>2.301744E-2</v>
      </c>
      <c r="E18" s="4">
        <f t="shared" si="5"/>
        <v>4.0408499999999995E-3</v>
      </c>
      <c r="F18" s="4">
        <f t="shared" si="5"/>
        <v>0.11123595</v>
      </c>
      <c r="N18" s="1" t="s">
        <v>8</v>
      </c>
      <c r="O18" s="4">
        <f>0.0471404958677686*596.2/607.5*596.2/550.8*596.2/550.8*596.2/550.8</f>
        <v>5.8672413895227843E-2</v>
      </c>
      <c r="P18" s="4">
        <v>0</v>
      </c>
      <c r="Q18" s="4">
        <v>0</v>
      </c>
      <c r="R18" s="1" t="s">
        <v>44</v>
      </c>
    </row>
    <row r="19" spans="1:18" x14ac:dyDescent="0.25">
      <c r="A19" t="s">
        <v>21</v>
      </c>
      <c r="B19" s="4">
        <v>0</v>
      </c>
      <c r="C19" s="1" t="s">
        <v>3</v>
      </c>
      <c r="D19" s="4">
        <f t="shared" si="5"/>
        <v>0</v>
      </c>
      <c r="E19" s="4">
        <f t="shared" si="5"/>
        <v>0</v>
      </c>
      <c r="F19" s="4">
        <f t="shared" si="5"/>
        <v>0</v>
      </c>
    </row>
    <row r="20" spans="1:18" x14ac:dyDescent="0.25">
      <c r="A20" t="s">
        <v>22</v>
      </c>
      <c r="B20" s="4">
        <v>0</v>
      </c>
      <c r="C20" s="1" t="s">
        <v>3</v>
      </c>
      <c r="D20" s="4">
        <f t="shared" si="5"/>
        <v>0</v>
      </c>
      <c r="E20" s="4">
        <f t="shared" si="5"/>
        <v>0</v>
      </c>
      <c r="F20" s="4">
        <f t="shared" si="5"/>
        <v>0</v>
      </c>
    </row>
    <row r="21" spans="1:18" x14ac:dyDescent="0.25">
      <c r="A21" t="s">
        <v>48</v>
      </c>
      <c r="B21" s="4">
        <v>0</v>
      </c>
      <c r="C21" s="1" t="s">
        <v>3</v>
      </c>
      <c r="D21" s="4">
        <f t="shared" si="5"/>
        <v>0</v>
      </c>
      <c r="E21" s="4">
        <f t="shared" si="5"/>
        <v>0</v>
      </c>
      <c r="F21" s="4">
        <f t="shared" si="5"/>
        <v>0</v>
      </c>
    </row>
    <row r="22" spans="1:18" ht="18" x14ac:dyDescent="0.35">
      <c r="A22" t="s">
        <v>18</v>
      </c>
      <c r="B22" s="4">
        <v>0</v>
      </c>
      <c r="C22" s="1" t="s">
        <v>3</v>
      </c>
      <c r="D22" s="4">
        <f t="shared" si="5"/>
        <v>0</v>
      </c>
      <c r="E22" s="4">
        <f t="shared" si="5"/>
        <v>0</v>
      </c>
      <c r="F22" s="4">
        <f t="shared" si="5"/>
        <v>0</v>
      </c>
    </row>
    <row r="23" spans="1:18" ht="18" x14ac:dyDescent="0.35">
      <c r="A23" t="s">
        <v>19</v>
      </c>
      <c r="B23" s="4">
        <v>0</v>
      </c>
      <c r="C23" s="1" t="s">
        <v>3</v>
      </c>
      <c r="D23" s="4">
        <f t="shared" si="5"/>
        <v>0</v>
      </c>
      <c r="E23" s="4">
        <f t="shared" si="5"/>
        <v>0</v>
      </c>
      <c r="F23" s="4">
        <f t="shared" si="5"/>
        <v>0</v>
      </c>
    </row>
    <row r="24" spans="1:18" x14ac:dyDescent="0.25">
      <c r="A24" s="1" t="s">
        <v>7</v>
      </c>
      <c r="B24" s="4" t="s">
        <v>25</v>
      </c>
      <c r="C24" s="4" t="s">
        <v>25</v>
      </c>
      <c r="D24" s="4">
        <f>O13</f>
        <v>6.9699206969506294E-2</v>
      </c>
      <c r="E24" s="4">
        <f>D24</f>
        <v>6.9699206969506294E-2</v>
      </c>
      <c r="F24" s="4">
        <f t="shared" ref="F24:F25" si="6">E24</f>
        <v>6.9699206969506294E-2</v>
      </c>
    </row>
    <row r="25" spans="1:18" x14ac:dyDescent="0.25">
      <c r="A25" s="1" t="s">
        <v>8</v>
      </c>
      <c r="B25" s="1" t="s">
        <v>25</v>
      </c>
      <c r="C25" s="4" t="s">
        <v>25</v>
      </c>
      <c r="D25" s="4">
        <f>O14</f>
        <v>3.5713643240573516E-2</v>
      </c>
      <c r="E25" s="4">
        <f t="shared" ref="E25" si="7">D25</f>
        <v>3.5713643240573516E-2</v>
      </c>
      <c r="F25" s="4">
        <f t="shared" si="6"/>
        <v>3.5713643240573516E-2</v>
      </c>
    </row>
    <row r="26" spans="1:18" x14ac:dyDescent="0.25">
      <c r="N26" s="6"/>
      <c r="O26" s="6"/>
      <c r="P26" s="6"/>
      <c r="Q26" s="6"/>
      <c r="R26" s="6"/>
    </row>
    <row r="27" spans="1:18" x14ac:dyDescent="0.25">
      <c r="A27" s="6" t="s">
        <v>46</v>
      </c>
      <c r="B27" s="6"/>
      <c r="C27" s="6"/>
      <c r="D27" s="1" t="s">
        <v>17</v>
      </c>
      <c r="E27" s="1" t="s">
        <v>12</v>
      </c>
      <c r="F27" s="1" t="s">
        <v>13</v>
      </c>
      <c r="N27" s="1"/>
      <c r="O27" s="1"/>
      <c r="P27" s="1"/>
      <c r="Q27" s="1"/>
    </row>
    <row r="28" spans="1:18" x14ac:dyDescent="0.25">
      <c r="A28" t="s">
        <v>42</v>
      </c>
      <c r="B28" s="4">
        <v>1</v>
      </c>
      <c r="C28" s="1" t="s">
        <v>3</v>
      </c>
      <c r="D28" s="4">
        <f>SUM(D29:D38)</f>
        <v>0.77280925614372808</v>
      </c>
      <c r="E28" s="4">
        <f t="shared" ref="E28:F28" si="8">SUM(E29:E38)</f>
        <v>0.67906867707914054</v>
      </c>
      <c r="F28" s="4">
        <f t="shared" si="8"/>
        <v>0.92724863253570988</v>
      </c>
      <c r="O28" s="4"/>
      <c r="P28" s="4"/>
      <c r="Q28" s="4"/>
    </row>
    <row r="29" spans="1:18" x14ac:dyDescent="0.25">
      <c r="A29" t="s">
        <v>0</v>
      </c>
      <c r="B29" s="4">
        <v>0</v>
      </c>
      <c r="C29" s="3" t="s">
        <v>4</v>
      </c>
      <c r="D29" s="4">
        <f t="shared" ref="D29:F36" si="9">$B29*O3</f>
        <v>0</v>
      </c>
      <c r="E29" s="4">
        <f t="shared" si="9"/>
        <v>0</v>
      </c>
      <c r="F29" s="4">
        <f t="shared" si="9"/>
        <v>0</v>
      </c>
      <c r="O29" s="4"/>
      <c r="P29" s="4"/>
      <c r="Q29" s="4"/>
    </row>
    <row r="30" spans="1:18" x14ac:dyDescent="0.25">
      <c r="A30" t="s">
        <v>1</v>
      </c>
      <c r="B30" s="4">
        <v>0</v>
      </c>
      <c r="C30" s="3" t="s">
        <v>6</v>
      </c>
      <c r="D30" s="4">
        <f t="shared" si="9"/>
        <v>0</v>
      </c>
      <c r="E30" s="4">
        <f t="shared" si="9"/>
        <v>0</v>
      </c>
      <c r="F30" s="4">
        <f t="shared" si="9"/>
        <v>0</v>
      </c>
    </row>
    <row r="31" spans="1:18" x14ac:dyDescent="0.25">
      <c r="A31" t="s">
        <v>2</v>
      </c>
      <c r="B31" s="4">
        <v>0.30289532293986599</v>
      </c>
      <c r="C31" s="1" t="s">
        <v>5</v>
      </c>
      <c r="D31" s="4">
        <f t="shared" si="9"/>
        <v>2.9417193763919783E-2</v>
      </c>
      <c r="E31" s="4">
        <f t="shared" si="9"/>
        <v>5.1643652561247149E-3</v>
      </c>
      <c r="F31" s="4">
        <f t="shared" si="9"/>
        <v>0.14216391982182611</v>
      </c>
    </row>
    <row r="32" spans="1:18" x14ac:dyDescent="0.25">
      <c r="A32" t="s">
        <v>21</v>
      </c>
      <c r="B32" s="4">
        <v>0.138975501113585</v>
      </c>
      <c r="C32" s="1" t="s">
        <v>3</v>
      </c>
      <c r="D32" s="4">
        <f t="shared" si="9"/>
        <v>0.20846325167037749</v>
      </c>
      <c r="E32" s="4">
        <f t="shared" si="9"/>
        <v>0.138975501113585</v>
      </c>
      <c r="F32" s="4">
        <f t="shared" si="9"/>
        <v>0.25015590200445303</v>
      </c>
    </row>
    <row r="33" spans="1:18" x14ac:dyDescent="0.25">
      <c r="A33" t="s">
        <v>22</v>
      </c>
      <c r="B33" s="4">
        <v>0</v>
      </c>
      <c r="C33" s="1" t="s">
        <v>3</v>
      </c>
      <c r="D33" s="4">
        <f t="shared" si="9"/>
        <v>0</v>
      </c>
      <c r="E33" s="4">
        <f t="shared" si="9"/>
        <v>0</v>
      </c>
      <c r="F33" s="4">
        <f t="shared" si="9"/>
        <v>0</v>
      </c>
    </row>
    <row r="34" spans="1:18" x14ac:dyDescent="0.25">
      <c r="A34" t="s">
        <v>48</v>
      </c>
      <c r="B34" s="4">
        <v>1.69042316258351</v>
      </c>
      <c r="C34" s="1" t="s">
        <v>3</v>
      </c>
      <c r="D34" s="4">
        <f t="shared" si="9"/>
        <v>0.36175055679287116</v>
      </c>
      <c r="E34" s="4">
        <f t="shared" si="9"/>
        <v>0.36175055679287116</v>
      </c>
      <c r="F34" s="4">
        <f t="shared" si="9"/>
        <v>0.36175055679287116</v>
      </c>
    </row>
    <row r="35" spans="1:18" ht="18" x14ac:dyDescent="0.35">
      <c r="A35" t="s">
        <v>18</v>
      </c>
      <c r="B35" s="4">
        <v>0</v>
      </c>
      <c r="C35" s="1" t="s">
        <v>3</v>
      </c>
      <c r="D35" s="4">
        <f t="shared" si="9"/>
        <v>0</v>
      </c>
      <c r="E35" s="4">
        <f t="shared" si="9"/>
        <v>0</v>
      </c>
      <c r="F35" s="4">
        <f t="shared" si="9"/>
        <v>0</v>
      </c>
    </row>
    <row r="36" spans="1:18" ht="18" x14ac:dyDescent="0.35">
      <c r="A36" t="s">
        <v>19</v>
      </c>
      <c r="B36" s="4">
        <v>0</v>
      </c>
      <c r="C36" s="1" t="s">
        <v>3</v>
      </c>
      <c r="D36" s="4">
        <f t="shared" si="9"/>
        <v>0</v>
      </c>
      <c r="E36" s="4">
        <f t="shared" si="9"/>
        <v>0</v>
      </c>
      <c r="F36" s="4">
        <f t="shared" si="9"/>
        <v>0</v>
      </c>
    </row>
    <row r="37" spans="1:18" x14ac:dyDescent="0.25">
      <c r="A37" s="1" t="s">
        <v>7</v>
      </c>
      <c r="B37" s="4" t="s">
        <v>25</v>
      </c>
      <c r="C37" s="4" t="s">
        <v>25</v>
      </c>
      <c r="D37" s="4">
        <f>O17</f>
        <v>0.11450584002133177</v>
      </c>
      <c r="E37" s="4">
        <f>D37</f>
        <v>0.11450584002133177</v>
      </c>
      <c r="F37" s="4">
        <f t="shared" ref="F37:F38" si="10">E37</f>
        <v>0.11450584002133177</v>
      </c>
      <c r="N37" s="6"/>
      <c r="O37" s="6"/>
      <c r="P37" s="6"/>
      <c r="Q37" s="6"/>
      <c r="R37" s="6"/>
    </row>
    <row r="38" spans="1:18" x14ac:dyDescent="0.25">
      <c r="A38" s="1" t="s">
        <v>8</v>
      </c>
      <c r="B38" s="1" t="s">
        <v>25</v>
      </c>
      <c r="C38" s="4" t="s">
        <v>25</v>
      </c>
      <c r="D38" s="4">
        <f>O18</f>
        <v>5.8672413895227843E-2</v>
      </c>
      <c r="E38" s="4">
        <f t="shared" ref="E38" si="11">D38</f>
        <v>5.8672413895227843E-2</v>
      </c>
      <c r="F38" s="4">
        <f t="shared" si="10"/>
        <v>5.8672413895227843E-2</v>
      </c>
      <c r="N38" s="1"/>
      <c r="O38" s="1"/>
      <c r="P38" s="1"/>
      <c r="Q38" s="1"/>
    </row>
    <row r="39" spans="1:18" x14ac:dyDescent="0.25">
      <c r="O39" s="4"/>
      <c r="P39" s="4"/>
      <c r="Q39" s="4"/>
    </row>
    <row r="40" spans="1:18" x14ac:dyDescent="0.25">
      <c r="A40" s="6" t="s">
        <v>47</v>
      </c>
      <c r="B40" s="6"/>
      <c r="C40" s="6"/>
      <c r="D40" s="1" t="s">
        <v>17</v>
      </c>
      <c r="E40" s="1" t="s">
        <v>12</v>
      </c>
      <c r="F40" s="1" t="s">
        <v>13</v>
      </c>
      <c r="O40" s="4"/>
      <c r="P40" s="4"/>
      <c r="Q40" s="4"/>
    </row>
    <row r="41" spans="1:18" x14ac:dyDescent="0.25">
      <c r="A41" t="s">
        <v>42</v>
      </c>
      <c r="B41" s="4">
        <v>1</v>
      </c>
      <c r="C41" s="1" t="s">
        <v>3</v>
      </c>
      <c r="D41" s="4">
        <f>SUM(D42:D51)</f>
        <v>0.81450190647780363</v>
      </c>
      <c r="E41" s="4">
        <f t="shared" ref="E41:F41" si="12">SUM(E42:E51)</f>
        <v>0.70686377730185745</v>
      </c>
      <c r="F41" s="4">
        <f t="shared" si="12"/>
        <v>0.98283883298114394</v>
      </c>
    </row>
    <row r="42" spans="1:18" x14ac:dyDescent="0.25">
      <c r="A42" t="s">
        <v>0</v>
      </c>
      <c r="B42" s="4">
        <v>0</v>
      </c>
      <c r="C42" s="3" t="s">
        <v>4</v>
      </c>
      <c r="D42" s="4">
        <f t="shared" ref="D42:F49" si="13">$B42*O3</f>
        <v>0</v>
      </c>
      <c r="E42" s="4">
        <f t="shared" si="13"/>
        <v>0</v>
      </c>
      <c r="F42" s="4">
        <f t="shared" si="13"/>
        <v>0</v>
      </c>
    </row>
    <row r="43" spans="1:18" x14ac:dyDescent="0.25">
      <c r="A43" t="s">
        <v>1</v>
      </c>
      <c r="B43" s="4">
        <v>0</v>
      </c>
      <c r="C43" s="3" t="s">
        <v>6</v>
      </c>
      <c r="D43" s="4">
        <f t="shared" si="13"/>
        <v>0</v>
      </c>
      <c r="E43" s="4">
        <f t="shared" si="13"/>
        <v>0</v>
      </c>
      <c r="F43" s="4">
        <f t="shared" si="13"/>
        <v>0</v>
      </c>
    </row>
    <row r="44" spans="1:18" x14ac:dyDescent="0.25">
      <c r="A44" t="s">
        <v>2</v>
      </c>
      <c r="B44" s="4">
        <v>0.30289532293986599</v>
      </c>
      <c r="C44" s="1" t="s">
        <v>5</v>
      </c>
      <c r="D44" s="4">
        <f t="shared" si="13"/>
        <v>2.9417193763919783E-2</v>
      </c>
      <c r="E44" s="4">
        <f t="shared" si="13"/>
        <v>5.1643652561247149E-3</v>
      </c>
      <c r="F44" s="4">
        <f t="shared" si="13"/>
        <v>0.14216391982182611</v>
      </c>
    </row>
    <row r="45" spans="1:18" x14ac:dyDescent="0.25">
      <c r="A45" t="s">
        <v>21</v>
      </c>
      <c r="B45" s="4">
        <v>0</v>
      </c>
      <c r="C45" s="1" t="s">
        <v>3</v>
      </c>
      <c r="D45" s="4">
        <f t="shared" si="13"/>
        <v>0</v>
      </c>
      <c r="E45" s="4">
        <f t="shared" si="13"/>
        <v>0</v>
      </c>
      <c r="F45" s="4">
        <f t="shared" si="13"/>
        <v>0</v>
      </c>
    </row>
    <row r="46" spans="1:18" x14ac:dyDescent="0.25">
      <c r="A46" t="s">
        <v>22</v>
      </c>
      <c r="B46" s="4">
        <v>0.138975501113585</v>
      </c>
      <c r="C46" s="1" t="s">
        <v>3</v>
      </c>
      <c r="D46" s="4">
        <f t="shared" si="13"/>
        <v>0.25015590200445303</v>
      </c>
      <c r="E46" s="4">
        <f t="shared" si="13"/>
        <v>0.166770601336302</v>
      </c>
      <c r="F46" s="4">
        <f t="shared" si="13"/>
        <v>0.30574610244988704</v>
      </c>
    </row>
    <row r="47" spans="1:18" x14ac:dyDescent="0.25">
      <c r="A47" t="s">
        <v>48</v>
      </c>
      <c r="B47" s="4">
        <v>1.69042316258351</v>
      </c>
      <c r="C47" s="1" t="s">
        <v>3</v>
      </c>
      <c r="D47" s="4">
        <f t="shared" si="13"/>
        <v>0.36175055679287116</v>
      </c>
      <c r="E47" s="4">
        <f t="shared" si="13"/>
        <v>0.36175055679287116</v>
      </c>
      <c r="F47" s="4">
        <f t="shared" si="13"/>
        <v>0.36175055679287116</v>
      </c>
    </row>
    <row r="48" spans="1:18" ht="18" x14ac:dyDescent="0.35">
      <c r="A48" t="s">
        <v>18</v>
      </c>
      <c r="B48" s="4">
        <v>0</v>
      </c>
      <c r="C48" s="1" t="s">
        <v>3</v>
      </c>
      <c r="D48" s="4">
        <f t="shared" si="13"/>
        <v>0</v>
      </c>
      <c r="E48" s="4">
        <f t="shared" si="13"/>
        <v>0</v>
      </c>
      <c r="F48" s="4">
        <f t="shared" si="13"/>
        <v>0</v>
      </c>
    </row>
    <row r="49" spans="1:6" ht="18" x14ac:dyDescent="0.35">
      <c r="A49" t="s">
        <v>19</v>
      </c>
      <c r="B49" s="4">
        <v>0</v>
      </c>
      <c r="C49" s="1" t="s">
        <v>3</v>
      </c>
      <c r="D49" s="4">
        <f t="shared" si="13"/>
        <v>0</v>
      </c>
      <c r="E49" s="4">
        <f t="shared" si="13"/>
        <v>0</v>
      </c>
      <c r="F49" s="4">
        <f t="shared" si="13"/>
        <v>0</v>
      </c>
    </row>
    <row r="50" spans="1:6" x14ac:dyDescent="0.25">
      <c r="A50" s="1" t="s">
        <v>7</v>
      </c>
      <c r="B50" s="4" t="s">
        <v>25</v>
      </c>
      <c r="C50" s="4" t="s">
        <v>25</v>
      </c>
      <c r="D50" s="4">
        <f>O17</f>
        <v>0.11450584002133177</v>
      </c>
      <c r="E50" s="4">
        <f>D50</f>
        <v>0.11450584002133177</v>
      </c>
      <c r="F50" s="4">
        <f t="shared" ref="F50:F51" si="14">E50</f>
        <v>0.11450584002133177</v>
      </c>
    </row>
    <row r="51" spans="1:6" x14ac:dyDescent="0.25">
      <c r="A51" s="1" t="s">
        <v>8</v>
      </c>
      <c r="B51" s="1" t="s">
        <v>25</v>
      </c>
      <c r="C51" s="4" t="s">
        <v>25</v>
      </c>
      <c r="D51" s="4">
        <f>O18</f>
        <v>5.8672413895227843E-2</v>
      </c>
      <c r="E51" s="4">
        <f t="shared" ref="E51" si="15">D51</f>
        <v>5.8672413895227843E-2</v>
      </c>
      <c r="F51" s="4">
        <f t="shared" si="14"/>
        <v>5.8672413895227843E-2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0CB-85CA-425C-975B-ECF102D0ECEB}">
  <dimension ref="A1:Q13"/>
  <sheetViews>
    <sheetView workbookViewId="0">
      <selection activeCell="R13" sqref="R13"/>
    </sheetView>
  </sheetViews>
  <sheetFormatPr defaultRowHeight="15" x14ac:dyDescent="0.25"/>
  <cols>
    <col min="1" max="1" width="22.5703125" bestFit="1" customWidth="1"/>
    <col min="2" max="5" width="10.42578125" bestFit="1" customWidth="1"/>
    <col min="6" max="9" width="9.42578125" bestFit="1" customWidth="1"/>
    <col min="10" max="13" width="9.85546875" bestFit="1" customWidth="1"/>
    <col min="14" max="17" width="10.140625" bestFit="1" customWidth="1"/>
  </cols>
  <sheetData>
    <row r="1" spans="1:17" x14ac:dyDescent="0.25">
      <c r="B1" t="s">
        <v>27</v>
      </c>
      <c r="C1" t="s">
        <v>26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</row>
    <row r="2" spans="1:17" x14ac:dyDescent="0.25">
      <c r="A2" s="5" t="s">
        <v>0</v>
      </c>
      <c r="B2" s="4">
        <f>'2020'!D3</f>
        <v>7.3373147450400009E-2</v>
      </c>
      <c r="C2" s="4">
        <f>'2030'!D3</f>
        <v>0.35532395073630008</v>
      </c>
      <c r="D2" s="4">
        <f>'2040'!D3</f>
        <v>0.35532395073630008</v>
      </c>
      <c r="E2" s="4">
        <f>'2050'!D3</f>
        <v>0.35532395073630008</v>
      </c>
      <c r="F2" s="4">
        <f>'2020'!D16</f>
        <v>7.3373147450400009E-2</v>
      </c>
      <c r="G2" s="4">
        <f>'2030'!D16</f>
        <v>0.35532395073630008</v>
      </c>
      <c r="H2" s="4">
        <f>'2040'!D16</f>
        <v>0.35532395073630008</v>
      </c>
      <c r="I2" s="4">
        <f>'2050'!D16</f>
        <v>0.35532395073630008</v>
      </c>
      <c r="J2" s="4">
        <f>'2020'!D29</f>
        <v>0</v>
      </c>
      <c r="K2" s="4">
        <f>'2030'!D29</f>
        <v>0</v>
      </c>
      <c r="L2" s="4">
        <f>'2040'!D29</f>
        <v>0</v>
      </c>
      <c r="M2" s="4">
        <f>'2050'!D29</f>
        <v>0</v>
      </c>
      <c r="N2" s="4">
        <f>'2020'!D42</f>
        <v>0</v>
      </c>
      <c r="O2" s="4">
        <f>'2030'!D42</f>
        <v>0</v>
      </c>
      <c r="P2" s="4">
        <f>'2040'!D42</f>
        <v>0</v>
      </c>
      <c r="Q2" s="4">
        <f>'2050'!D42</f>
        <v>0</v>
      </c>
    </row>
    <row r="3" spans="1:17" x14ac:dyDescent="0.25">
      <c r="A3" s="5" t="s">
        <v>1</v>
      </c>
      <c r="B3" s="4">
        <f>'2020'!D4</f>
        <v>2.1316738853503187E-2</v>
      </c>
      <c r="C3" s="4">
        <f>'2030'!D4</f>
        <v>0.10323051592356688</v>
      </c>
      <c r="D3" s="4">
        <f>'2040'!D4</f>
        <v>0.10323051592356688</v>
      </c>
      <c r="E3" s="4">
        <f>'2050'!D4</f>
        <v>0.10323051592356688</v>
      </c>
      <c r="F3" s="4">
        <f>'2020'!D17</f>
        <v>2.1316738853503187E-2</v>
      </c>
      <c r="G3" s="4">
        <f>'2030'!D17</f>
        <v>0.10323051592356688</v>
      </c>
      <c r="H3" s="4">
        <f>'2040'!D17</f>
        <v>0.10323051592356688</v>
      </c>
      <c r="I3" s="4">
        <f>'2050'!D17</f>
        <v>0.10323051592356688</v>
      </c>
      <c r="J3" s="4">
        <f>'2020'!D30</f>
        <v>0</v>
      </c>
      <c r="K3" s="4">
        <f>'2030'!D30</f>
        <v>0</v>
      </c>
      <c r="L3" s="4">
        <f>'2040'!D30</f>
        <v>0</v>
      </c>
      <c r="M3" s="4">
        <f>'2050'!D30</f>
        <v>0</v>
      </c>
      <c r="N3" s="4">
        <f>'2020'!D43</f>
        <v>0</v>
      </c>
      <c r="O3" s="4">
        <f>'2030'!D43</f>
        <v>0</v>
      </c>
      <c r="P3" s="4">
        <f>'2040'!D43</f>
        <v>0</v>
      </c>
      <c r="Q3" s="4">
        <f>'2050'!D43</f>
        <v>0</v>
      </c>
    </row>
    <row r="4" spans="1:17" x14ac:dyDescent="0.25">
      <c r="A4" s="5" t="s">
        <v>2</v>
      </c>
      <c r="B4" s="4">
        <f>'2020'!D5</f>
        <v>2.2525599999999998E-3</v>
      </c>
      <c r="C4" s="4">
        <f>'2030'!D5</f>
        <v>7.1868799999999997E-3</v>
      </c>
      <c r="D4" s="4">
        <f>'2040'!D5</f>
        <v>7.1868799999999997E-3</v>
      </c>
      <c r="E4" s="4">
        <f>'2050'!D5</f>
        <v>7.1868799999999997E-3</v>
      </c>
      <c r="F4" s="4">
        <f>'2020'!D18</f>
        <v>7.21428E-3</v>
      </c>
      <c r="G4" s="4">
        <f>'2030'!D18</f>
        <v>2.301744E-2</v>
      </c>
      <c r="H4" s="4">
        <f>'2040'!D18</f>
        <v>2.301744E-2</v>
      </c>
      <c r="I4" s="4">
        <f>'2050'!D18</f>
        <v>2.301744E-2</v>
      </c>
      <c r="J4" s="4">
        <f>'2020'!D31</f>
        <v>9.2201336302895204E-3</v>
      </c>
      <c r="K4" s="4">
        <f>'2030'!D31</f>
        <v>2.9417193763919783E-2</v>
      </c>
      <c r="L4" s="4">
        <f>'2040'!D31</f>
        <v>2.9417193763919783E-2</v>
      </c>
      <c r="M4" s="4">
        <f>'2050'!D31</f>
        <v>2.9417193763919783E-2</v>
      </c>
      <c r="N4" s="4">
        <f>'2020'!D44</f>
        <v>9.2201336302895204E-3</v>
      </c>
      <c r="O4" s="4">
        <f>'2030'!D44</f>
        <v>2.9417193763919783E-2</v>
      </c>
      <c r="P4" s="4">
        <f>'2040'!D44</f>
        <v>2.9417193763919783E-2</v>
      </c>
      <c r="Q4" s="4">
        <f>'2050'!D44</f>
        <v>2.9417193763919783E-2</v>
      </c>
    </row>
    <row r="5" spans="1:17" x14ac:dyDescent="0.25">
      <c r="A5" s="5" t="s">
        <v>21</v>
      </c>
      <c r="B5" s="4">
        <f>'2020'!D6</f>
        <v>0</v>
      </c>
      <c r="C5" s="4">
        <f>'2030'!D6</f>
        <v>0</v>
      </c>
      <c r="D5" s="4">
        <f>'2040'!D6</f>
        <v>0</v>
      </c>
      <c r="E5" s="4">
        <f>'2050'!D6</f>
        <v>0</v>
      </c>
      <c r="F5" s="4">
        <f>'2020'!D19</f>
        <v>0</v>
      </c>
      <c r="G5" s="4">
        <f>'2030'!D19</f>
        <v>0</v>
      </c>
      <c r="H5" s="4">
        <f>'2040'!D19</f>
        <v>0</v>
      </c>
      <c r="I5" s="4">
        <f>'2050'!D19</f>
        <v>0</v>
      </c>
      <c r="J5" s="4">
        <f>'2020'!D32</f>
        <v>0.44472160356347201</v>
      </c>
      <c r="K5" s="4">
        <f>'2030'!D32</f>
        <v>0.34743875278396252</v>
      </c>
      <c r="L5" s="4">
        <f>'2040'!D32</f>
        <v>0.25015590200445303</v>
      </c>
      <c r="M5" s="4">
        <f>'2050'!D32</f>
        <v>0.20846325167037749</v>
      </c>
      <c r="N5" s="4">
        <f>'2020'!D45</f>
        <v>0</v>
      </c>
      <c r="O5" s="4">
        <f>'2030'!D45</f>
        <v>0</v>
      </c>
      <c r="P5" s="4">
        <f>'2040'!D45</f>
        <v>0</v>
      </c>
      <c r="Q5" s="4">
        <f>'2050'!D45</f>
        <v>0</v>
      </c>
    </row>
    <row r="6" spans="1:17" x14ac:dyDescent="0.25">
      <c r="A6" s="5" t="s">
        <v>22</v>
      </c>
      <c r="B6" s="4">
        <f>'2020'!D7</f>
        <v>0</v>
      </c>
      <c r="C6" s="4">
        <f>'2030'!D7</f>
        <v>0</v>
      </c>
      <c r="D6" s="4">
        <f>'2040'!D7</f>
        <v>0</v>
      </c>
      <c r="E6" s="4">
        <f>'2050'!D7</f>
        <v>0</v>
      </c>
      <c r="F6" s="4">
        <f>'2020'!D20</f>
        <v>0</v>
      </c>
      <c r="G6" s="4">
        <f>'2030'!D20</f>
        <v>0</v>
      </c>
      <c r="H6" s="4">
        <f>'2040'!D20</f>
        <v>0</v>
      </c>
      <c r="I6" s="4">
        <f>'2050'!D20</f>
        <v>0</v>
      </c>
      <c r="J6" s="4">
        <f>'2020'!D33</f>
        <v>0</v>
      </c>
      <c r="K6" s="4">
        <f>'2030'!D33</f>
        <v>0</v>
      </c>
      <c r="L6" s="4">
        <f>'2040'!D33</f>
        <v>0</v>
      </c>
      <c r="M6" s="4">
        <f>'2050'!D33</f>
        <v>0</v>
      </c>
      <c r="N6" s="4">
        <f>'2020'!D46</f>
        <v>0.41692650334075498</v>
      </c>
      <c r="O6" s="4">
        <f>'2030'!D46</f>
        <v>0.34743875278396252</v>
      </c>
      <c r="P6" s="4">
        <f>'2040'!D46</f>
        <v>0.27795100222717001</v>
      </c>
      <c r="Q6" s="4">
        <f>'2050'!D46</f>
        <v>0.25015590200445303</v>
      </c>
    </row>
    <row r="7" spans="1:17" x14ac:dyDescent="0.25">
      <c r="A7" s="5" t="s">
        <v>48</v>
      </c>
      <c r="B7" s="4">
        <f>'2020'!D8</f>
        <v>0</v>
      </c>
      <c r="C7" s="4">
        <f>'2030'!D8</f>
        <v>0</v>
      </c>
      <c r="D7" s="4">
        <f>'2040'!D8</f>
        <v>0</v>
      </c>
      <c r="E7" s="4">
        <f>'2050'!D8</f>
        <v>0</v>
      </c>
      <c r="F7" s="4">
        <f>'2020'!D21</f>
        <v>0</v>
      </c>
      <c r="G7" s="4">
        <f>'2030'!D21</f>
        <v>0</v>
      </c>
      <c r="H7" s="4">
        <f>'2040'!D21</f>
        <v>0</v>
      </c>
      <c r="I7" s="4">
        <f>'2050'!D21</f>
        <v>0</v>
      </c>
      <c r="J7" s="4">
        <f>'2020'!D34</f>
        <v>0.76576169265033001</v>
      </c>
      <c r="K7" s="4">
        <f>'2030'!D34</f>
        <v>0.63154040311803683</v>
      </c>
      <c r="L7" s="4">
        <f>'2040'!D34</f>
        <v>0.49686946102449453</v>
      </c>
      <c r="M7" s="4">
        <f>'2050'!D34</f>
        <v>0.36175055679287116</v>
      </c>
      <c r="N7" s="4">
        <f>'2020'!D47</f>
        <v>0.76576169265033001</v>
      </c>
      <c r="O7" s="4">
        <f>'2030'!D47</f>
        <v>0.63154040311803683</v>
      </c>
      <c r="P7" s="4">
        <f>'2040'!D47</f>
        <v>0.49686946102449453</v>
      </c>
      <c r="Q7" s="4">
        <f>'2050'!D47</f>
        <v>0.36175055679287116</v>
      </c>
    </row>
    <row r="8" spans="1:17" ht="18" x14ac:dyDescent="0.35">
      <c r="A8" s="5" t="s">
        <v>18</v>
      </c>
      <c r="B8" s="4">
        <f>'2020'!D9</f>
        <v>0</v>
      </c>
      <c r="C8" s="4">
        <f>'2030'!D9</f>
        <v>0</v>
      </c>
      <c r="D8" s="4">
        <f>'2040'!D9</f>
        <v>0</v>
      </c>
      <c r="E8" s="4">
        <f>'2050'!D9</f>
        <v>0</v>
      </c>
      <c r="F8" s="4">
        <f>'2020'!D22</f>
        <v>0</v>
      </c>
      <c r="G8" s="4">
        <f>'2030'!D22</f>
        <v>0</v>
      </c>
      <c r="H8" s="4">
        <f>'2040'!D22</f>
        <v>0</v>
      </c>
      <c r="I8" s="4">
        <f>'2050'!D22</f>
        <v>0</v>
      </c>
      <c r="J8" s="4">
        <f>'2020'!D35</f>
        <v>0</v>
      </c>
      <c r="K8" s="4">
        <f>'2030'!D35</f>
        <v>0</v>
      </c>
      <c r="L8" s="4">
        <f>'2040'!D35</f>
        <v>0</v>
      </c>
      <c r="M8" s="4">
        <f>'2050'!D35</f>
        <v>0</v>
      </c>
      <c r="N8" s="4">
        <f>'2020'!D48</f>
        <v>0</v>
      </c>
      <c r="O8" s="4">
        <f>'2030'!D48</f>
        <v>0</v>
      </c>
      <c r="P8" s="4">
        <f>'2040'!D48</f>
        <v>0</v>
      </c>
      <c r="Q8" s="4">
        <f>'2050'!D48</f>
        <v>0</v>
      </c>
    </row>
    <row r="9" spans="1:17" ht="18" x14ac:dyDescent="0.35">
      <c r="A9" s="5" t="s">
        <v>19</v>
      </c>
      <c r="B9" s="4">
        <f>'2020'!D10</f>
        <v>0</v>
      </c>
      <c r="C9" s="4">
        <f>'2030'!D10</f>
        <v>0</v>
      </c>
      <c r="D9" s="4">
        <f>'2040'!D10</f>
        <v>0</v>
      </c>
      <c r="E9" s="4">
        <f>'2050'!D10</f>
        <v>0</v>
      </c>
      <c r="F9" s="4">
        <f>'2020'!D23</f>
        <v>0</v>
      </c>
      <c r="G9" s="4">
        <f>'2030'!D23</f>
        <v>0</v>
      </c>
      <c r="H9" s="4">
        <f>'2040'!D23</f>
        <v>0</v>
      </c>
      <c r="I9" s="4">
        <f>'2050'!D23</f>
        <v>0</v>
      </c>
      <c r="J9" s="4">
        <f>'2020'!D36</f>
        <v>0</v>
      </c>
      <c r="K9" s="4">
        <f>'2030'!D36</f>
        <v>0</v>
      </c>
      <c r="L9" s="4">
        <f>'2040'!D36</f>
        <v>0</v>
      </c>
      <c r="M9" s="4">
        <f>'2050'!D36</f>
        <v>0</v>
      </c>
      <c r="N9" s="4">
        <f>'2020'!D49</f>
        <v>0</v>
      </c>
      <c r="O9" s="4">
        <f>'2030'!D49</f>
        <v>0</v>
      </c>
      <c r="P9" s="4">
        <f>'2040'!D49</f>
        <v>0</v>
      </c>
      <c r="Q9" s="4">
        <f>'2050'!D49</f>
        <v>0</v>
      </c>
    </row>
    <row r="10" spans="1:17" x14ac:dyDescent="0.25">
      <c r="A10" s="5" t="s">
        <v>7</v>
      </c>
      <c r="B10" s="4">
        <f>'2020'!D11</f>
        <v>5.4958353909465019E-2</v>
      </c>
      <c r="C10" s="4">
        <f>'2030'!D11</f>
        <v>5.9488327161988104E-2</v>
      </c>
      <c r="D10" s="4">
        <f>'2040'!D11</f>
        <v>6.4391686009399624E-2</v>
      </c>
      <c r="E10" s="4">
        <f>'2050'!D11</f>
        <v>6.9699206969506294E-2</v>
      </c>
      <c r="F10" s="4">
        <f>'2020'!D24</f>
        <v>5.4958353909465019E-2</v>
      </c>
      <c r="G10" s="4">
        <f>'2030'!D24</f>
        <v>5.9488327161988104E-2</v>
      </c>
      <c r="H10" s="4">
        <f>'2040'!D24</f>
        <v>6.4391686009399624E-2</v>
      </c>
      <c r="I10" s="4">
        <f>'2050'!D24</f>
        <v>6.9699206969506294E-2</v>
      </c>
      <c r="J10" s="4">
        <f>'2020'!D37</f>
        <v>9.0288724279835392E-2</v>
      </c>
      <c r="K10" s="4">
        <f>'2030'!D37</f>
        <v>9.7730823194694755E-2</v>
      </c>
      <c r="L10" s="4">
        <f>'2040'!D37</f>
        <v>0.10578634130115654</v>
      </c>
      <c r="M10" s="4">
        <f>'2050'!D37</f>
        <v>0.11450584002133177</v>
      </c>
      <c r="N10" s="4">
        <f>'2020'!D50</f>
        <v>9.0288724279835392E-2</v>
      </c>
      <c r="O10" s="4">
        <f>'2030'!D50</f>
        <v>9.7730823194694755E-2</v>
      </c>
      <c r="P10" s="4">
        <f>'2040'!D50</f>
        <v>0.10578634130115654</v>
      </c>
      <c r="Q10" s="4">
        <f>'2050'!D50</f>
        <v>0.11450584002133177</v>
      </c>
    </row>
    <row r="11" spans="1:17" x14ac:dyDescent="0.25">
      <c r="A11" s="5" t="s">
        <v>8</v>
      </c>
      <c r="B11" s="4">
        <f>'2020'!D12</f>
        <v>2.8160478862701125E-2</v>
      </c>
      <c r="C11" s="4">
        <f>'2030'!D12</f>
        <v>3.0481622182175767E-2</v>
      </c>
      <c r="D11" s="4">
        <f>'2040'!D12</f>
        <v>3.2994087046138695E-2</v>
      </c>
      <c r="E11" s="4">
        <f>'2050'!D12</f>
        <v>3.5713643240573516E-2</v>
      </c>
      <c r="F11" s="4">
        <f>'2020'!D25</f>
        <v>2.8160478862701125E-2</v>
      </c>
      <c r="G11" s="4">
        <f>'2030'!D25</f>
        <v>3.0481622182175767E-2</v>
      </c>
      <c r="H11" s="4">
        <f>'2040'!D25</f>
        <v>3.2994087046138695E-2</v>
      </c>
      <c r="I11" s="4">
        <f>'2050'!D25</f>
        <v>3.5713643240573516E-2</v>
      </c>
      <c r="J11" s="4">
        <f>'2020'!D38</f>
        <v>4.6263643845866072E-2</v>
      </c>
      <c r="K11" s="4">
        <f>'2030'!D38</f>
        <v>5.0076950727860121E-2</v>
      </c>
      <c r="L11" s="4">
        <f>'2040'!D38</f>
        <v>5.4204571575799221E-2</v>
      </c>
      <c r="M11" s="4">
        <f>'2050'!D38</f>
        <v>5.8672413895227843E-2</v>
      </c>
      <c r="N11" s="4">
        <f>'2020'!D51</f>
        <v>4.6263643845866072E-2</v>
      </c>
      <c r="O11" s="4">
        <f>'2030'!D51</f>
        <v>5.0076950727860121E-2</v>
      </c>
      <c r="P11" s="4">
        <f>'2040'!D51</f>
        <v>5.4204571575799221E-2</v>
      </c>
      <c r="Q11" s="4">
        <f>'2050'!D51</f>
        <v>5.8672413895227843E-2</v>
      </c>
    </row>
    <row r="12" spans="1:17" x14ac:dyDescent="0.25">
      <c r="A12" s="5" t="s">
        <v>12</v>
      </c>
      <c r="B12" s="4">
        <f>'2020'!E2</f>
        <v>0.13052289868226805</v>
      </c>
      <c r="C12" s="4">
        <f>'2030'!E2</f>
        <v>0.13737401525426576</v>
      </c>
      <c r="D12" s="4">
        <f>'2040'!E2</f>
        <v>0.14478983896564024</v>
      </c>
      <c r="E12" s="4">
        <f>'2050'!E2</f>
        <v>0.15281691612018172</v>
      </c>
      <c r="F12" s="4">
        <f>'2020'!E15</f>
        <v>0.13330204868226805</v>
      </c>
      <c r="G12" s="4">
        <f>'2030'!E15</f>
        <v>0.14015316525426577</v>
      </c>
      <c r="H12" s="4">
        <f>'2040'!E15</f>
        <v>0.14756898896564025</v>
      </c>
      <c r="I12" s="4">
        <f>'2050'!E15</f>
        <v>0.15559606612018173</v>
      </c>
      <c r="J12" s="4">
        <f>'2020'!E28</f>
        <v>1.2827122790388357</v>
      </c>
      <c r="K12" s="4">
        <f>'2030'!E28</f>
        <v>1.0346684443011696</v>
      </c>
      <c r="L12" s="4">
        <f>'2040'!E28</f>
        <v>0.85659044071659385</v>
      </c>
      <c r="M12" s="4">
        <f>'2050'!E28</f>
        <v>0.67906867707914054</v>
      </c>
      <c r="N12" s="4">
        <f>'2020'!E41</f>
        <v>1.2132245284820433</v>
      </c>
      <c r="O12" s="4">
        <f>'2030'!E41</f>
        <v>1.0346684443011696</v>
      </c>
      <c r="P12" s="4">
        <f>'2040'!E41</f>
        <v>0.88438554093931088</v>
      </c>
      <c r="Q12" s="4">
        <f>'2050'!E41</f>
        <v>0.70686377730185745</v>
      </c>
    </row>
    <row r="13" spans="1:17" x14ac:dyDescent="0.25">
      <c r="A13" s="5" t="s">
        <v>13</v>
      </c>
      <c r="B13" s="4">
        <f>'2020'!F2</f>
        <v>0.25748312288407949</v>
      </c>
      <c r="C13" s="4">
        <f>'2030'!F2</f>
        <v>2.1700700581164454</v>
      </c>
      <c r="D13" s="4">
        <f>'2040'!F2</f>
        <v>2.1774858818278195</v>
      </c>
      <c r="E13" s="4">
        <f>'2050'!F2</f>
        <v>2.1855129589823612</v>
      </c>
      <c r="F13" s="4">
        <f>'2020'!F15</f>
        <v>0.26460296288407947</v>
      </c>
      <c r="G13" s="4">
        <f>'2030'!F15</f>
        <v>2.2465741081164454</v>
      </c>
      <c r="H13" s="4">
        <f>'2040'!F15</f>
        <v>2.2539899318278196</v>
      </c>
      <c r="I13" s="4">
        <f>'2050'!F15</f>
        <v>2.2620170089823612</v>
      </c>
      <c r="J13" s="4">
        <f>'2020'!F28</f>
        <v>1.4714465329363848</v>
      </c>
      <c r="K13" s="4">
        <f>'2030'!F28</f>
        <v>1.2967459498690974</v>
      </c>
      <c r="L13" s="4">
        <f>'2040'!F28</f>
        <v>1.1047703961731636</v>
      </c>
      <c r="M13" s="4">
        <f>'2050'!F28</f>
        <v>0.92724863253570988</v>
      </c>
      <c r="N13" s="4">
        <f>'2020'!F41</f>
        <v>1.4714465329363848</v>
      </c>
      <c r="O13" s="4">
        <f>'2030'!F41</f>
        <v>1.3384386002031727</v>
      </c>
      <c r="P13" s="4">
        <f>'2040'!F41</f>
        <v>1.1603605966185975</v>
      </c>
      <c r="Q13" s="4">
        <f>'2050'!F41</f>
        <v>0.98283883298114394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2030</vt:lpstr>
      <vt:lpstr>2040</vt:lpstr>
      <vt:lpstr>2050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2024-03-03T12:50:15Z</dcterms:created>
  <dcterms:modified xsi:type="dcterms:W3CDTF">2024-03-07T17:32:17Z</dcterms:modified>
</cp:coreProperties>
</file>