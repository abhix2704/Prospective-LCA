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"/>
    </mc:Choice>
  </mc:AlternateContent>
  <xr:revisionPtr revIDLastSave="0" documentId="8_{63C47D53-F476-4947-A5CF-2A6D89018083}" xr6:coauthVersionLast="36" xr6:coauthVersionMax="36" xr10:uidLastSave="{00000000-0000-0000-0000-000000000000}"/>
  <bookViews>
    <workbookView xWindow="0" yWindow="0" windowWidth="28800" windowHeight="14025" xr2:uid="{9D5CE8AD-AD67-447A-B216-18105C8BC1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H6" i="1"/>
  <c r="G7" i="1"/>
  <c r="G6" i="1"/>
  <c r="G8" i="1" s="1"/>
  <c r="E7" i="1"/>
  <c r="E6" i="1"/>
  <c r="D7" i="1"/>
  <c r="D8" i="1" s="1"/>
  <c r="D6" i="1"/>
  <c r="H8" i="1"/>
  <c r="B7" i="1"/>
  <c r="B8" i="1" s="1"/>
  <c r="B6" i="1"/>
  <c r="A7" i="1"/>
  <c r="A6" i="1"/>
  <c r="A8" i="1" s="1"/>
  <c r="B9" i="1" l="1"/>
  <c r="E8" i="1"/>
  <c r="E9" i="1" s="1"/>
  <c r="H9" i="1"/>
  <c r="J9" i="1" l="1"/>
</calcChain>
</file>

<file path=xl/sharedStrings.xml><?xml version="1.0" encoding="utf-8"?>
<sst xmlns="http://schemas.openxmlformats.org/spreadsheetml/2006/main" count="3" uniqueCount="2">
  <si>
    <t>Methanol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</si>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</sst>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9A6F-85D9-4097-BD37-AC1995A2CD2E}">
  <dimension ref="A1:J9"/>
  <sheetViews>
    <sheetView tabSelected="1" workbookViewId="0">
      <selection activeCell="P7" sqref="P7"/>
    </sheetView>
  </sheetViews>
  <sheetFormatPr defaultRowHeight="15" x14ac:dyDescent="0.25"/>
  <sheetData>
    <row r="1" spans="1:10" x14ac:dyDescent="0.25">
      <c r="A1" s="3" t="s">
        <v>0</v>
      </c>
      <c r="B1" s="3"/>
      <c r="D1" s="3" t="s">
        <v>1</v>
      </c>
      <c r="E1" s="3"/>
      <c r="G1" s="3" t="s">
        <v>0</v>
      </c>
      <c r="H1" s="3"/>
    </row>
    <row r="2" spans="1:10" x14ac:dyDescent="0.25">
      <c r="A2" s="2">
        <v>2020</v>
      </c>
      <c r="B2" s="2">
        <v>2050</v>
      </c>
      <c r="D2" s="2">
        <v>2020</v>
      </c>
      <c r="E2" s="2">
        <v>2050</v>
      </c>
      <c r="G2" s="2">
        <v>2020</v>
      </c>
      <c r="H2" s="2">
        <v>2050</v>
      </c>
    </row>
    <row r="3" spans="1:10" x14ac:dyDescent="0.25">
      <c r="A3" s="2">
        <v>-0.84955861837746893</v>
      </c>
      <c r="B3" s="2">
        <v>-1.320902128073866</v>
      </c>
      <c r="D3" s="2">
        <v>2.399075197032861</v>
      </c>
      <c r="E3" s="2">
        <v>1.322298040883372</v>
      </c>
      <c r="G3" s="2">
        <v>0.85375564711232865</v>
      </c>
      <c r="H3" s="2">
        <v>0.28589805137132751</v>
      </c>
    </row>
    <row r="4" spans="1:10" x14ac:dyDescent="0.25">
      <c r="A4" s="2">
        <v>-0.61823622845561277</v>
      </c>
      <c r="B4" s="2">
        <v>-1.2475182875729991</v>
      </c>
      <c r="D4" s="2">
        <v>4.063558420023198</v>
      </c>
      <c r="E4" s="2">
        <v>1.850332406227821</v>
      </c>
      <c r="G4" s="2">
        <v>1.146704692771251</v>
      </c>
      <c r="H4" s="2">
        <v>0.37883209916837801</v>
      </c>
    </row>
    <row r="5" spans="1:10" x14ac:dyDescent="0.25">
      <c r="A5" s="2">
        <v>0.76011638480268695</v>
      </c>
      <c r="B5" s="2">
        <v>0.68341524385114316</v>
      </c>
      <c r="D5" s="2">
        <v>11.07977878591611</v>
      </c>
      <c r="E5" s="2">
        <v>10.8619952521514</v>
      </c>
      <c r="G5" s="2">
        <v>2.697755753143285</v>
      </c>
      <c r="H5" s="2">
        <v>2.5955168639584691</v>
      </c>
    </row>
    <row r="6" spans="1:10" x14ac:dyDescent="0.25">
      <c r="A6" s="2">
        <f>($A$5-A3)/$A$5*100</f>
        <v>211.7669129837268</v>
      </c>
      <c r="B6" s="2">
        <f>($B$5-B3)/$B$5*100</f>
        <v>293.27958220984254</v>
      </c>
      <c r="D6" s="2">
        <f>($D$5-D3)/$D$5*100</f>
        <v>78.347264477135511</v>
      </c>
      <c r="E6" s="2">
        <f>($E$5-E3)/$E$5*100</f>
        <v>87.826379866797794</v>
      </c>
      <c r="G6" s="2">
        <f>($G$5-G3)/$G$5*100</f>
        <v>68.35311550656219</v>
      </c>
      <c r="H6" s="2">
        <f>($H$5-H3)/$H$5*100</f>
        <v>88.984927998683872</v>
      </c>
    </row>
    <row r="7" spans="1:10" x14ac:dyDescent="0.25">
      <c r="A7" s="2">
        <f>($A$5-A4)/$A$5*100</f>
        <v>181.33441678356877</v>
      </c>
      <c r="B7" s="2">
        <f>($B$5-B4)/$B$5*100</f>
        <v>282.54177073122543</v>
      </c>
      <c r="D7" s="2">
        <f>($D$5-D4)/$D$5*100</f>
        <v>63.324552786301766</v>
      </c>
      <c r="E7" s="2">
        <f>($E$5-E4)/$E$5*100</f>
        <v>82.965078116183761</v>
      </c>
      <c r="G7" s="2">
        <f>($G$5-G4)/$G$5*100</f>
        <v>57.494124831902582</v>
      </c>
      <c r="H7" s="2">
        <f>($H$5-H4)/$H$5*100</f>
        <v>85.404367645270682</v>
      </c>
    </row>
    <row r="8" spans="1:10" x14ac:dyDescent="0.25">
      <c r="A8" s="2">
        <f>AVERAGE(A6:A7)</f>
        <v>196.55066488364778</v>
      </c>
      <c r="B8" s="2">
        <f>AVERAGE(B6:B7)</f>
        <v>287.91067647053399</v>
      </c>
      <c r="D8" s="2">
        <f>AVERAGE(D6:D7)</f>
        <v>70.835908631718638</v>
      </c>
      <c r="E8" s="2">
        <f>AVERAGE(E6:E7)</f>
        <v>85.395728991490785</v>
      </c>
      <c r="G8" s="2">
        <f>AVERAGE(G6:G7)</f>
        <v>62.923620169232386</v>
      </c>
      <c r="H8" s="2">
        <f>AVERAGE(H6:H7)</f>
        <v>87.19464782197727</v>
      </c>
    </row>
    <row r="9" spans="1:10" x14ac:dyDescent="0.25">
      <c r="B9" s="4">
        <f>(B8-A8)/A8*100</f>
        <v>46.481659902279468</v>
      </c>
      <c r="C9" s="1"/>
      <c r="D9" s="5"/>
      <c r="E9" s="4">
        <f>(E8-D8)/D8*100</f>
        <v>20.554293212316619</v>
      </c>
      <c r="F9" s="1"/>
      <c r="G9" s="5"/>
      <c r="H9" s="4">
        <f>(H8-G8)/G8*100</f>
        <v>38.57220482144578</v>
      </c>
      <c r="I9" s="1"/>
      <c r="J9" s="4">
        <f>AVERAGE(B9:H9)</f>
        <v>35.202719312013954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2023-12-16T17:16:19Z</dcterms:created>
  <dcterms:modified xsi:type="dcterms:W3CDTF">2023-12-16T18:07:11Z</dcterms:modified>
</cp:coreProperties>
</file>