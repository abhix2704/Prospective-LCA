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Ongoing projects\Prospective LCA\Results\"/>
    </mc:Choice>
  </mc:AlternateContent>
  <xr:revisionPtr revIDLastSave="0" documentId="13_ncr:1_{75A4CFBF-842F-42FB-9707-0FF2DE7D707B}" xr6:coauthVersionLast="36" xr6:coauthVersionMax="36" xr10:uidLastSave="{00000000-0000-0000-0000-000000000000}"/>
  <bookViews>
    <workbookView xWindow="0" yWindow="0" windowWidth="28800" windowHeight="14025" activeTab="3" xr2:uid="{741FF5BF-5CBD-4A41-8A6D-60044BC89C80}"/>
  </bookViews>
  <sheets>
    <sheet name="2020" sheetId="1" r:id="rId1"/>
    <sheet name="2030" sheetId="5" r:id="rId2"/>
    <sheet name="2040" sheetId="6" r:id="rId3"/>
    <sheet name="2050" sheetId="7" r:id="rId4"/>
    <sheet name="H2 and CO2 costs" sheetId="9" r:id="rId5"/>
    <sheet name="Overall" sheetId="8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" i="7" l="1"/>
  <c r="Q8" i="7" s="1"/>
  <c r="P8" i="7" l="1"/>
  <c r="O8" i="6"/>
  <c r="P8" i="6" l="1"/>
  <c r="Q8" i="6"/>
  <c r="Q5" i="1"/>
  <c r="P5" i="1"/>
  <c r="Q3" i="1"/>
  <c r="P3" i="1"/>
  <c r="Q5" i="5"/>
  <c r="P5" i="5"/>
  <c r="Q3" i="5"/>
  <c r="P3" i="5"/>
  <c r="Q5" i="6"/>
  <c r="P5" i="6"/>
  <c r="Q3" i="6"/>
  <c r="P3" i="6"/>
  <c r="Q5" i="7"/>
  <c r="P5" i="7"/>
  <c r="Q3" i="7"/>
  <c r="P3" i="7"/>
  <c r="O4" i="7" l="1"/>
  <c r="T4" i="7" s="1"/>
  <c r="O4" i="6"/>
  <c r="T4" i="6" s="1"/>
  <c r="O4" i="5"/>
  <c r="T4" i="5" s="1"/>
  <c r="O4" i="1"/>
  <c r="T4" i="1" s="1"/>
  <c r="Q4" i="6" l="1"/>
  <c r="V4" i="6" s="1"/>
  <c r="P4" i="6"/>
  <c r="U4" i="6" s="1"/>
  <c r="Q4" i="1"/>
  <c r="V4" i="1" s="1"/>
  <c r="P4" i="1"/>
  <c r="U4" i="1" s="1"/>
  <c r="P4" i="5"/>
  <c r="U4" i="5" s="1"/>
  <c r="Q4" i="5"/>
  <c r="V4" i="5" s="1"/>
  <c r="Q4" i="7"/>
  <c r="V4" i="7" s="1"/>
  <c r="P4" i="7"/>
  <c r="U4" i="7" s="1"/>
  <c r="D17" i="9"/>
  <c r="C17" i="9"/>
  <c r="B17" i="9"/>
  <c r="C11" i="9"/>
  <c r="C10" i="9"/>
  <c r="D9" i="9"/>
  <c r="B9" i="9"/>
  <c r="D7" i="9"/>
  <c r="D6" i="9"/>
  <c r="C7" i="9"/>
  <c r="C6" i="9"/>
  <c r="B7" i="9"/>
  <c r="B6" i="9"/>
  <c r="B5" i="9" s="1"/>
  <c r="C9" i="9" l="1"/>
  <c r="C5" i="9"/>
  <c r="D5" i="9"/>
  <c r="O18" i="7"/>
  <c r="D38" i="7" s="1"/>
  <c r="E38" i="7" s="1"/>
  <c r="F38" i="7" s="1"/>
  <c r="O17" i="7"/>
  <c r="D50" i="7" s="1"/>
  <c r="E50" i="7" s="1"/>
  <c r="F50" i="7" s="1"/>
  <c r="O14" i="7"/>
  <c r="D12" i="7" s="1"/>
  <c r="E12" i="7" s="1"/>
  <c r="F12" i="7" s="1"/>
  <c r="O13" i="7"/>
  <c r="D24" i="7" s="1"/>
  <c r="E24" i="7" s="1"/>
  <c r="F24" i="7" s="1"/>
  <c r="O18" i="6"/>
  <c r="D51" i="6" s="1"/>
  <c r="E51" i="6" s="1"/>
  <c r="F51" i="6" s="1"/>
  <c r="O17" i="6"/>
  <c r="D50" i="6" s="1"/>
  <c r="E50" i="6" s="1"/>
  <c r="F50" i="6" s="1"/>
  <c r="O14" i="6"/>
  <c r="D12" i="6" s="1"/>
  <c r="E12" i="6" s="1"/>
  <c r="F12" i="6" s="1"/>
  <c r="O13" i="6"/>
  <c r="D24" i="6" s="1"/>
  <c r="E24" i="6" s="1"/>
  <c r="F24" i="6" s="1"/>
  <c r="D47" i="6"/>
  <c r="P7" i="8" s="1"/>
  <c r="F49" i="7"/>
  <c r="E49" i="7"/>
  <c r="D49" i="7"/>
  <c r="Q9" i="8" s="1"/>
  <c r="F48" i="7"/>
  <c r="E48" i="7"/>
  <c r="D48" i="7"/>
  <c r="Q8" i="8" s="1"/>
  <c r="F46" i="7"/>
  <c r="E46" i="7"/>
  <c r="D46" i="7"/>
  <c r="Q6" i="8" s="1"/>
  <c r="F45" i="7"/>
  <c r="E45" i="7"/>
  <c r="D45" i="7"/>
  <c r="Q5" i="8" s="1"/>
  <c r="F36" i="7"/>
  <c r="E36" i="7"/>
  <c r="D36" i="7"/>
  <c r="M9" i="8" s="1"/>
  <c r="F35" i="7"/>
  <c r="E35" i="7"/>
  <c r="D35" i="7"/>
  <c r="M8" i="8" s="1"/>
  <c r="F33" i="7"/>
  <c r="E33" i="7"/>
  <c r="D33" i="7"/>
  <c r="M6" i="8" s="1"/>
  <c r="F32" i="7"/>
  <c r="E32" i="7"/>
  <c r="D32" i="7"/>
  <c r="M5" i="8" s="1"/>
  <c r="F23" i="7"/>
  <c r="E23" i="7"/>
  <c r="D23" i="7"/>
  <c r="I9" i="8" s="1"/>
  <c r="F22" i="7"/>
  <c r="E22" i="7"/>
  <c r="D22" i="7"/>
  <c r="I8" i="8" s="1"/>
  <c r="F20" i="7"/>
  <c r="E20" i="7"/>
  <c r="D20" i="7"/>
  <c r="I6" i="8" s="1"/>
  <c r="F19" i="7"/>
  <c r="E19" i="7"/>
  <c r="D19" i="7"/>
  <c r="I5" i="8" s="1"/>
  <c r="F10" i="7"/>
  <c r="E10" i="7"/>
  <c r="D10" i="7"/>
  <c r="E9" i="8" s="1"/>
  <c r="F9" i="7"/>
  <c r="E9" i="7"/>
  <c r="D9" i="7"/>
  <c r="E8" i="8" s="1"/>
  <c r="F7" i="7"/>
  <c r="E7" i="7"/>
  <c r="D7" i="7"/>
  <c r="E6" i="8" s="1"/>
  <c r="F6" i="7"/>
  <c r="E6" i="7"/>
  <c r="D6" i="7"/>
  <c r="E5" i="8" s="1"/>
  <c r="F5" i="7"/>
  <c r="E5" i="7"/>
  <c r="D5" i="7"/>
  <c r="E4" i="8" s="1"/>
  <c r="F43" i="7"/>
  <c r="E4" i="7"/>
  <c r="D4" i="7"/>
  <c r="E3" i="8" s="1"/>
  <c r="F29" i="7"/>
  <c r="E16" i="7"/>
  <c r="D16" i="7"/>
  <c r="I2" i="8" s="1"/>
  <c r="F49" i="6"/>
  <c r="E49" i="6"/>
  <c r="D49" i="6"/>
  <c r="P9" i="8" s="1"/>
  <c r="F48" i="6"/>
  <c r="E48" i="6"/>
  <c r="D48" i="6"/>
  <c r="P8" i="8" s="1"/>
  <c r="F47" i="6"/>
  <c r="E47" i="6"/>
  <c r="F46" i="6"/>
  <c r="E46" i="6"/>
  <c r="D46" i="6"/>
  <c r="P6" i="8" s="1"/>
  <c r="F45" i="6"/>
  <c r="E45" i="6"/>
  <c r="D45" i="6"/>
  <c r="P5" i="8" s="1"/>
  <c r="F36" i="6"/>
  <c r="E36" i="6"/>
  <c r="D36" i="6"/>
  <c r="L9" i="8" s="1"/>
  <c r="F35" i="6"/>
  <c r="E35" i="6"/>
  <c r="D35" i="6"/>
  <c r="L8" i="8" s="1"/>
  <c r="F34" i="6"/>
  <c r="E34" i="6"/>
  <c r="F33" i="6"/>
  <c r="E33" i="6"/>
  <c r="D33" i="6"/>
  <c r="L6" i="8" s="1"/>
  <c r="F32" i="6"/>
  <c r="E32" i="6"/>
  <c r="D32" i="6"/>
  <c r="L5" i="8" s="1"/>
  <c r="F23" i="6"/>
  <c r="E23" i="6"/>
  <c r="D23" i="6"/>
  <c r="H9" i="8" s="1"/>
  <c r="F22" i="6"/>
  <c r="E22" i="6"/>
  <c r="D22" i="6"/>
  <c r="H8" i="8" s="1"/>
  <c r="F21" i="6"/>
  <c r="E21" i="6"/>
  <c r="F20" i="6"/>
  <c r="E20" i="6"/>
  <c r="D20" i="6"/>
  <c r="H6" i="8" s="1"/>
  <c r="F19" i="6"/>
  <c r="E19" i="6"/>
  <c r="D19" i="6"/>
  <c r="H5" i="8" s="1"/>
  <c r="F10" i="6"/>
  <c r="E10" i="6"/>
  <c r="D10" i="6"/>
  <c r="D9" i="8" s="1"/>
  <c r="F9" i="6"/>
  <c r="E9" i="6"/>
  <c r="D9" i="6"/>
  <c r="D8" i="8" s="1"/>
  <c r="F8" i="6"/>
  <c r="E8" i="6"/>
  <c r="F7" i="6"/>
  <c r="E7" i="6"/>
  <c r="D7" i="6"/>
  <c r="D6" i="8" s="1"/>
  <c r="F6" i="6"/>
  <c r="E6" i="6"/>
  <c r="D6" i="6"/>
  <c r="D5" i="8" s="1"/>
  <c r="F18" i="6"/>
  <c r="E31" i="6"/>
  <c r="D5" i="6"/>
  <c r="D4" i="8" s="1"/>
  <c r="F4" i="6"/>
  <c r="E43" i="6"/>
  <c r="D43" i="6"/>
  <c r="P3" i="8" s="1"/>
  <c r="F16" i="6"/>
  <c r="E42" i="6"/>
  <c r="D29" i="6"/>
  <c r="L2" i="8" s="1"/>
  <c r="F44" i="5"/>
  <c r="D44" i="5"/>
  <c r="O4" i="8" s="1"/>
  <c r="O8" i="5"/>
  <c r="O18" i="5"/>
  <c r="D51" i="5" s="1"/>
  <c r="E51" i="5" s="1"/>
  <c r="F51" i="5" s="1"/>
  <c r="O17" i="5"/>
  <c r="D50" i="5" s="1"/>
  <c r="E50" i="5" s="1"/>
  <c r="F50" i="5" s="1"/>
  <c r="O14" i="5"/>
  <c r="D12" i="5" s="1"/>
  <c r="E12" i="5" s="1"/>
  <c r="F12" i="5" s="1"/>
  <c r="O13" i="5"/>
  <c r="D11" i="5" s="1"/>
  <c r="E11" i="5" s="1"/>
  <c r="F11" i="5" s="1"/>
  <c r="F4" i="5"/>
  <c r="E30" i="5"/>
  <c r="F3" i="5"/>
  <c r="D43" i="5"/>
  <c r="O3" i="8" s="1"/>
  <c r="D3" i="5"/>
  <c r="C2" i="8" s="1"/>
  <c r="F49" i="5"/>
  <c r="E49" i="5"/>
  <c r="D49" i="5"/>
  <c r="O9" i="8" s="1"/>
  <c r="F48" i="5"/>
  <c r="E48" i="5"/>
  <c r="D48" i="5"/>
  <c r="O8" i="8" s="1"/>
  <c r="F46" i="5"/>
  <c r="E46" i="5"/>
  <c r="D46" i="5"/>
  <c r="O6" i="8" s="1"/>
  <c r="F45" i="5"/>
  <c r="E45" i="5"/>
  <c r="D45" i="5"/>
  <c r="O5" i="8" s="1"/>
  <c r="F36" i="5"/>
  <c r="E36" i="5"/>
  <c r="D36" i="5"/>
  <c r="K9" i="8" s="1"/>
  <c r="F35" i="5"/>
  <c r="E35" i="5"/>
  <c r="D35" i="5"/>
  <c r="K8" i="8" s="1"/>
  <c r="F33" i="5"/>
  <c r="E33" i="5"/>
  <c r="D33" i="5"/>
  <c r="K6" i="8" s="1"/>
  <c r="F32" i="5"/>
  <c r="E32" i="5"/>
  <c r="D32" i="5"/>
  <c r="K5" i="8" s="1"/>
  <c r="F23" i="5"/>
  <c r="E23" i="5"/>
  <c r="D23" i="5"/>
  <c r="G9" i="8" s="1"/>
  <c r="F22" i="5"/>
  <c r="E22" i="5"/>
  <c r="D22" i="5"/>
  <c r="G8" i="8" s="1"/>
  <c r="F20" i="5"/>
  <c r="E20" i="5"/>
  <c r="D20" i="5"/>
  <c r="G6" i="8" s="1"/>
  <c r="F19" i="5"/>
  <c r="E19" i="5"/>
  <c r="D19" i="5"/>
  <c r="G5" i="8" s="1"/>
  <c r="F10" i="5"/>
  <c r="E10" i="5"/>
  <c r="D10" i="5"/>
  <c r="C9" i="8" s="1"/>
  <c r="F9" i="5"/>
  <c r="E9" i="5"/>
  <c r="D9" i="5"/>
  <c r="C8" i="8" s="1"/>
  <c r="F7" i="5"/>
  <c r="E7" i="5"/>
  <c r="D7" i="5"/>
  <c r="C6" i="8" s="1"/>
  <c r="F6" i="5"/>
  <c r="E6" i="5"/>
  <c r="D6" i="5"/>
  <c r="C5" i="8" s="1"/>
  <c r="E44" i="5"/>
  <c r="E42" i="5"/>
  <c r="D51" i="1"/>
  <c r="E51" i="1" s="1"/>
  <c r="F51" i="1" s="1"/>
  <c r="D50" i="1"/>
  <c r="E50" i="1" s="1"/>
  <c r="F50" i="1" s="1"/>
  <c r="D38" i="1"/>
  <c r="E38" i="1" s="1"/>
  <c r="F38" i="1" s="1"/>
  <c r="D37" i="1"/>
  <c r="E37" i="1" s="1"/>
  <c r="F37" i="1" s="1"/>
  <c r="D25" i="1"/>
  <c r="E25" i="1" s="1"/>
  <c r="F25" i="1" s="1"/>
  <c r="D24" i="1"/>
  <c r="E24" i="1" s="1"/>
  <c r="F24" i="1" s="1"/>
  <c r="D12" i="1"/>
  <c r="E12" i="1" s="1"/>
  <c r="F12" i="1" s="1"/>
  <c r="D11" i="1"/>
  <c r="E11" i="1" s="1"/>
  <c r="F11" i="1" s="1"/>
  <c r="O8" i="1"/>
  <c r="F46" i="1"/>
  <c r="E46" i="1"/>
  <c r="D46" i="1"/>
  <c r="N6" i="8" s="1"/>
  <c r="F33" i="1"/>
  <c r="E33" i="1"/>
  <c r="D33" i="1"/>
  <c r="J6" i="8" s="1"/>
  <c r="F20" i="1"/>
  <c r="E20" i="1"/>
  <c r="D20" i="1"/>
  <c r="F6" i="8" s="1"/>
  <c r="F7" i="1"/>
  <c r="E7" i="1"/>
  <c r="D7" i="1"/>
  <c r="B6" i="8" s="1"/>
  <c r="F10" i="1"/>
  <c r="D49" i="1"/>
  <c r="N9" i="8" s="1"/>
  <c r="E48" i="1"/>
  <c r="D9" i="1"/>
  <c r="B8" i="8" s="1"/>
  <c r="F44" i="1"/>
  <c r="E18" i="1"/>
  <c r="D44" i="1"/>
  <c r="N4" i="8" s="1"/>
  <c r="D45" i="1"/>
  <c r="N5" i="8" s="1"/>
  <c r="E45" i="1"/>
  <c r="F45" i="1"/>
  <c r="D48" i="1"/>
  <c r="N8" i="8" s="1"/>
  <c r="F48" i="1"/>
  <c r="E49" i="1"/>
  <c r="D32" i="1"/>
  <c r="J5" i="8" s="1"/>
  <c r="E32" i="1"/>
  <c r="F32" i="1"/>
  <c r="D35" i="1"/>
  <c r="J8" i="8" s="1"/>
  <c r="E35" i="1"/>
  <c r="F35" i="1"/>
  <c r="D36" i="1"/>
  <c r="J9" i="8" s="1"/>
  <c r="E36" i="1"/>
  <c r="D19" i="1"/>
  <c r="F5" i="8" s="1"/>
  <c r="E19" i="1"/>
  <c r="F19" i="1"/>
  <c r="E22" i="1"/>
  <c r="F22" i="1"/>
  <c r="D23" i="1"/>
  <c r="F9" i="8" s="1"/>
  <c r="E23" i="1"/>
  <c r="F23" i="1"/>
  <c r="E10" i="1"/>
  <c r="F9" i="1"/>
  <c r="E9" i="1"/>
  <c r="F6" i="1"/>
  <c r="E6" i="1"/>
  <c r="D6" i="1"/>
  <c r="B5" i="8" s="1"/>
  <c r="F4" i="1"/>
  <c r="E43" i="1"/>
  <c r="F29" i="1"/>
  <c r="D43" i="1"/>
  <c r="N3" i="8" s="1"/>
  <c r="E42" i="1"/>
  <c r="D3" i="1"/>
  <c r="B2" i="8" s="1"/>
  <c r="D21" i="5" l="1"/>
  <c r="G7" i="8" s="1"/>
  <c r="Q8" i="5"/>
  <c r="P8" i="5"/>
  <c r="D34" i="1"/>
  <c r="J7" i="8" s="1"/>
  <c r="Q8" i="1"/>
  <c r="P8" i="1"/>
  <c r="D21" i="7"/>
  <c r="I7" i="8" s="1"/>
  <c r="F10" i="8"/>
  <c r="J11" i="8"/>
  <c r="J10" i="8"/>
  <c r="P11" i="8"/>
  <c r="H10" i="8"/>
  <c r="D25" i="6"/>
  <c r="N11" i="8"/>
  <c r="B11" i="8"/>
  <c r="N10" i="8"/>
  <c r="D11" i="8"/>
  <c r="F11" i="8"/>
  <c r="D4" i="6"/>
  <c r="D3" i="8" s="1"/>
  <c r="D3" i="7"/>
  <c r="E2" i="8" s="1"/>
  <c r="C10" i="8"/>
  <c r="O10" i="8"/>
  <c r="C11" i="8"/>
  <c r="E11" i="8"/>
  <c r="O11" i="8"/>
  <c r="B10" i="8"/>
  <c r="F4" i="7"/>
  <c r="P10" i="8"/>
  <c r="I10" i="8"/>
  <c r="Q10" i="8"/>
  <c r="M11" i="8"/>
  <c r="E3" i="6"/>
  <c r="E29" i="6"/>
  <c r="D11" i="6"/>
  <c r="D29" i="7"/>
  <c r="M2" i="8" s="1"/>
  <c r="F17" i="6"/>
  <c r="E5" i="6"/>
  <c r="E4" i="6"/>
  <c r="E3" i="5"/>
  <c r="D34" i="6"/>
  <c r="L7" i="8" s="1"/>
  <c r="D16" i="6"/>
  <c r="H2" i="8" s="1"/>
  <c r="D37" i="7"/>
  <c r="D17" i="6"/>
  <c r="H3" i="8" s="1"/>
  <c r="E29" i="7"/>
  <c r="E44" i="7"/>
  <c r="D3" i="6"/>
  <c r="D2" i="8" s="1"/>
  <c r="E17" i="6"/>
  <c r="F44" i="7"/>
  <c r="D51" i="7"/>
  <c r="E30" i="6"/>
  <c r="D42" i="6"/>
  <c r="P2" i="8" s="1"/>
  <c r="F43" i="6"/>
  <c r="F5" i="6"/>
  <c r="F29" i="6"/>
  <c r="D30" i="6"/>
  <c r="L3" i="8" s="1"/>
  <c r="F42" i="6"/>
  <c r="D21" i="6"/>
  <c r="H7" i="8" s="1"/>
  <c r="E18" i="7"/>
  <c r="F3" i="6"/>
  <c r="E3" i="7"/>
  <c r="F31" i="7"/>
  <c r="E16" i="6"/>
  <c r="D8" i="7"/>
  <c r="E7" i="8" s="1"/>
  <c r="D42" i="7"/>
  <c r="Q2" i="8" s="1"/>
  <c r="E42" i="7"/>
  <c r="D8" i="6"/>
  <c r="D7" i="8" s="1"/>
  <c r="F16" i="7"/>
  <c r="D34" i="7"/>
  <c r="M7" i="8" s="1"/>
  <c r="D17" i="7"/>
  <c r="I3" i="8" s="1"/>
  <c r="D47" i="7"/>
  <c r="Q7" i="8" s="1"/>
  <c r="F3" i="7"/>
  <c r="D11" i="7"/>
  <c r="D30" i="7"/>
  <c r="M3" i="8" s="1"/>
  <c r="F42" i="7"/>
  <c r="D25" i="7"/>
  <c r="E17" i="7"/>
  <c r="F17" i="7"/>
  <c r="D18" i="7"/>
  <c r="I4" i="8" s="1"/>
  <c r="E30" i="7"/>
  <c r="D43" i="7"/>
  <c r="Q3" i="8" s="1"/>
  <c r="F30" i="7"/>
  <c r="F18" i="7"/>
  <c r="D31" i="7"/>
  <c r="M4" i="8" s="1"/>
  <c r="E43" i="7"/>
  <c r="E31" i="7"/>
  <c r="D44" i="7"/>
  <c r="Q4" i="8" s="1"/>
  <c r="D18" i="6"/>
  <c r="H4" i="8" s="1"/>
  <c r="E18" i="6"/>
  <c r="F30" i="6"/>
  <c r="F31" i="6"/>
  <c r="D37" i="6"/>
  <c r="E44" i="6"/>
  <c r="E41" i="6" s="1"/>
  <c r="P12" i="8" s="1"/>
  <c r="F44" i="6"/>
  <c r="D44" i="6"/>
  <c r="P4" i="8" s="1"/>
  <c r="D31" i="6"/>
  <c r="L4" i="8" s="1"/>
  <c r="D38" i="6"/>
  <c r="D37" i="5"/>
  <c r="F5" i="5"/>
  <c r="D25" i="5"/>
  <c r="D38" i="5"/>
  <c r="D24" i="5"/>
  <c r="E16" i="5"/>
  <c r="D4" i="5"/>
  <c r="C3" i="8" s="1"/>
  <c r="D17" i="5"/>
  <c r="G3" i="8" s="1"/>
  <c r="E4" i="5"/>
  <c r="E17" i="5"/>
  <c r="D29" i="5"/>
  <c r="K2" i="8" s="1"/>
  <c r="F16" i="5"/>
  <c r="E29" i="5"/>
  <c r="D5" i="5"/>
  <c r="C4" i="8" s="1"/>
  <c r="F29" i="5"/>
  <c r="D16" i="5"/>
  <c r="G2" i="8" s="1"/>
  <c r="E5" i="5"/>
  <c r="D30" i="5"/>
  <c r="K3" i="8" s="1"/>
  <c r="D42" i="5"/>
  <c r="O2" i="8" s="1"/>
  <c r="E43" i="5"/>
  <c r="F42" i="5"/>
  <c r="D47" i="5"/>
  <c r="O7" i="8" s="1"/>
  <c r="F17" i="5"/>
  <c r="D18" i="5"/>
  <c r="G4" i="8" s="1"/>
  <c r="E18" i="5"/>
  <c r="D31" i="5"/>
  <c r="K4" i="8" s="1"/>
  <c r="F43" i="5"/>
  <c r="F18" i="5"/>
  <c r="E31" i="5"/>
  <c r="D34" i="5"/>
  <c r="K7" i="8" s="1"/>
  <c r="F31" i="5"/>
  <c r="F30" i="5"/>
  <c r="D8" i="5"/>
  <c r="C7" i="8" s="1"/>
  <c r="D21" i="1"/>
  <c r="F7" i="8" s="1"/>
  <c r="D8" i="1"/>
  <c r="B7" i="8" s="1"/>
  <c r="D47" i="1"/>
  <c r="N7" i="8" s="1"/>
  <c r="E44" i="1"/>
  <c r="D5" i="1"/>
  <c r="B4" i="8" s="1"/>
  <c r="E31" i="1"/>
  <c r="E5" i="1"/>
  <c r="D18" i="1"/>
  <c r="F4" i="8" s="1"/>
  <c r="D22" i="1"/>
  <c r="F8" i="8" s="1"/>
  <c r="F49" i="1"/>
  <c r="D10" i="1"/>
  <c r="B9" i="8" s="1"/>
  <c r="F36" i="1"/>
  <c r="F3" i="1"/>
  <c r="D4" i="1"/>
  <c r="B3" i="8" s="1"/>
  <c r="F18" i="1"/>
  <c r="E4" i="1"/>
  <c r="D16" i="1"/>
  <c r="F2" i="8" s="1"/>
  <c r="F31" i="1"/>
  <c r="F16" i="1"/>
  <c r="E16" i="1"/>
  <c r="D31" i="1"/>
  <c r="J4" i="8" s="1"/>
  <c r="F5" i="1"/>
  <c r="E17" i="1"/>
  <c r="D42" i="1"/>
  <c r="N2" i="8" s="1"/>
  <c r="F17" i="1"/>
  <c r="F42" i="1"/>
  <c r="D17" i="1"/>
  <c r="F3" i="8" s="1"/>
  <c r="D29" i="1"/>
  <c r="J2" i="8" s="1"/>
  <c r="F30" i="1"/>
  <c r="E30" i="1"/>
  <c r="E29" i="1"/>
  <c r="E3" i="1"/>
  <c r="D30" i="1"/>
  <c r="J3" i="8" s="1"/>
  <c r="F43" i="1"/>
  <c r="F47" i="7" l="1"/>
  <c r="F8" i="7"/>
  <c r="F21" i="7"/>
  <c r="F34" i="7"/>
  <c r="E34" i="7"/>
  <c r="E47" i="7"/>
  <c r="E8" i="7"/>
  <c r="E21" i="7"/>
  <c r="E47" i="1"/>
  <c r="E41" i="1" s="1"/>
  <c r="N12" i="8" s="1"/>
  <c r="E21" i="1"/>
  <c r="E15" i="1" s="1"/>
  <c r="F12" i="8" s="1"/>
  <c r="E8" i="1"/>
  <c r="E2" i="1" s="1"/>
  <c r="B12" i="8" s="1"/>
  <c r="E34" i="1"/>
  <c r="E28" i="1" s="1"/>
  <c r="J12" i="8" s="1"/>
  <c r="F2" i="5"/>
  <c r="C13" i="8" s="1"/>
  <c r="E47" i="5"/>
  <c r="E41" i="5" s="1"/>
  <c r="O12" i="8" s="1"/>
  <c r="E8" i="5"/>
  <c r="E2" i="5" s="1"/>
  <c r="C12" i="8" s="1"/>
  <c r="E21" i="5"/>
  <c r="E34" i="5"/>
  <c r="F47" i="1"/>
  <c r="F34" i="1"/>
  <c r="F21" i="1"/>
  <c r="F15" i="1" s="1"/>
  <c r="F13" i="8" s="1"/>
  <c r="F8" i="1"/>
  <c r="F47" i="5"/>
  <c r="F41" i="5" s="1"/>
  <c r="O13" i="8" s="1"/>
  <c r="F8" i="5"/>
  <c r="F21" i="5"/>
  <c r="F34" i="5"/>
  <c r="E25" i="6"/>
  <c r="F25" i="6" s="1"/>
  <c r="F15" i="6" s="1"/>
  <c r="H13" i="8" s="1"/>
  <c r="H11" i="8"/>
  <c r="E37" i="5"/>
  <c r="F37" i="5" s="1"/>
  <c r="K10" i="8"/>
  <c r="E38" i="6"/>
  <c r="F38" i="6" s="1"/>
  <c r="L11" i="8"/>
  <c r="E51" i="7"/>
  <c r="F51" i="7" s="1"/>
  <c r="Q11" i="8"/>
  <c r="E25" i="5"/>
  <c r="F25" i="5" s="1"/>
  <c r="G11" i="8"/>
  <c r="E11" i="6"/>
  <c r="F11" i="6" s="1"/>
  <c r="F2" i="6" s="1"/>
  <c r="D13" i="8" s="1"/>
  <c r="D10" i="8"/>
  <c r="E37" i="6"/>
  <c r="F37" i="6" s="1"/>
  <c r="L10" i="8"/>
  <c r="E25" i="7"/>
  <c r="F25" i="7" s="1"/>
  <c r="F15" i="7" s="1"/>
  <c r="I13" i="8" s="1"/>
  <c r="I11" i="8"/>
  <c r="E37" i="7"/>
  <c r="F37" i="7" s="1"/>
  <c r="F28" i="7" s="1"/>
  <c r="M13" i="8" s="1"/>
  <c r="M10" i="8"/>
  <c r="E11" i="7"/>
  <c r="F11" i="7" s="1"/>
  <c r="F2" i="7" s="1"/>
  <c r="E13" i="8" s="1"/>
  <c r="E10" i="8"/>
  <c r="E24" i="5"/>
  <c r="F24" i="5" s="1"/>
  <c r="G10" i="8"/>
  <c r="E38" i="5"/>
  <c r="F38" i="5" s="1"/>
  <c r="K11" i="8"/>
  <c r="D41" i="6"/>
  <c r="D2" i="6"/>
  <c r="D15" i="6"/>
  <c r="D28" i="7"/>
  <c r="F41" i="6"/>
  <c r="P13" i="8" s="1"/>
  <c r="D41" i="7"/>
  <c r="D15" i="7"/>
  <c r="D2" i="7"/>
  <c r="D28" i="6"/>
  <c r="D28" i="5"/>
  <c r="D2" i="5"/>
  <c r="F28" i="1"/>
  <c r="J13" i="8" s="1"/>
  <c r="D41" i="5"/>
  <c r="D15" i="5"/>
  <c r="F41" i="1"/>
  <c r="N13" i="8" s="1"/>
  <c r="D28" i="1"/>
  <c r="D41" i="1"/>
  <c r="D15" i="1"/>
  <c r="F2" i="1"/>
  <c r="B13" i="8" s="1"/>
  <c r="D2" i="1"/>
  <c r="F41" i="7" l="1"/>
  <c r="Q13" i="8" s="1"/>
  <c r="E28" i="5"/>
  <c r="K12" i="8" s="1"/>
  <c r="E15" i="6"/>
  <c r="H12" i="8" s="1"/>
  <c r="F28" i="6"/>
  <c r="L13" i="8" s="1"/>
  <c r="F15" i="5"/>
  <c r="G13" i="8" s="1"/>
  <c r="F28" i="5"/>
  <c r="K13" i="8" s="1"/>
  <c r="E41" i="7"/>
  <c r="Q12" i="8" s="1"/>
  <c r="E28" i="6"/>
  <c r="L12" i="8" s="1"/>
  <c r="E2" i="7"/>
  <c r="E12" i="8" s="1"/>
  <c r="E15" i="5"/>
  <c r="G12" i="8" s="1"/>
  <c r="E2" i="6"/>
  <c r="D12" i="8" s="1"/>
  <c r="E28" i="7"/>
  <c r="M12" i="8" s="1"/>
  <c r="E15" i="7"/>
  <c r="I12" i="8" s="1"/>
</calcChain>
</file>

<file path=xl/sharedStrings.xml><?xml version="1.0" encoding="utf-8"?>
<sst xmlns="http://schemas.openxmlformats.org/spreadsheetml/2006/main" count="612" uniqueCount="59">
  <si>
    <t>ammonia</t>
  </si>
  <si>
    <t>natural gas, feedstock</t>
  </si>
  <si>
    <t>natural gas, heating</t>
  </si>
  <si>
    <t>electricity, from grid</t>
  </si>
  <si>
    <t>nitrogen gaseous</t>
  </si>
  <si>
    <t>Blue ammonia</t>
  </si>
  <si>
    <t>kilogram</t>
  </si>
  <si>
    <t>cubic meter</t>
  </si>
  <si>
    <t>kilowatt hour</t>
  </si>
  <si>
    <t>Fossil ammonia</t>
  </si>
  <si>
    <t>megajoule</t>
  </si>
  <si>
    <t>CAPEX contribution</t>
  </si>
  <si>
    <r>
      <t>USD2019 kg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ammonia</t>
    </r>
  </si>
  <si>
    <t>Fixed costs contribution</t>
  </si>
  <si>
    <t>Solar ammonia</t>
  </si>
  <si>
    <t>Wind ammonia</t>
  </si>
  <si>
    <t>Price</t>
  </si>
  <si>
    <t>Prices</t>
  </si>
  <si>
    <t>Category</t>
  </si>
  <si>
    <t>Low</t>
  </si>
  <si>
    <t>High</t>
  </si>
  <si>
    <t>USD per kg</t>
  </si>
  <si>
    <r>
      <t>USD per m</t>
    </r>
    <r>
      <rPr>
        <vertAlign val="superscript"/>
        <sz val="11"/>
        <color theme="1"/>
        <rFont val="Calibri"/>
        <family val="2"/>
        <scheme val="minor"/>
      </rPr>
      <t>3</t>
    </r>
  </si>
  <si>
    <t>USD per MJ</t>
  </si>
  <si>
    <t>Cost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</si>
  <si>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emissions, fossil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</si>
  <si>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emissions, biogenic</t>
    </r>
  </si>
  <si>
    <t>USD per kWh</t>
  </si>
  <si>
    <t>solar hydrogen, 25 bar</t>
  </si>
  <si>
    <t>wind hydrogen, 25 bar</t>
  </si>
  <si>
    <t>For fossil routes</t>
  </si>
  <si>
    <t>For green routes</t>
  </si>
  <si>
    <t>-</t>
  </si>
  <si>
    <t>Fossil 2030</t>
  </si>
  <si>
    <t>Fossil 2020</t>
  </si>
  <si>
    <t>Fossil 2040</t>
  </si>
  <si>
    <t>Fossil 2050</t>
  </si>
  <si>
    <t>Blue 2020</t>
  </si>
  <si>
    <t>Blue 2030</t>
  </si>
  <si>
    <t>Blue 2040</t>
  </si>
  <si>
    <t>Blue 2050</t>
  </si>
  <si>
    <t>Solar 2020</t>
  </si>
  <si>
    <t>Solar 2030</t>
  </si>
  <si>
    <t>Solar 2040</t>
  </si>
  <si>
    <t>Solar 2050</t>
  </si>
  <si>
    <t>Wind 2020</t>
  </si>
  <si>
    <t>Wind 2030</t>
  </si>
  <si>
    <t>Wind 2040</t>
  </si>
  <si>
    <t>Wind 2050</t>
  </si>
  <si>
    <t>Solar hydrogen</t>
  </si>
  <si>
    <t>Solar electricity</t>
  </si>
  <si>
    <t>Wind electricity</t>
  </si>
  <si>
    <t>Wind hydrogen</t>
  </si>
  <si>
    <t>CAPEX</t>
  </si>
  <si>
    <t>Solar hydrogen low</t>
  </si>
  <si>
    <t>Solar hydrogen high</t>
  </si>
  <si>
    <t>Wind hydrogen low</t>
  </si>
  <si>
    <t>Wind hydrogen high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</si>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</sst>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171291</xdr:colOff>
      <xdr:row>0</xdr:row>
      <xdr:rowOff>66675</xdr:rowOff>
    </xdr:from>
    <xdr:to>
      <xdr:col>17</xdr:col>
      <xdr:colOff>495300</xdr:colOff>
      <xdr:row>22</xdr:row>
      <xdr:rowOff>2824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D1B119-A0A1-4DA8-BC3C-6BEE6CCF5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6191" y="66675"/>
          <a:ext cx="6420009" cy="4127149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23</xdr:row>
      <xdr:rowOff>47625</xdr:rowOff>
    </xdr:from>
    <xdr:to>
      <xdr:col>16</xdr:col>
      <xdr:colOff>161395</xdr:colOff>
      <xdr:row>43</xdr:row>
      <xdr:rowOff>113815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BF760F-1DBA-48C5-9AB6-BEBFF8E5D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24600" y="4429125"/>
          <a:ext cx="4238095" cy="38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B3379-AAE6-44DB-9440-CE58FA411FEA}">
  <dimension ref="A1:V51"/>
  <sheetViews>
    <sheetView workbookViewId="0">
      <selection activeCell="O8" sqref="O8"/>
    </sheetView>
  </sheetViews>
  <sheetFormatPr defaultRowHeight="15" x14ac:dyDescent="0.25"/>
  <cols>
    <col min="1" max="1" width="22.5703125" style="4" bestFit="1" customWidth="1"/>
    <col min="2" max="2" width="21.140625" bestFit="1" customWidth="1"/>
    <col min="3" max="3" width="12.85546875" bestFit="1" customWidth="1"/>
    <col min="4" max="6" width="9.5703125" bestFit="1" customWidth="1"/>
    <col min="14" max="14" width="22.85546875" bestFit="1" customWidth="1"/>
    <col min="15" max="15" width="21.140625" bestFit="1" customWidth="1"/>
    <col min="18" max="18" width="21.42578125" bestFit="1" customWidth="1"/>
    <col min="19" max="20" width="10.5703125" bestFit="1" customWidth="1"/>
  </cols>
  <sheetData>
    <row r="1" spans="1:22" x14ac:dyDescent="0.25">
      <c r="A1" s="10" t="s">
        <v>9</v>
      </c>
      <c r="B1" s="10"/>
      <c r="C1" s="10"/>
      <c r="D1" s="1" t="s">
        <v>24</v>
      </c>
      <c r="E1" s="1" t="s">
        <v>19</v>
      </c>
      <c r="F1" s="1" t="s">
        <v>20</v>
      </c>
      <c r="N1" s="10" t="s">
        <v>17</v>
      </c>
      <c r="O1" s="10"/>
      <c r="P1" s="10"/>
      <c r="Q1" s="10"/>
      <c r="R1" s="10"/>
    </row>
    <row r="2" spans="1:22" x14ac:dyDescent="0.25">
      <c r="A2" s="4" t="s">
        <v>0</v>
      </c>
      <c r="B2" s="3">
        <v>1</v>
      </c>
      <c r="C2" s="1" t="s">
        <v>6</v>
      </c>
      <c r="D2" s="3">
        <f>SUM(D3:D12)</f>
        <v>0.27850023468199292</v>
      </c>
      <c r="E2" s="3">
        <f t="shared" ref="E2:F2" si="0">SUM(E3:E12)</f>
        <v>0.23990011734099648</v>
      </c>
      <c r="F2" s="3">
        <f t="shared" si="0"/>
        <v>0.31710035202298942</v>
      </c>
      <c r="N2" s="1" t="s">
        <v>18</v>
      </c>
      <c r="O2" s="1" t="s">
        <v>16</v>
      </c>
      <c r="P2" s="1" t="s">
        <v>19</v>
      </c>
      <c r="Q2" s="1" t="s">
        <v>20</v>
      </c>
    </row>
    <row r="3" spans="1:22" ht="17.25" x14ac:dyDescent="0.25">
      <c r="A3" s="4" t="s">
        <v>1</v>
      </c>
      <c r="B3" s="3">
        <v>0.62178</v>
      </c>
      <c r="C3" s="2" t="s">
        <v>7</v>
      </c>
      <c r="D3" s="3">
        <f>$B3*O3</f>
        <v>4.4684710623572724E-2</v>
      </c>
      <c r="E3" s="3">
        <f>$B3*P3</f>
        <v>2.2342355311786362E-2</v>
      </c>
      <c r="F3" s="3">
        <f>$B3*Q3</f>
        <v>6.7027065935359093E-2</v>
      </c>
      <c r="N3" t="s">
        <v>1</v>
      </c>
      <c r="O3" s="3">
        <v>7.1865789545454542E-2</v>
      </c>
      <c r="P3" s="3">
        <f>O3*0.5</f>
        <v>3.5932894772727271E-2</v>
      </c>
      <c r="Q3" s="3">
        <f>O3*1.5</f>
        <v>0.10779868431818182</v>
      </c>
      <c r="R3" t="s">
        <v>22</v>
      </c>
    </row>
    <row r="4" spans="1:22" x14ac:dyDescent="0.25">
      <c r="A4" s="4" t="s">
        <v>2</v>
      </c>
      <c r="B4" s="3">
        <v>13.952</v>
      </c>
      <c r="C4" s="2" t="s">
        <v>10</v>
      </c>
      <c r="D4" s="3">
        <f t="shared" ref="D4:D6" si="1">$B4*O4</f>
        <v>2.7395396058420219E-2</v>
      </c>
      <c r="E4" s="3">
        <f t="shared" ref="E4:E6" si="2">$B4*P4</f>
        <v>1.3697698029210109E-2</v>
      </c>
      <c r="F4" s="3">
        <f t="shared" ref="F4:F6" si="3">$B4*Q4</f>
        <v>4.109309408763033E-2</v>
      </c>
      <c r="N4" t="s">
        <v>2</v>
      </c>
      <c r="O4" s="3">
        <f>1.96354616244411/1000</f>
        <v>1.9635461624441099E-3</v>
      </c>
      <c r="P4" s="3">
        <f t="shared" ref="P4:P5" si="4">O4*0.5</f>
        <v>9.8177308122205493E-4</v>
      </c>
      <c r="Q4" s="3">
        <f t="shared" ref="Q4:Q5" si="5">O4*1.5</f>
        <v>2.9453192436661646E-3</v>
      </c>
      <c r="R4" t="s">
        <v>23</v>
      </c>
      <c r="T4" s="9">
        <f>O4*1000</f>
        <v>1.96354616244411</v>
      </c>
      <c r="U4" s="9">
        <f t="shared" ref="U4:V4" si="6">P4*1000</f>
        <v>0.98177308122205498</v>
      </c>
      <c r="V4" s="9">
        <f t="shared" si="6"/>
        <v>2.9453192436661646</v>
      </c>
    </row>
    <row r="5" spans="1:22" x14ac:dyDescent="0.25">
      <c r="A5" s="4" t="s">
        <v>3</v>
      </c>
      <c r="B5" s="3">
        <v>4.9231999999999998E-2</v>
      </c>
      <c r="C5" s="1" t="s">
        <v>8</v>
      </c>
      <c r="D5" s="3">
        <f t="shared" si="1"/>
        <v>5.1201279999999998E-3</v>
      </c>
      <c r="E5" s="3">
        <f t="shared" si="2"/>
        <v>2.5600639999999999E-3</v>
      </c>
      <c r="F5" s="3">
        <f t="shared" si="3"/>
        <v>7.6801920000000006E-3</v>
      </c>
      <c r="N5" t="s">
        <v>3</v>
      </c>
      <c r="O5" s="3">
        <v>0.10400000000000001</v>
      </c>
      <c r="P5" s="3">
        <f t="shared" si="4"/>
        <v>5.2000000000000005E-2</v>
      </c>
      <c r="Q5" s="3">
        <f t="shared" si="5"/>
        <v>0.15600000000000003</v>
      </c>
      <c r="R5" t="s">
        <v>27</v>
      </c>
    </row>
    <row r="6" spans="1:22" x14ac:dyDescent="0.25">
      <c r="A6" s="4" t="s">
        <v>28</v>
      </c>
      <c r="B6" s="3">
        <v>0</v>
      </c>
      <c r="C6" s="1" t="s">
        <v>6</v>
      </c>
      <c r="D6" s="3">
        <f t="shared" si="1"/>
        <v>0</v>
      </c>
      <c r="E6" s="3">
        <f t="shared" si="2"/>
        <v>0</v>
      </c>
      <c r="F6" s="3">
        <f t="shared" si="3"/>
        <v>0</v>
      </c>
      <c r="N6" t="s">
        <v>28</v>
      </c>
      <c r="O6" s="3">
        <v>9.2200000000000006</v>
      </c>
      <c r="P6" s="3">
        <v>8.34</v>
      </c>
      <c r="Q6" s="3">
        <v>15.9</v>
      </c>
      <c r="R6" t="s">
        <v>21</v>
      </c>
    </row>
    <row r="7" spans="1:22" x14ac:dyDescent="0.25">
      <c r="A7" s="4" t="s">
        <v>29</v>
      </c>
      <c r="B7" s="3">
        <v>0</v>
      </c>
      <c r="C7" s="1" t="s">
        <v>6</v>
      </c>
      <c r="D7" s="3">
        <f t="shared" ref="D7" si="7">$B7*O7</f>
        <v>0</v>
      </c>
      <c r="E7" s="3">
        <f t="shared" ref="E7" si="8">$B7*P7</f>
        <v>0</v>
      </c>
      <c r="F7" s="3">
        <f t="shared" ref="F7" si="9">$B7*Q7</f>
        <v>0</v>
      </c>
      <c r="N7" t="s">
        <v>29</v>
      </c>
      <c r="O7" s="3">
        <v>6.88</v>
      </c>
      <c r="P7" s="3">
        <v>5.23</v>
      </c>
      <c r="Q7" s="3">
        <v>8.48</v>
      </c>
      <c r="R7" t="s">
        <v>21</v>
      </c>
    </row>
    <row r="8" spans="1:22" x14ac:dyDescent="0.25">
      <c r="A8" s="4" t="s">
        <v>4</v>
      </c>
      <c r="B8" s="3">
        <v>0</v>
      </c>
      <c r="C8" s="1" t="s">
        <v>6</v>
      </c>
      <c r="D8" s="3">
        <f t="shared" ref="D8:F10" si="10">$B8*O8</f>
        <v>0</v>
      </c>
      <c r="E8" s="3">
        <f t="shared" si="10"/>
        <v>0</v>
      </c>
      <c r="F8" s="3">
        <f t="shared" si="10"/>
        <v>0</v>
      </c>
      <c r="N8" t="s">
        <v>4</v>
      </c>
      <c r="O8" s="3">
        <f>91/1000*596.2/607.5</f>
        <v>8.9307325102880669E-2</v>
      </c>
      <c r="P8" s="3">
        <f>O8*0.5</f>
        <v>4.4653662551440335E-2</v>
      </c>
      <c r="Q8" s="3">
        <f>O8*1.5</f>
        <v>0.13396098765432102</v>
      </c>
      <c r="R8" t="s">
        <v>21</v>
      </c>
    </row>
    <row r="9" spans="1:22" ht="18" x14ac:dyDescent="0.35">
      <c r="A9" s="4" t="s">
        <v>25</v>
      </c>
      <c r="B9" s="3">
        <v>1.4326000000000001</v>
      </c>
      <c r="C9" s="1" t="s">
        <v>6</v>
      </c>
      <c r="D9" s="3">
        <f t="shared" si="10"/>
        <v>0</v>
      </c>
      <c r="E9" s="3">
        <f t="shared" si="10"/>
        <v>0</v>
      </c>
      <c r="F9" s="3">
        <f t="shared" si="10"/>
        <v>0</v>
      </c>
      <c r="N9" t="s">
        <v>25</v>
      </c>
      <c r="O9" s="3">
        <v>0</v>
      </c>
      <c r="P9" s="3">
        <v>0</v>
      </c>
      <c r="Q9" s="3">
        <v>0</v>
      </c>
      <c r="R9" t="s">
        <v>21</v>
      </c>
    </row>
    <row r="10" spans="1:22" ht="18" x14ac:dyDescent="0.35">
      <c r="A10" s="4" t="s">
        <v>26</v>
      </c>
      <c r="B10" s="3">
        <v>0</v>
      </c>
      <c r="C10" s="1" t="s">
        <v>6</v>
      </c>
      <c r="D10" s="3">
        <f t="shared" si="10"/>
        <v>0</v>
      </c>
      <c r="E10" s="3">
        <f t="shared" si="10"/>
        <v>0</v>
      </c>
      <c r="F10" s="3">
        <f t="shared" si="10"/>
        <v>0</v>
      </c>
      <c r="N10" t="s">
        <v>26</v>
      </c>
      <c r="O10" s="3">
        <v>0</v>
      </c>
      <c r="P10" s="3">
        <v>0</v>
      </c>
      <c r="Q10" s="3">
        <v>0</v>
      </c>
      <c r="R10" t="s">
        <v>21</v>
      </c>
    </row>
    <row r="11" spans="1:22" x14ac:dyDescent="0.25">
      <c r="A11" s="4" t="s">
        <v>11</v>
      </c>
      <c r="B11" s="3" t="s">
        <v>32</v>
      </c>
      <c r="C11" s="3" t="s">
        <v>32</v>
      </c>
      <c r="D11" s="3">
        <f>O13</f>
        <v>0.1331</v>
      </c>
      <c r="E11" s="3">
        <f>D11</f>
        <v>0.1331</v>
      </c>
      <c r="F11" s="3">
        <f>E11</f>
        <v>0.1331</v>
      </c>
      <c r="O11" s="3"/>
      <c r="P11" s="3"/>
      <c r="Q11" s="3"/>
    </row>
    <row r="12" spans="1:22" x14ac:dyDescent="0.25">
      <c r="A12" s="4" t="s">
        <v>13</v>
      </c>
      <c r="B12" s="1" t="s">
        <v>32</v>
      </c>
      <c r="C12" s="3" t="s">
        <v>32</v>
      </c>
      <c r="D12" s="3">
        <f>O14</f>
        <v>6.8199999999999997E-2</v>
      </c>
      <c r="E12" s="3">
        <f>D12</f>
        <v>6.8199999999999997E-2</v>
      </c>
      <c r="F12" s="3">
        <f>E12</f>
        <v>6.8199999999999997E-2</v>
      </c>
      <c r="N12" s="10" t="s">
        <v>30</v>
      </c>
      <c r="O12" s="10"/>
      <c r="P12" s="10"/>
      <c r="Q12" s="10"/>
      <c r="R12" s="10"/>
    </row>
    <row r="13" spans="1:22" ht="17.25" x14ac:dyDescent="0.25">
      <c r="N13" s="1" t="s">
        <v>11</v>
      </c>
      <c r="O13" s="3">
        <v>0.1331</v>
      </c>
      <c r="P13" s="3">
        <v>0</v>
      </c>
      <c r="Q13" s="3">
        <v>0</v>
      </c>
      <c r="R13" s="1" t="s">
        <v>12</v>
      </c>
    </row>
    <row r="14" spans="1:22" ht="17.25" x14ac:dyDescent="0.25">
      <c r="A14" s="10" t="s">
        <v>5</v>
      </c>
      <c r="B14" s="10"/>
      <c r="C14" s="10"/>
      <c r="D14" s="1" t="s">
        <v>24</v>
      </c>
      <c r="E14" s="1" t="s">
        <v>19</v>
      </c>
      <c r="F14" s="1" t="s">
        <v>20</v>
      </c>
      <c r="N14" s="1" t="s">
        <v>13</v>
      </c>
      <c r="O14" s="3">
        <v>6.8199999999999997E-2</v>
      </c>
      <c r="P14" s="3">
        <v>0</v>
      </c>
      <c r="Q14" s="3">
        <v>0</v>
      </c>
      <c r="R14" s="1" t="s">
        <v>12</v>
      </c>
    </row>
    <row r="15" spans="1:22" x14ac:dyDescent="0.25">
      <c r="A15" s="4" t="s">
        <v>0</v>
      </c>
      <c r="B15" s="3">
        <v>1</v>
      </c>
      <c r="C15" s="1" t="s">
        <v>6</v>
      </c>
      <c r="D15" s="3">
        <f>SUM(D16:D25)</f>
        <v>0.29807757324199291</v>
      </c>
      <c r="E15" s="3">
        <f t="shared" ref="E15" si="11">SUM(E16:E25)</f>
        <v>0.24968878662099647</v>
      </c>
      <c r="F15" s="3">
        <f t="shared" ref="F15" si="12">SUM(F16:F25)</f>
        <v>0.3464663598629894</v>
      </c>
      <c r="N15" s="1"/>
      <c r="O15" s="1"/>
      <c r="P15" s="1"/>
      <c r="Q15" s="1"/>
    </row>
    <row r="16" spans="1:22" x14ac:dyDescent="0.25">
      <c r="A16" s="4" t="s">
        <v>1</v>
      </c>
      <c r="B16" s="3">
        <v>0.62178</v>
      </c>
      <c r="C16" s="2" t="s">
        <v>7</v>
      </c>
      <c r="D16" s="3">
        <f t="shared" ref="D16:F23" si="13">$B16*O3</f>
        <v>4.4684710623572724E-2</v>
      </c>
      <c r="E16" s="3">
        <f t="shared" si="13"/>
        <v>2.2342355311786362E-2</v>
      </c>
      <c r="F16" s="3">
        <f t="shared" si="13"/>
        <v>6.7027065935359093E-2</v>
      </c>
      <c r="N16" s="10" t="s">
        <v>31</v>
      </c>
      <c r="O16" s="10"/>
      <c r="P16" s="10"/>
      <c r="Q16" s="10"/>
      <c r="R16" s="10"/>
    </row>
    <row r="17" spans="1:20" ht="17.25" x14ac:dyDescent="0.25">
      <c r="A17" s="4" t="s">
        <v>2</v>
      </c>
      <c r="B17" s="3">
        <v>13.952</v>
      </c>
      <c r="C17" s="2" t="s">
        <v>7</v>
      </c>
      <c r="D17" s="3">
        <f t="shared" si="13"/>
        <v>2.7395396058420219E-2</v>
      </c>
      <c r="E17" s="3">
        <f t="shared" si="13"/>
        <v>1.3697698029210109E-2</v>
      </c>
      <c r="F17" s="3">
        <f t="shared" si="13"/>
        <v>4.109309408763033E-2</v>
      </c>
      <c r="N17" s="1" t="s">
        <v>11</v>
      </c>
      <c r="O17" s="3">
        <v>7.9899999999999999E-2</v>
      </c>
      <c r="P17" s="3">
        <v>0</v>
      </c>
      <c r="Q17" s="3">
        <v>0</v>
      </c>
      <c r="R17" s="1" t="s">
        <v>12</v>
      </c>
    </row>
    <row r="18" spans="1:20" ht="17.25" x14ac:dyDescent="0.25">
      <c r="A18" s="4" t="s">
        <v>3</v>
      </c>
      <c r="B18" s="3">
        <v>0.23747563999999999</v>
      </c>
      <c r="C18" s="1" t="s">
        <v>8</v>
      </c>
      <c r="D18" s="3">
        <f t="shared" si="13"/>
        <v>2.4697466560000002E-2</v>
      </c>
      <c r="E18" s="3">
        <f t="shared" si="13"/>
        <v>1.2348733280000001E-2</v>
      </c>
      <c r="F18" s="3">
        <f t="shared" si="13"/>
        <v>3.7046199840000002E-2</v>
      </c>
      <c r="N18" s="1" t="s">
        <v>13</v>
      </c>
      <c r="O18" s="3">
        <v>4.9099999999999998E-2</v>
      </c>
      <c r="P18" s="3">
        <v>0</v>
      </c>
      <c r="Q18" s="3">
        <v>0</v>
      </c>
      <c r="R18" s="1" t="s">
        <v>12</v>
      </c>
    </row>
    <row r="19" spans="1:20" x14ac:dyDescent="0.25">
      <c r="A19" s="4" t="s">
        <v>28</v>
      </c>
      <c r="B19" s="3">
        <v>0</v>
      </c>
      <c r="C19" s="1" t="s">
        <v>6</v>
      </c>
      <c r="D19" s="3">
        <f t="shared" si="13"/>
        <v>0</v>
      </c>
      <c r="E19" s="3">
        <f t="shared" si="13"/>
        <v>0</v>
      </c>
      <c r="F19" s="3">
        <f t="shared" si="13"/>
        <v>0</v>
      </c>
    </row>
    <row r="20" spans="1:20" x14ac:dyDescent="0.25">
      <c r="A20" s="4" t="s">
        <v>29</v>
      </c>
      <c r="B20" s="3">
        <v>0</v>
      </c>
      <c r="C20" s="1" t="s">
        <v>6</v>
      </c>
      <c r="D20" s="3">
        <f t="shared" si="13"/>
        <v>0</v>
      </c>
      <c r="E20" s="3">
        <f t="shared" si="13"/>
        <v>0</v>
      </c>
      <c r="F20" s="3">
        <f t="shared" si="13"/>
        <v>0</v>
      </c>
    </row>
    <row r="21" spans="1:20" x14ac:dyDescent="0.25">
      <c r="A21" s="4" t="s">
        <v>4</v>
      </c>
      <c r="B21" s="3">
        <v>0</v>
      </c>
      <c r="C21" s="1" t="s">
        <v>6</v>
      </c>
      <c r="D21" s="3">
        <f t="shared" si="13"/>
        <v>0</v>
      </c>
      <c r="E21" s="3">
        <f t="shared" si="13"/>
        <v>0</v>
      </c>
      <c r="F21" s="3">
        <f t="shared" si="13"/>
        <v>0</v>
      </c>
    </row>
    <row r="22" spans="1:20" ht="18" x14ac:dyDescent="0.35">
      <c r="A22" s="4" t="s">
        <v>25</v>
      </c>
      <c r="B22" s="3">
        <v>0.14326</v>
      </c>
      <c r="C22" s="1" t="s">
        <v>6</v>
      </c>
      <c r="D22" s="3">
        <f t="shared" si="13"/>
        <v>0</v>
      </c>
      <c r="E22" s="3">
        <f t="shared" si="13"/>
        <v>0</v>
      </c>
      <c r="F22" s="3">
        <f t="shared" si="13"/>
        <v>0</v>
      </c>
      <c r="R22" s="3"/>
      <c r="S22" s="3"/>
      <c r="T22" s="3"/>
    </row>
    <row r="23" spans="1:20" ht="18" x14ac:dyDescent="0.35">
      <c r="A23" s="4" t="s">
        <v>26</v>
      </c>
      <c r="B23" s="3">
        <v>0</v>
      </c>
      <c r="C23" s="1" t="s">
        <v>6</v>
      </c>
      <c r="D23" s="3">
        <f t="shared" si="13"/>
        <v>0</v>
      </c>
      <c r="E23" s="3">
        <f t="shared" si="13"/>
        <v>0</v>
      </c>
      <c r="F23" s="3">
        <f t="shared" si="13"/>
        <v>0</v>
      </c>
      <c r="R23" s="3"/>
      <c r="S23" s="3"/>
      <c r="T23" s="3"/>
    </row>
    <row r="24" spans="1:20" x14ac:dyDescent="0.25">
      <c r="A24" s="4" t="s">
        <v>11</v>
      </c>
      <c r="B24" s="3" t="s">
        <v>32</v>
      </c>
      <c r="C24" s="3" t="s">
        <v>32</v>
      </c>
      <c r="D24" s="3">
        <f>O13</f>
        <v>0.1331</v>
      </c>
      <c r="E24" s="3">
        <f>D24</f>
        <v>0.1331</v>
      </c>
      <c r="F24" s="3">
        <f t="shared" ref="F24:F25" si="14">E24</f>
        <v>0.1331</v>
      </c>
      <c r="R24" s="3"/>
      <c r="S24" s="3"/>
      <c r="T24" s="3"/>
    </row>
    <row r="25" spans="1:20" x14ac:dyDescent="0.25">
      <c r="A25" s="4" t="s">
        <v>13</v>
      </c>
      <c r="B25" s="1" t="s">
        <v>32</v>
      </c>
      <c r="C25" s="3" t="s">
        <v>32</v>
      </c>
      <c r="D25" s="3">
        <f>O14</f>
        <v>6.8199999999999997E-2</v>
      </c>
      <c r="E25" s="3">
        <f t="shared" ref="E25" si="15">D25</f>
        <v>6.8199999999999997E-2</v>
      </c>
      <c r="F25" s="3">
        <f t="shared" si="14"/>
        <v>6.8199999999999997E-2</v>
      </c>
      <c r="R25" s="3"/>
      <c r="S25" s="3"/>
      <c r="T25" s="3"/>
    </row>
    <row r="26" spans="1:20" x14ac:dyDescent="0.25">
      <c r="B26" s="7"/>
      <c r="C26" s="3"/>
      <c r="D26" s="3"/>
      <c r="E26" s="3"/>
      <c r="F26" s="3"/>
      <c r="R26" s="3"/>
      <c r="S26" s="3"/>
      <c r="T26" s="3"/>
    </row>
    <row r="27" spans="1:20" x14ac:dyDescent="0.25">
      <c r="A27" s="10" t="s">
        <v>14</v>
      </c>
      <c r="B27" s="10"/>
      <c r="C27" s="10"/>
      <c r="D27" s="1" t="s">
        <v>24</v>
      </c>
      <c r="E27" s="1" t="s">
        <v>19</v>
      </c>
      <c r="F27" s="1" t="s">
        <v>20</v>
      </c>
      <c r="N27" s="1"/>
      <c r="O27" s="1"/>
      <c r="P27" s="1"/>
      <c r="Q27" s="1"/>
      <c r="S27" s="9"/>
      <c r="T27" s="9"/>
    </row>
    <row r="28" spans="1:20" x14ac:dyDescent="0.25">
      <c r="A28" s="4" t="s">
        <v>0</v>
      </c>
      <c r="B28" s="3">
        <v>1</v>
      </c>
      <c r="C28" s="1" t="s">
        <v>6</v>
      </c>
      <c r="D28" s="3">
        <f>SUM(D29:D38)</f>
        <v>1.8823294699588478</v>
      </c>
      <c r="E28" s="3">
        <f t="shared" ref="E28" si="16">SUM(E29:E38)</f>
        <v>1.6621447349794238</v>
      </c>
      <c r="F28" s="3">
        <f t="shared" ref="F28" si="17">SUM(F29:F38)</f>
        <v>3.1233142049382718</v>
      </c>
      <c r="O28" s="3"/>
      <c r="P28" s="3"/>
      <c r="Q28" s="3"/>
      <c r="R28" s="3"/>
      <c r="S28" s="3"/>
      <c r="T28" s="3"/>
    </row>
    <row r="29" spans="1:20" x14ac:dyDescent="0.25">
      <c r="A29" s="4" t="s">
        <v>1</v>
      </c>
      <c r="B29" s="3">
        <v>0</v>
      </c>
      <c r="C29" s="2" t="s">
        <v>7</v>
      </c>
      <c r="D29" s="3">
        <f t="shared" ref="D29:F36" si="18">$B29*O3</f>
        <v>0</v>
      </c>
      <c r="E29" s="3">
        <f t="shared" si="18"/>
        <v>0</v>
      </c>
      <c r="F29" s="3">
        <f t="shared" si="18"/>
        <v>0</v>
      </c>
      <c r="O29" s="3"/>
      <c r="P29" s="3"/>
      <c r="Q29" s="3"/>
      <c r="R29" s="3"/>
      <c r="S29" s="3"/>
      <c r="T29" s="3"/>
    </row>
    <row r="30" spans="1:20" x14ac:dyDescent="0.25">
      <c r="A30" s="4" t="s">
        <v>2</v>
      </c>
      <c r="B30" s="3">
        <v>0</v>
      </c>
      <c r="C30" s="2" t="s">
        <v>10</v>
      </c>
      <c r="D30" s="3">
        <f t="shared" si="18"/>
        <v>0</v>
      </c>
      <c r="E30" s="3">
        <f t="shared" si="18"/>
        <v>0</v>
      </c>
      <c r="F30" s="3">
        <f t="shared" si="18"/>
        <v>0</v>
      </c>
      <c r="R30" s="3"/>
      <c r="S30" s="3"/>
      <c r="T30" s="3"/>
    </row>
    <row r="31" spans="1:20" x14ac:dyDescent="0.25">
      <c r="A31" s="4" t="s">
        <v>3</v>
      </c>
      <c r="B31" s="3">
        <v>0.55600000000000005</v>
      </c>
      <c r="C31" s="1" t="s">
        <v>8</v>
      </c>
      <c r="D31" s="3">
        <f t="shared" si="18"/>
        <v>5.7824000000000007E-2</v>
      </c>
      <c r="E31" s="3">
        <f t="shared" si="18"/>
        <v>2.8912000000000004E-2</v>
      </c>
      <c r="F31" s="3">
        <f t="shared" si="18"/>
        <v>8.6736000000000021E-2</v>
      </c>
      <c r="R31" s="3"/>
      <c r="S31" s="3"/>
      <c r="T31" s="3"/>
    </row>
    <row r="32" spans="1:20" x14ac:dyDescent="0.25">
      <c r="A32" s="4" t="s">
        <v>28</v>
      </c>
      <c r="B32" s="3">
        <v>0.17599999999999999</v>
      </c>
      <c r="C32" s="1" t="s">
        <v>6</v>
      </c>
      <c r="D32" s="3">
        <f t="shared" si="18"/>
        <v>1.6227199999999999</v>
      </c>
      <c r="E32" s="3">
        <f t="shared" si="18"/>
        <v>1.4678399999999998</v>
      </c>
      <c r="F32" s="3">
        <f t="shared" si="18"/>
        <v>2.7984</v>
      </c>
      <c r="S32" s="9"/>
      <c r="T32" s="9"/>
    </row>
    <row r="33" spans="1:20" x14ac:dyDescent="0.25">
      <c r="A33" s="4" t="s">
        <v>29</v>
      </c>
      <c r="B33" s="3">
        <v>0</v>
      </c>
      <c r="C33" s="1" t="s">
        <v>6</v>
      </c>
      <c r="D33" s="3">
        <f t="shared" si="18"/>
        <v>0</v>
      </c>
      <c r="E33" s="3">
        <f t="shared" si="18"/>
        <v>0</v>
      </c>
      <c r="F33" s="3">
        <f t="shared" si="18"/>
        <v>0</v>
      </c>
      <c r="R33" s="3"/>
      <c r="S33" s="3"/>
      <c r="T33" s="3"/>
    </row>
    <row r="34" spans="1:20" x14ac:dyDescent="0.25">
      <c r="A34" s="4" t="s">
        <v>4</v>
      </c>
      <c r="B34" s="3">
        <v>0.81499999999999995</v>
      </c>
      <c r="C34" s="1" t="s">
        <v>6</v>
      </c>
      <c r="D34" s="3">
        <f t="shared" si="18"/>
        <v>7.2785469958847743E-2</v>
      </c>
      <c r="E34" s="3">
        <f t="shared" si="18"/>
        <v>3.6392734979423871E-2</v>
      </c>
      <c r="F34" s="3">
        <f t="shared" si="18"/>
        <v>0.10917820493827163</v>
      </c>
      <c r="R34" s="3"/>
      <c r="S34" s="3"/>
      <c r="T34" s="3"/>
    </row>
    <row r="35" spans="1:20" ht="18" x14ac:dyDescent="0.35">
      <c r="A35" s="4" t="s">
        <v>25</v>
      </c>
      <c r="B35" s="3">
        <v>0</v>
      </c>
      <c r="C35" s="1" t="s">
        <v>6</v>
      </c>
      <c r="D35" s="3">
        <f t="shared" si="18"/>
        <v>0</v>
      </c>
      <c r="E35" s="3">
        <f t="shared" si="18"/>
        <v>0</v>
      </c>
      <c r="F35" s="3">
        <f t="shared" si="18"/>
        <v>0</v>
      </c>
      <c r="R35" s="3"/>
      <c r="S35" s="3"/>
      <c r="T35" s="3"/>
    </row>
    <row r="36" spans="1:20" ht="18" x14ac:dyDescent="0.35">
      <c r="A36" s="4" t="s">
        <v>26</v>
      </c>
      <c r="B36" s="3">
        <v>0</v>
      </c>
      <c r="C36" s="1" t="s">
        <v>6</v>
      </c>
      <c r="D36" s="3">
        <f t="shared" si="18"/>
        <v>0</v>
      </c>
      <c r="E36" s="3">
        <f t="shared" si="18"/>
        <v>0</v>
      </c>
      <c r="F36" s="3">
        <f t="shared" si="18"/>
        <v>0</v>
      </c>
      <c r="R36" s="3"/>
      <c r="S36" s="3"/>
      <c r="T36" s="3"/>
    </row>
    <row r="37" spans="1:20" x14ac:dyDescent="0.25">
      <c r="A37" s="4" t="s">
        <v>11</v>
      </c>
      <c r="B37" s="3" t="s">
        <v>32</v>
      </c>
      <c r="C37" s="3" t="s">
        <v>32</v>
      </c>
      <c r="D37" s="3">
        <f>O17</f>
        <v>7.9899999999999999E-2</v>
      </c>
      <c r="E37" s="3">
        <f>D37</f>
        <v>7.9899999999999999E-2</v>
      </c>
      <c r="F37" s="3">
        <f t="shared" ref="F37:F38" si="19">E37</f>
        <v>7.9899999999999999E-2</v>
      </c>
      <c r="N37" s="5"/>
      <c r="O37" s="5"/>
      <c r="P37" s="5"/>
      <c r="Q37" s="5"/>
      <c r="R37" s="5"/>
    </row>
    <row r="38" spans="1:20" x14ac:dyDescent="0.25">
      <c r="A38" s="4" t="s">
        <v>13</v>
      </c>
      <c r="B38" s="1" t="s">
        <v>32</v>
      </c>
      <c r="C38" s="3" t="s">
        <v>32</v>
      </c>
      <c r="D38" s="3">
        <f>O18</f>
        <v>4.9099999999999998E-2</v>
      </c>
      <c r="E38" s="3">
        <f t="shared" ref="E38" si="20">D38</f>
        <v>4.9099999999999998E-2</v>
      </c>
      <c r="F38" s="3">
        <f t="shared" si="19"/>
        <v>4.9099999999999998E-2</v>
      </c>
      <c r="N38" s="1"/>
      <c r="O38" s="1"/>
      <c r="P38" s="1"/>
      <c r="Q38" s="1"/>
    </row>
    <row r="39" spans="1:20" x14ac:dyDescent="0.25">
      <c r="O39" s="3"/>
      <c r="P39" s="3"/>
      <c r="Q39" s="3"/>
    </row>
    <row r="40" spans="1:20" x14ac:dyDescent="0.25">
      <c r="A40" s="10" t="s">
        <v>15</v>
      </c>
      <c r="B40" s="10"/>
      <c r="C40" s="10"/>
      <c r="D40" s="1" t="s">
        <v>24</v>
      </c>
      <c r="E40" s="1" t="s">
        <v>19</v>
      </c>
      <c r="F40" s="1" t="s">
        <v>20</v>
      </c>
      <c r="O40" s="3"/>
      <c r="P40" s="3"/>
      <c r="Q40" s="3"/>
    </row>
    <row r="41" spans="1:20" x14ac:dyDescent="0.25">
      <c r="A41" s="4" t="s">
        <v>0</v>
      </c>
      <c r="B41" s="3">
        <v>1</v>
      </c>
      <c r="C41" s="1" t="s">
        <v>6</v>
      </c>
      <c r="D41" s="3">
        <f>SUM(D42:D51)</f>
        <v>1.4704894699588478</v>
      </c>
      <c r="E41" s="3">
        <f t="shared" ref="E41" si="21">SUM(E42:E51)</f>
        <v>1.114784734979424</v>
      </c>
      <c r="F41" s="3">
        <f t="shared" ref="F41" si="22">SUM(F42:F51)</f>
        <v>1.8173942049382716</v>
      </c>
    </row>
    <row r="42" spans="1:20" x14ac:dyDescent="0.25">
      <c r="A42" s="4" t="s">
        <v>1</v>
      </c>
      <c r="B42" s="3">
        <v>0</v>
      </c>
      <c r="C42" s="2" t="s">
        <v>7</v>
      </c>
      <c r="D42" s="3">
        <f t="shared" ref="D42:F49" si="23">$B42*O3</f>
        <v>0</v>
      </c>
      <c r="E42" s="3">
        <f t="shared" si="23"/>
        <v>0</v>
      </c>
      <c r="F42" s="3">
        <f t="shared" si="23"/>
        <v>0</v>
      </c>
    </row>
    <row r="43" spans="1:20" x14ac:dyDescent="0.25">
      <c r="A43" s="4" t="s">
        <v>2</v>
      </c>
      <c r="B43" s="3">
        <v>0</v>
      </c>
      <c r="C43" s="2" t="s">
        <v>10</v>
      </c>
      <c r="D43" s="3">
        <f t="shared" si="23"/>
        <v>0</v>
      </c>
      <c r="E43" s="3">
        <f t="shared" si="23"/>
        <v>0</v>
      </c>
      <c r="F43" s="3">
        <f t="shared" si="23"/>
        <v>0</v>
      </c>
    </row>
    <row r="44" spans="1:20" x14ac:dyDescent="0.25">
      <c r="A44" s="4" t="s">
        <v>3</v>
      </c>
      <c r="B44" s="3">
        <v>0.55600000000000005</v>
      </c>
      <c r="C44" s="1" t="s">
        <v>8</v>
      </c>
      <c r="D44" s="3">
        <f t="shared" si="23"/>
        <v>5.7824000000000007E-2</v>
      </c>
      <c r="E44" s="3">
        <f t="shared" si="23"/>
        <v>2.8912000000000004E-2</v>
      </c>
      <c r="F44" s="3">
        <f t="shared" si="23"/>
        <v>8.6736000000000021E-2</v>
      </c>
    </row>
    <row r="45" spans="1:20" x14ac:dyDescent="0.25">
      <c r="A45" s="4" t="s">
        <v>28</v>
      </c>
      <c r="B45" s="3">
        <v>0</v>
      </c>
      <c r="C45" s="1" t="s">
        <v>6</v>
      </c>
      <c r="D45" s="3">
        <f t="shared" si="23"/>
        <v>0</v>
      </c>
      <c r="E45" s="3">
        <f t="shared" si="23"/>
        <v>0</v>
      </c>
      <c r="F45" s="3">
        <f t="shared" si="23"/>
        <v>0</v>
      </c>
    </row>
    <row r="46" spans="1:20" x14ac:dyDescent="0.25">
      <c r="A46" s="4" t="s">
        <v>29</v>
      </c>
      <c r="B46" s="3">
        <v>0.17599999999999999</v>
      </c>
      <c r="C46" s="1" t="s">
        <v>6</v>
      </c>
      <c r="D46" s="3">
        <f t="shared" si="23"/>
        <v>1.21088</v>
      </c>
      <c r="E46" s="3">
        <f t="shared" si="23"/>
        <v>0.92048000000000008</v>
      </c>
      <c r="F46" s="3">
        <f t="shared" si="23"/>
        <v>1.49248</v>
      </c>
    </row>
    <row r="47" spans="1:20" x14ac:dyDescent="0.25">
      <c r="A47" s="4" t="s">
        <v>4</v>
      </c>
      <c r="B47" s="3">
        <v>0.81499999999999995</v>
      </c>
      <c r="C47" s="1" t="s">
        <v>6</v>
      </c>
      <c r="D47" s="3">
        <f t="shared" si="23"/>
        <v>7.2785469958847743E-2</v>
      </c>
      <c r="E47" s="3">
        <f t="shared" si="23"/>
        <v>3.6392734979423871E-2</v>
      </c>
      <c r="F47" s="3">
        <f t="shared" si="23"/>
        <v>0.10917820493827163</v>
      </c>
    </row>
    <row r="48" spans="1:20" ht="18" x14ac:dyDescent="0.35">
      <c r="A48" s="4" t="s">
        <v>25</v>
      </c>
      <c r="B48" s="3">
        <v>0</v>
      </c>
      <c r="C48" s="1" t="s">
        <v>6</v>
      </c>
      <c r="D48" s="3">
        <f t="shared" si="23"/>
        <v>0</v>
      </c>
      <c r="E48" s="3">
        <f t="shared" si="23"/>
        <v>0</v>
      </c>
      <c r="F48" s="3">
        <f t="shared" si="23"/>
        <v>0</v>
      </c>
    </row>
    <row r="49" spans="1:6" ht="18" x14ac:dyDescent="0.35">
      <c r="A49" s="4" t="s">
        <v>26</v>
      </c>
      <c r="B49" s="3">
        <v>0</v>
      </c>
      <c r="C49" s="1" t="s">
        <v>6</v>
      </c>
      <c r="D49" s="3">
        <f t="shared" si="23"/>
        <v>0</v>
      </c>
      <c r="E49" s="3">
        <f t="shared" si="23"/>
        <v>0</v>
      </c>
      <c r="F49" s="3">
        <f t="shared" si="23"/>
        <v>0</v>
      </c>
    </row>
    <row r="50" spans="1:6" x14ac:dyDescent="0.25">
      <c r="A50" s="4" t="s">
        <v>11</v>
      </c>
      <c r="B50" s="3" t="s">
        <v>32</v>
      </c>
      <c r="C50" s="3" t="s">
        <v>32</v>
      </c>
      <c r="D50" s="3">
        <f>O17</f>
        <v>7.9899999999999999E-2</v>
      </c>
      <c r="E50" s="3">
        <f>D50</f>
        <v>7.9899999999999999E-2</v>
      </c>
      <c r="F50" s="3">
        <f t="shared" ref="F50:F51" si="24">E50</f>
        <v>7.9899999999999999E-2</v>
      </c>
    </row>
    <row r="51" spans="1:6" x14ac:dyDescent="0.25">
      <c r="A51" s="4" t="s">
        <v>13</v>
      </c>
      <c r="B51" s="1" t="s">
        <v>32</v>
      </c>
      <c r="C51" s="3" t="s">
        <v>32</v>
      </c>
      <c r="D51" s="3">
        <f>O18</f>
        <v>4.9099999999999998E-2</v>
      </c>
      <c r="E51" s="3">
        <f t="shared" ref="E51" si="25">D51</f>
        <v>4.9099999999999998E-2</v>
      </c>
      <c r="F51" s="3">
        <f t="shared" si="24"/>
        <v>4.9099999999999998E-2</v>
      </c>
    </row>
  </sheetData>
  <mergeCells count="7">
    <mergeCell ref="N16:R16"/>
    <mergeCell ref="A1:C1"/>
    <mergeCell ref="A14:C14"/>
    <mergeCell ref="A27:C27"/>
    <mergeCell ref="A40:C40"/>
    <mergeCell ref="N1:R1"/>
    <mergeCell ref="N12:R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5A7F-9CAF-46F0-9748-9A9C974BB09A}">
  <dimension ref="A1:V51"/>
  <sheetViews>
    <sheetView workbookViewId="0">
      <selection activeCell="P8" sqref="P8:Q8"/>
    </sheetView>
  </sheetViews>
  <sheetFormatPr defaultRowHeight="15" x14ac:dyDescent="0.25"/>
  <cols>
    <col min="1" max="1" width="22.5703125" style="4" bestFit="1" customWidth="1"/>
    <col min="2" max="2" width="21.140625" bestFit="1" customWidth="1"/>
    <col min="3" max="3" width="12.85546875" bestFit="1" customWidth="1"/>
    <col min="4" max="6" width="9.5703125" bestFit="1" customWidth="1"/>
    <col min="14" max="14" width="22.85546875" bestFit="1" customWidth="1"/>
    <col min="15" max="15" width="21.140625" bestFit="1" customWidth="1"/>
    <col min="18" max="18" width="21.140625" bestFit="1" customWidth="1"/>
  </cols>
  <sheetData>
    <row r="1" spans="1:22" x14ac:dyDescent="0.25">
      <c r="A1" s="10" t="s">
        <v>9</v>
      </c>
      <c r="B1" s="10"/>
      <c r="C1" s="10"/>
      <c r="D1" s="1" t="s">
        <v>24</v>
      </c>
      <c r="E1" s="1" t="s">
        <v>19</v>
      </c>
      <c r="F1" s="1" t="s">
        <v>20</v>
      </c>
      <c r="N1" s="10" t="s">
        <v>17</v>
      </c>
      <c r="O1" s="10"/>
      <c r="P1" s="10"/>
      <c r="Q1" s="10"/>
      <c r="R1" s="10"/>
    </row>
    <row r="2" spans="1:22" x14ac:dyDescent="0.25">
      <c r="A2" s="4" t="s">
        <v>0</v>
      </c>
      <c r="B2" s="3">
        <v>1</v>
      </c>
      <c r="C2" s="1" t="s">
        <v>6</v>
      </c>
      <c r="D2" s="3">
        <f>SUM(D3:D12)</f>
        <v>0.33926632909851934</v>
      </c>
      <c r="E2" s="3">
        <f t="shared" ref="E2:F2" si="0">SUM(E3:E12)</f>
        <v>0.27857929744686316</v>
      </c>
      <c r="F2" s="3">
        <f t="shared" si="0"/>
        <v>0.39995336075017546</v>
      </c>
      <c r="N2" s="1" t="s">
        <v>18</v>
      </c>
      <c r="O2" s="1" t="s">
        <v>16</v>
      </c>
      <c r="P2" s="1" t="s">
        <v>19</v>
      </c>
      <c r="Q2" s="1" t="s">
        <v>20</v>
      </c>
    </row>
    <row r="3" spans="1:22" ht="17.25" x14ac:dyDescent="0.25">
      <c r="A3" s="4" t="s">
        <v>1</v>
      </c>
      <c r="B3" s="3">
        <v>0.62178</v>
      </c>
      <c r="C3" s="2" t="s">
        <v>7</v>
      </c>
      <c r="D3" s="3">
        <f>$B3*O3</f>
        <v>7.2099967866054548E-2</v>
      </c>
      <c r="E3" s="3">
        <f>$B3*P3</f>
        <v>3.6049983933027274E-2</v>
      </c>
      <c r="F3" s="3">
        <f>$B3*Q3</f>
        <v>0.10814995179908181</v>
      </c>
      <c r="N3" t="s">
        <v>1</v>
      </c>
      <c r="O3" s="3">
        <v>0.11595736090909091</v>
      </c>
      <c r="P3" s="3">
        <f>O3*0.5</f>
        <v>5.7978680454545455E-2</v>
      </c>
      <c r="Q3" s="3">
        <f>O3*1.5</f>
        <v>0.17393604136363636</v>
      </c>
      <c r="R3" t="s">
        <v>22</v>
      </c>
    </row>
    <row r="4" spans="1:22" x14ac:dyDescent="0.25">
      <c r="A4" s="4" t="s">
        <v>2</v>
      </c>
      <c r="B4" s="3">
        <v>13.952</v>
      </c>
      <c r="C4" s="2" t="s">
        <v>10</v>
      </c>
      <c r="D4" s="3">
        <f t="shared" ref="D4:F7" si="1">$B4*O4</f>
        <v>4.4203199437257819E-2</v>
      </c>
      <c r="E4" s="3">
        <f t="shared" si="1"/>
        <v>2.2101599718628909E-2</v>
      </c>
      <c r="F4" s="3">
        <f t="shared" si="1"/>
        <v>6.6304799155886732E-2</v>
      </c>
      <c r="N4" t="s">
        <v>2</v>
      </c>
      <c r="O4" s="3">
        <f>3.16823390461997/1000</f>
        <v>3.16823390461997E-3</v>
      </c>
      <c r="P4" s="3">
        <f t="shared" ref="P4:P5" si="2">O4*0.5</f>
        <v>1.584116952309985E-3</v>
      </c>
      <c r="Q4" s="3">
        <f t="shared" ref="Q4:Q5" si="3">O4*1.5</f>
        <v>4.7523508569299548E-3</v>
      </c>
      <c r="R4" t="s">
        <v>23</v>
      </c>
      <c r="T4" s="9">
        <f>O4*1000</f>
        <v>3.1682339046199699</v>
      </c>
      <c r="U4" s="9">
        <f t="shared" ref="U4:V4" si="4">P4*1000</f>
        <v>1.5841169523099849</v>
      </c>
      <c r="V4" s="9">
        <f t="shared" si="4"/>
        <v>4.7523508569299544</v>
      </c>
    </row>
    <row r="5" spans="1:22" x14ac:dyDescent="0.25">
      <c r="A5" s="4" t="s">
        <v>3</v>
      </c>
      <c r="B5" s="3">
        <v>4.9231999999999998E-2</v>
      </c>
      <c r="C5" s="1" t="s">
        <v>8</v>
      </c>
      <c r="D5" s="3">
        <f t="shared" si="1"/>
        <v>5.0708960000000001E-3</v>
      </c>
      <c r="E5" s="3">
        <f t="shared" si="1"/>
        <v>2.535448E-3</v>
      </c>
      <c r="F5" s="3">
        <f t="shared" si="1"/>
        <v>7.606344000000001E-3</v>
      </c>
      <c r="N5" t="s">
        <v>3</v>
      </c>
      <c r="O5" s="3">
        <v>0.10300000000000001</v>
      </c>
      <c r="P5" s="3">
        <f t="shared" si="2"/>
        <v>5.1500000000000004E-2</v>
      </c>
      <c r="Q5" s="3">
        <f t="shared" si="3"/>
        <v>0.15450000000000003</v>
      </c>
      <c r="R5" t="s">
        <v>27</v>
      </c>
    </row>
    <row r="6" spans="1:22" x14ac:dyDescent="0.25">
      <c r="A6" s="4" t="s">
        <v>28</v>
      </c>
      <c r="B6" s="3">
        <v>0</v>
      </c>
      <c r="C6" s="1" t="s">
        <v>6</v>
      </c>
      <c r="D6" s="3">
        <f t="shared" si="1"/>
        <v>0</v>
      </c>
      <c r="E6" s="3">
        <f t="shared" si="1"/>
        <v>0</v>
      </c>
      <c r="F6" s="3">
        <f t="shared" si="1"/>
        <v>0</v>
      </c>
      <c r="N6" t="s">
        <v>28</v>
      </c>
      <c r="O6" s="3">
        <v>6.67</v>
      </c>
      <c r="P6" s="3">
        <v>4.0599999999999996</v>
      </c>
      <c r="Q6" s="3">
        <v>9.2799999999999994</v>
      </c>
      <c r="R6" t="s">
        <v>21</v>
      </c>
    </row>
    <row r="7" spans="1:22" x14ac:dyDescent="0.25">
      <c r="A7" s="4" t="s">
        <v>29</v>
      </c>
      <c r="B7" s="3">
        <v>0</v>
      </c>
      <c r="C7" s="1" t="s">
        <v>6</v>
      </c>
      <c r="D7" s="3">
        <f t="shared" si="1"/>
        <v>0</v>
      </c>
      <c r="E7" s="3">
        <f t="shared" si="1"/>
        <v>0</v>
      </c>
      <c r="F7" s="3">
        <f t="shared" si="1"/>
        <v>0</v>
      </c>
      <c r="N7" t="s">
        <v>29</v>
      </c>
      <c r="O7" s="3">
        <v>5.75</v>
      </c>
      <c r="P7" s="3">
        <v>3.5</v>
      </c>
      <c r="Q7" s="3">
        <v>8</v>
      </c>
      <c r="R7" t="s">
        <v>21</v>
      </c>
    </row>
    <row r="8" spans="1:22" x14ac:dyDescent="0.25">
      <c r="A8" s="4" t="s">
        <v>4</v>
      </c>
      <c r="B8" s="3">
        <v>0</v>
      </c>
      <c r="C8" s="1" t="s">
        <v>6</v>
      </c>
      <c r="D8" s="3">
        <f t="shared" ref="D8:F10" si="5">$B8*O8</f>
        <v>0</v>
      </c>
      <c r="E8" s="3">
        <f t="shared" si="5"/>
        <v>0</v>
      </c>
      <c r="F8" s="3">
        <f t="shared" si="5"/>
        <v>0</v>
      </c>
      <c r="N8" t="s">
        <v>4</v>
      </c>
      <c r="O8" s="3">
        <f>91/1000*596.2/607.5*596.2/550.8</f>
        <v>9.6668531638230679E-2</v>
      </c>
      <c r="P8" s="3">
        <f>O8*0.5</f>
        <v>4.8334265819115339E-2</v>
      </c>
      <c r="Q8" s="3">
        <f>O8*1.5</f>
        <v>0.14500279745734601</v>
      </c>
      <c r="R8" t="s">
        <v>21</v>
      </c>
    </row>
    <row r="9" spans="1:22" ht="18" x14ac:dyDescent="0.35">
      <c r="A9" s="4" t="s">
        <v>25</v>
      </c>
      <c r="B9" s="3">
        <v>1.4326000000000001</v>
      </c>
      <c r="C9" s="1" t="s">
        <v>6</v>
      </c>
      <c r="D9" s="3">
        <f t="shared" si="5"/>
        <v>0</v>
      </c>
      <c r="E9" s="3">
        <f t="shared" si="5"/>
        <v>0</v>
      </c>
      <c r="F9" s="3">
        <f t="shared" si="5"/>
        <v>0</v>
      </c>
      <c r="N9" t="s">
        <v>25</v>
      </c>
      <c r="O9" s="3">
        <v>0</v>
      </c>
      <c r="P9" s="3">
        <v>0</v>
      </c>
      <c r="Q9" s="3">
        <v>0</v>
      </c>
      <c r="R9" t="s">
        <v>21</v>
      </c>
    </row>
    <row r="10" spans="1:22" ht="18" x14ac:dyDescent="0.35">
      <c r="A10" s="4" t="s">
        <v>26</v>
      </c>
      <c r="B10" s="3">
        <v>0</v>
      </c>
      <c r="C10" s="1" t="s">
        <v>6</v>
      </c>
      <c r="D10" s="3">
        <f t="shared" si="5"/>
        <v>0</v>
      </c>
      <c r="E10" s="3">
        <f t="shared" si="5"/>
        <v>0</v>
      </c>
      <c r="F10" s="3">
        <f t="shared" si="5"/>
        <v>0</v>
      </c>
      <c r="N10" t="s">
        <v>26</v>
      </c>
      <c r="O10" s="3">
        <v>0</v>
      </c>
      <c r="P10" s="3">
        <v>0</v>
      </c>
      <c r="Q10" s="3">
        <v>0</v>
      </c>
      <c r="R10" t="s">
        <v>21</v>
      </c>
    </row>
    <row r="11" spans="1:22" x14ac:dyDescent="0.25">
      <c r="A11" s="4" t="s">
        <v>11</v>
      </c>
      <c r="B11" s="3" t="s">
        <v>32</v>
      </c>
      <c r="C11" s="3" t="s">
        <v>32</v>
      </c>
      <c r="D11" s="3">
        <f>O13</f>
        <v>0.14407084241103849</v>
      </c>
      <c r="E11" s="3">
        <f>D11</f>
        <v>0.14407084241103849</v>
      </c>
      <c r="F11" s="3">
        <f>E11</f>
        <v>0.14407084241103849</v>
      </c>
      <c r="O11" s="3"/>
      <c r="P11" s="3"/>
      <c r="Q11" s="3"/>
    </row>
    <row r="12" spans="1:22" x14ac:dyDescent="0.25">
      <c r="A12" s="4" t="s">
        <v>13</v>
      </c>
      <c r="B12" s="1" t="s">
        <v>32</v>
      </c>
      <c r="C12" s="3" t="s">
        <v>32</v>
      </c>
      <c r="D12" s="3">
        <f>O14</f>
        <v>7.3821423384168486E-2</v>
      </c>
      <c r="E12" s="3">
        <f>D12</f>
        <v>7.3821423384168486E-2</v>
      </c>
      <c r="F12" s="3">
        <f>E12</f>
        <v>7.3821423384168486E-2</v>
      </c>
      <c r="N12" s="10" t="s">
        <v>30</v>
      </c>
      <c r="O12" s="10"/>
      <c r="P12" s="10"/>
      <c r="Q12" s="10"/>
      <c r="R12" s="10"/>
    </row>
    <row r="13" spans="1:22" ht="17.25" x14ac:dyDescent="0.25">
      <c r="N13" s="1" t="s">
        <v>11</v>
      </c>
      <c r="O13" s="3">
        <f>0.1331*596.2/550.8</f>
        <v>0.14407084241103849</v>
      </c>
      <c r="P13" s="3">
        <v>0</v>
      </c>
      <c r="Q13" s="3">
        <v>0</v>
      </c>
      <c r="R13" s="1" t="s">
        <v>12</v>
      </c>
    </row>
    <row r="14" spans="1:22" ht="17.25" x14ac:dyDescent="0.25">
      <c r="A14" s="10" t="s">
        <v>5</v>
      </c>
      <c r="B14" s="10"/>
      <c r="C14" s="10"/>
      <c r="D14" s="1" t="s">
        <v>24</v>
      </c>
      <c r="E14" s="1" t="s">
        <v>19</v>
      </c>
      <c r="F14" s="1" t="s">
        <v>20</v>
      </c>
      <c r="N14" s="1" t="s">
        <v>13</v>
      </c>
      <c r="O14" s="3">
        <f>0.0682*596.2/550.8</f>
        <v>7.3821423384168486E-2</v>
      </c>
      <c r="P14" s="3">
        <v>0</v>
      </c>
      <c r="Q14" s="3">
        <v>0</v>
      </c>
      <c r="R14" s="1" t="s">
        <v>12</v>
      </c>
    </row>
    <row r="15" spans="1:22" x14ac:dyDescent="0.25">
      <c r="A15" s="4" t="s">
        <v>0</v>
      </c>
      <c r="B15" s="3">
        <v>1</v>
      </c>
      <c r="C15" s="1" t="s">
        <v>6</v>
      </c>
      <c r="D15" s="3">
        <f>SUM(D16:D25)</f>
        <v>0.3586554240185193</v>
      </c>
      <c r="E15" s="3">
        <f t="shared" ref="E15:F15" si="6">SUM(E16:E25)</f>
        <v>0.28827384490686314</v>
      </c>
      <c r="F15" s="3">
        <f t="shared" si="6"/>
        <v>0.42903700313017551</v>
      </c>
      <c r="N15" s="1"/>
      <c r="O15" s="1"/>
      <c r="P15" s="1"/>
      <c r="Q15" s="1"/>
    </row>
    <row r="16" spans="1:22" x14ac:dyDescent="0.25">
      <c r="A16" s="4" t="s">
        <v>1</v>
      </c>
      <c r="B16" s="3">
        <v>0.62178</v>
      </c>
      <c r="C16" s="2" t="s">
        <v>7</v>
      </c>
      <c r="D16" s="3">
        <f t="shared" ref="D16:F23" si="7">$B16*O3</f>
        <v>7.2099967866054548E-2</v>
      </c>
      <c r="E16" s="3">
        <f t="shared" si="7"/>
        <v>3.6049983933027274E-2</v>
      </c>
      <c r="F16" s="3">
        <f t="shared" si="7"/>
        <v>0.10814995179908181</v>
      </c>
      <c r="N16" s="10" t="s">
        <v>31</v>
      </c>
      <c r="O16" s="10"/>
      <c r="P16" s="10"/>
      <c r="Q16" s="10"/>
      <c r="R16" s="10"/>
    </row>
    <row r="17" spans="1:18" ht="17.25" x14ac:dyDescent="0.25">
      <c r="A17" s="4" t="s">
        <v>2</v>
      </c>
      <c r="B17" s="3">
        <v>13.952</v>
      </c>
      <c r="C17" s="2" t="s">
        <v>7</v>
      </c>
      <c r="D17" s="3">
        <f t="shared" si="7"/>
        <v>4.4203199437257819E-2</v>
      </c>
      <c r="E17" s="3">
        <f t="shared" si="7"/>
        <v>2.2101599718628909E-2</v>
      </c>
      <c r="F17" s="3">
        <f t="shared" si="7"/>
        <v>6.6304799155886732E-2</v>
      </c>
      <c r="N17" s="1" t="s">
        <v>11</v>
      </c>
      <c r="O17" s="3">
        <f>0.0799*596.2/550.8</f>
        <v>8.6485802469135814E-2</v>
      </c>
      <c r="P17" s="3">
        <v>0</v>
      </c>
      <c r="Q17" s="3">
        <v>0</v>
      </c>
      <c r="R17" s="1" t="s">
        <v>12</v>
      </c>
    </row>
    <row r="18" spans="1:18" ht="17.25" x14ac:dyDescent="0.25">
      <c r="A18" s="4" t="s">
        <v>3</v>
      </c>
      <c r="B18" s="3">
        <v>0.23747563999999999</v>
      </c>
      <c r="C18" s="1" t="s">
        <v>8</v>
      </c>
      <c r="D18" s="3">
        <f t="shared" si="7"/>
        <v>2.4459990920000001E-2</v>
      </c>
      <c r="E18" s="3">
        <f t="shared" si="7"/>
        <v>1.222999546E-2</v>
      </c>
      <c r="F18" s="3">
        <f t="shared" si="7"/>
        <v>3.6689986380000005E-2</v>
      </c>
      <c r="N18" s="1" t="s">
        <v>13</v>
      </c>
      <c r="O18" s="3">
        <f>0.0491*596.2/550.8</f>
        <v>5.3147095134350043E-2</v>
      </c>
      <c r="P18" s="3">
        <v>0</v>
      </c>
      <c r="Q18" s="3">
        <v>0</v>
      </c>
      <c r="R18" s="1" t="s">
        <v>12</v>
      </c>
    </row>
    <row r="19" spans="1:18" x14ac:dyDescent="0.25">
      <c r="A19" s="4" t="s">
        <v>28</v>
      </c>
      <c r="B19" s="3">
        <v>0</v>
      </c>
      <c r="C19" s="1" t="s">
        <v>6</v>
      </c>
      <c r="D19" s="3">
        <f t="shared" si="7"/>
        <v>0</v>
      </c>
      <c r="E19" s="3">
        <f t="shared" si="7"/>
        <v>0</v>
      </c>
      <c r="F19" s="3">
        <f t="shared" si="7"/>
        <v>0</v>
      </c>
    </row>
    <row r="20" spans="1:18" x14ac:dyDescent="0.25">
      <c r="A20" s="4" t="s">
        <v>29</v>
      </c>
      <c r="B20" s="3">
        <v>0</v>
      </c>
      <c r="C20" s="1" t="s">
        <v>6</v>
      </c>
      <c r="D20" s="3">
        <f t="shared" si="7"/>
        <v>0</v>
      </c>
      <c r="E20" s="3">
        <f t="shared" si="7"/>
        <v>0</v>
      </c>
      <c r="F20" s="3">
        <f t="shared" si="7"/>
        <v>0</v>
      </c>
    </row>
    <row r="21" spans="1:18" x14ac:dyDescent="0.25">
      <c r="A21" s="4" t="s">
        <v>4</v>
      </c>
      <c r="B21" s="3">
        <v>0</v>
      </c>
      <c r="C21" s="1" t="s">
        <v>6</v>
      </c>
      <c r="D21" s="3">
        <f t="shared" si="7"/>
        <v>0</v>
      </c>
      <c r="E21" s="3">
        <f t="shared" si="7"/>
        <v>0</v>
      </c>
      <c r="F21" s="3">
        <f t="shared" si="7"/>
        <v>0</v>
      </c>
    </row>
    <row r="22" spans="1:18" ht="18" x14ac:dyDescent="0.35">
      <c r="A22" s="4" t="s">
        <v>25</v>
      </c>
      <c r="B22" s="3">
        <v>0.14326</v>
      </c>
      <c r="C22" s="1" t="s">
        <v>6</v>
      </c>
      <c r="D22" s="3">
        <f t="shared" si="7"/>
        <v>0</v>
      </c>
      <c r="E22" s="3">
        <f t="shared" si="7"/>
        <v>0</v>
      </c>
      <c r="F22" s="3">
        <f t="shared" si="7"/>
        <v>0</v>
      </c>
    </row>
    <row r="23" spans="1:18" ht="18" x14ac:dyDescent="0.35">
      <c r="A23" s="4" t="s">
        <v>26</v>
      </c>
      <c r="B23" s="3">
        <v>0</v>
      </c>
      <c r="C23" s="1" t="s">
        <v>6</v>
      </c>
      <c r="D23" s="3">
        <f t="shared" si="7"/>
        <v>0</v>
      </c>
      <c r="E23" s="3">
        <f t="shared" si="7"/>
        <v>0</v>
      </c>
      <c r="F23" s="3">
        <f t="shared" si="7"/>
        <v>0</v>
      </c>
    </row>
    <row r="24" spans="1:18" x14ac:dyDescent="0.25">
      <c r="A24" s="4" t="s">
        <v>11</v>
      </c>
      <c r="B24" s="3" t="s">
        <v>32</v>
      </c>
      <c r="C24" s="3" t="s">
        <v>32</v>
      </c>
      <c r="D24" s="3">
        <f>O13</f>
        <v>0.14407084241103849</v>
      </c>
      <c r="E24" s="3">
        <f>D24</f>
        <v>0.14407084241103849</v>
      </c>
      <c r="F24" s="3">
        <f t="shared" ref="F24:F25" si="8">E24</f>
        <v>0.14407084241103849</v>
      </c>
    </row>
    <row r="25" spans="1:18" x14ac:dyDescent="0.25">
      <c r="A25" s="4" t="s">
        <v>13</v>
      </c>
      <c r="B25" s="1" t="s">
        <v>32</v>
      </c>
      <c r="C25" s="3" t="s">
        <v>32</v>
      </c>
      <c r="D25" s="3">
        <f>O14</f>
        <v>7.3821423384168486E-2</v>
      </c>
      <c r="E25" s="3">
        <f t="shared" ref="E25" si="9">D25</f>
        <v>7.3821423384168486E-2</v>
      </c>
      <c r="F25" s="3">
        <f t="shared" si="8"/>
        <v>7.3821423384168486E-2</v>
      </c>
    </row>
    <row r="26" spans="1:18" x14ac:dyDescent="0.25">
      <c r="N26" s="10"/>
      <c r="O26" s="10"/>
      <c r="P26" s="10"/>
      <c r="Q26" s="10"/>
      <c r="R26" s="10"/>
    </row>
    <row r="27" spans="1:18" x14ac:dyDescent="0.25">
      <c r="A27" s="10" t="s">
        <v>14</v>
      </c>
      <c r="B27" s="10"/>
      <c r="C27" s="10"/>
      <c r="D27" s="1" t="s">
        <v>24</v>
      </c>
      <c r="E27" s="1" t="s">
        <v>19</v>
      </c>
      <c r="F27" s="1" t="s">
        <v>20</v>
      </c>
      <c r="N27" s="1"/>
      <c r="O27" s="1"/>
      <c r="P27" s="1"/>
      <c r="Q27" s="1"/>
    </row>
    <row r="28" spans="1:18" x14ac:dyDescent="0.25">
      <c r="A28" s="4" t="s">
        <v>0</v>
      </c>
      <c r="B28" s="3">
        <v>1</v>
      </c>
      <c r="C28" s="1" t="s">
        <v>6</v>
      </c>
      <c r="D28" s="3">
        <f>SUM(D29:D38)</f>
        <v>1.4496057508886437</v>
      </c>
      <c r="E28" s="3">
        <f t="shared" ref="E28:F28" si="10">SUM(E29:E38)</f>
        <v>0.92221932424606479</v>
      </c>
      <c r="F28" s="3">
        <f t="shared" si="10"/>
        <v>1.9769921775312225</v>
      </c>
      <c r="O28" s="3"/>
      <c r="P28" s="3"/>
      <c r="Q28" s="3"/>
    </row>
    <row r="29" spans="1:18" x14ac:dyDescent="0.25">
      <c r="A29" s="4" t="s">
        <v>1</v>
      </c>
      <c r="B29" s="3">
        <v>0</v>
      </c>
      <c r="C29" s="2" t="s">
        <v>7</v>
      </c>
      <c r="D29" s="3">
        <f t="shared" ref="D29:F36" si="11">$B29*O3</f>
        <v>0</v>
      </c>
      <c r="E29" s="3">
        <f t="shared" si="11"/>
        <v>0</v>
      </c>
      <c r="F29" s="3">
        <f t="shared" si="11"/>
        <v>0</v>
      </c>
      <c r="O29" s="3"/>
      <c r="P29" s="3"/>
      <c r="Q29" s="3"/>
    </row>
    <row r="30" spans="1:18" x14ac:dyDescent="0.25">
      <c r="A30" s="4" t="s">
        <v>2</v>
      </c>
      <c r="B30" s="3">
        <v>0</v>
      </c>
      <c r="C30" s="2" t="s">
        <v>10</v>
      </c>
      <c r="D30" s="3">
        <f t="shared" si="11"/>
        <v>0</v>
      </c>
      <c r="E30" s="3">
        <f t="shared" si="11"/>
        <v>0</v>
      </c>
      <c r="F30" s="3">
        <f t="shared" si="11"/>
        <v>0</v>
      </c>
    </row>
    <row r="31" spans="1:18" x14ac:dyDescent="0.25">
      <c r="A31" s="4" t="s">
        <v>3</v>
      </c>
      <c r="B31" s="3">
        <v>0.55600000000000005</v>
      </c>
      <c r="C31" s="1" t="s">
        <v>8</v>
      </c>
      <c r="D31" s="3">
        <f t="shared" si="11"/>
        <v>5.7268000000000006E-2</v>
      </c>
      <c r="E31" s="3">
        <f t="shared" si="11"/>
        <v>2.8634000000000003E-2</v>
      </c>
      <c r="F31" s="3">
        <f t="shared" si="11"/>
        <v>8.590200000000002E-2</v>
      </c>
    </row>
    <row r="32" spans="1:18" x14ac:dyDescent="0.25">
      <c r="A32" s="4" t="s">
        <v>28</v>
      </c>
      <c r="B32" s="3">
        <v>0.17599999999999999</v>
      </c>
      <c r="C32" s="1" t="s">
        <v>6</v>
      </c>
      <c r="D32" s="3">
        <f t="shared" si="11"/>
        <v>1.1739199999999999</v>
      </c>
      <c r="E32" s="3">
        <f t="shared" si="11"/>
        <v>0.71455999999999986</v>
      </c>
      <c r="F32" s="3">
        <f t="shared" si="11"/>
        <v>1.6332799999999998</v>
      </c>
    </row>
    <row r="33" spans="1:18" x14ac:dyDescent="0.25">
      <c r="A33" s="4" t="s">
        <v>29</v>
      </c>
      <c r="B33" s="3">
        <v>0</v>
      </c>
      <c r="C33" s="1" t="s">
        <v>6</v>
      </c>
      <c r="D33" s="3">
        <f t="shared" si="11"/>
        <v>0</v>
      </c>
      <c r="E33" s="3">
        <f t="shared" si="11"/>
        <v>0</v>
      </c>
      <c r="F33" s="3">
        <f t="shared" si="11"/>
        <v>0</v>
      </c>
    </row>
    <row r="34" spans="1:18" x14ac:dyDescent="0.25">
      <c r="A34" s="4" t="s">
        <v>4</v>
      </c>
      <c r="B34" s="3">
        <v>0.81499999999999995</v>
      </c>
      <c r="C34" s="1" t="s">
        <v>6</v>
      </c>
      <c r="D34" s="3">
        <f t="shared" si="11"/>
        <v>7.8784853285157996E-2</v>
      </c>
      <c r="E34" s="3">
        <f t="shared" si="11"/>
        <v>3.9392426642578998E-2</v>
      </c>
      <c r="F34" s="3">
        <f t="shared" si="11"/>
        <v>0.11817727992773699</v>
      </c>
    </row>
    <row r="35" spans="1:18" ht="18" x14ac:dyDescent="0.35">
      <c r="A35" s="4" t="s">
        <v>25</v>
      </c>
      <c r="B35" s="3">
        <v>0</v>
      </c>
      <c r="C35" s="1" t="s">
        <v>6</v>
      </c>
      <c r="D35" s="3">
        <f t="shared" si="11"/>
        <v>0</v>
      </c>
      <c r="E35" s="3">
        <f t="shared" si="11"/>
        <v>0</v>
      </c>
      <c r="F35" s="3">
        <f t="shared" si="11"/>
        <v>0</v>
      </c>
    </row>
    <row r="36" spans="1:18" ht="18" x14ac:dyDescent="0.35">
      <c r="A36" s="4" t="s">
        <v>26</v>
      </c>
      <c r="B36" s="3">
        <v>0</v>
      </c>
      <c r="C36" s="1" t="s">
        <v>6</v>
      </c>
      <c r="D36" s="3">
        <f t="shared" si="11"/>
        <v>0</v>
      </c>
      <c r="E36" s="3">
        <f t="shared" si="11"/>
        <v>0</v>
      </c>
      <c r="F36" s="3">
        <f t="shared" si="11"/>
        <v>0</v>
      </c>
    </row>
    <row r="37" spans="1:18" x14ac:dyDescent="0.25">
      <c r="A37" s="4" t="s">
        <v>11</v>
      </c>
      <c r="B37" s="3" t="s">
        <v>32</v>
      </c>
      <c r="C37" s="3" t="s">
        <v>32</v>
      </c>
      <c r="D37" s="3">
        <f>O17</f>
        <v>8.6485802469135814E-2</v>
      </c>
      <c r="E37" s="3">
        <f>D37</f>
        <v>8.6485802469135814E-2</v>
      </c>
      <c r="F37" s="3">
        <f t="shared" ref="F37:F38" si="12">E37</f>
        <v>8.6485802469135814E-2</v>
      </c>
      <c r="N37" s="10"/>
      <c r="O37" s="10"/>
      <c r="P37" s="10"/>
      <c r="Q37" s="10"/>
      <c r="R37" s="10"/>
    </row>
    <row r="38" spans="1:18" x14ac:dyDescent="0.25">
      <c r="A38" s="4" t="s">
        <v>13</v>
      </c>
      <c r="B38" s="1" t="s">
        <v>32</v>
      </c>
      <c r="C38" s="3" t="s">
        <v>32</v>
      </c>
      <c r="D38" s="3">
        <f>O18</f>
        <v>5.3147095134350043E-2</v>
      </c>
      <c r="E38" s="3">
        <f t="shared" ref="E38" si="13">D38</f>
        <v>5.3147095134350043E-2</v>
      </c>
      <c r="F38" s="3">
        <f t="shared" si="12"/>
        <v>5.3147095134350043E-2</v>
      </c>
      <c r="N38" s="1"/>
      <c r="O38" s="1"/>
      <c r="P38" s="1"/>
      <c r="Q38" s="1"/>
    </row>
    <row r="39" spans="1:18" x14ac:dyDescent="0.25">
      <c r="O39" s="3"/>
      <c r="P39" s="3"/>
      <c r="Q39" s="3"/>
    </row>
    <row r="40" spans="1:18" x14ac:dyDescent="0.25">
      <c r="A40" s="10" t="s">
        <v>15</v>
      </c>
      <c r="B40" s="10"/>
      <c r="C40" s="10"/>
      <c r="D40" s="1" t="s">
        <v>24</v>
      </c>
      <c r="E40" s="1" t="s">
        <v>19</v>
      </c>
      <c r="F40" s="1" t="s">
        <v>20</v>
      </c>
      <c r="O40" s="3"/>
      <c r="P40" s="3"/>
      <c r="Q40" s="3"/>
    </row>
    <row r="41" spans="1:18" x14ac:dyDescent="0.25">
      <c r="A41" s="4" t="s">
        <v>0</v>
      </c>
      <c r="B41" s="3">
        <v>1</v>
      </c>
      <c r="C41" s="1" t="s">
        <v>6</v>
      </c>
      <c r="D41" s="3">
        <f>SUM(D42:D51)</f>
        <v>1.2876857508886439</v>
      </c>
      <c r="E41" s="3">
        <f t="shared" ref="E41:F41" si="14">SUM(E42:E51)</f>
        <v>0.82365932424606492</v>
      </c>
      <c r="F41" s="3">
        <f t="shared" si="14"/>
        <v>1.7517121775312225</v>
      </c>
    </row>
    <row r="42" spans="1:18" x14ac:dyDescent="0.25">
      <c r="A42" s="4" t="s">
        <v>1</v>
      </c>
      <c r="B42" s="3">
        <v>0</v>
      </c>
      <c r="C42" s="2" t="s">
        <v>7</v>
      </c>
      <c r="D42" s="3">
        <f t="shared" ref="D42:F49" si="15">$B42*O3</f>
        <v>0</v>
      </c>
      <c r="E42" s="3">
        <f t="shared" si="15"/>
        <v>0</v>
      </c>
      <c r="F42" s="3">
        <f t="shared" si="15"/>
        <v>0</v>
      </c>
    </row>
    <row r="43" spans="1:18" x14ac:dyDescent="0.25">
      <c r="A43" s="4" t="s">
        <v>2</v>
      </c>
      <c r="B43" s="3">
        <v>0</v>
      </c>
      <c r="C43" s="2" t="s">
        <v>10</v>
      </c>
      <c r="D43" s="3">
        <f t="shared" si="15"/>
        <v>0</v>
      </c>
      <c r="E43" s="3">
        <f t="shared" si="15"/>
        <v>0</v>
      </c>
      <c r="F43" s="3">
        <f t="shared" si="15"/>
        <v>0</v>
      </c>
    </row>
    <row r="44" spans="1:18" x14ac:dyDescent="0.25">
      <c r="A44" s="4" t="s">
        <v>3</v>
      </c>
      <c r="B44" s="3">
        <v>0.55600000000000005</v>
      </c>
      <c r="C44" s="1" t="s">
        <v>8</v>
      </c>
      <c r="D44" s="3">
        <f t="shared" si="15"/>
        <v>5.7268000000000006E-2</v>
      </c>
      <c r="E44" s="3">
        <f t="shared" si="15"/>
        <v>2.8634000000000003E-2</v>
      </c>
      <c r="F44" s="3">
        <f t="shared" si="15"/>
        <v>8.590200000000002E-2</v>
      </c>
    </row>
    <row r="45" spans="1:18" x14ac:dyDescent="0.25">
      <c r="A45" s="4" t="s">
        <v>28</v>
      </c>
      <c r="B45" s="3">
        <v>0</v>
      </c>
      <c r="C45" s="1" t="s">
        <v>6</v>
      </c>
      <c r="D45" s="3">
        <f t="shared" si="15"/>
        <v>0</v>
      </c>
      <c r="E45" s="3">
        <f t="shared" si="15"/>
        <v>0</v>
      </c>
      <c r="F45" s="3">
        <f t="shared" si="15"/>
        <v>0</v>
      </c>
    </row>
    <row r="46" spans="1:18" x14ac:dyDescent="0.25">
      <c r="A46" s="4" t="s">
        <v>29</v>
      </c>
      <c r="B46" s="3">
        <v>0.17599999999999999</v>
      </c>
      <c r="C46" s="1" t="s">
        <v>6</v>
      </c>
      <c r="D46" s="3">
        <f t="shared" si="15"/>
        <v>1.012</v>
      </c>
      <c r="E46" s="3">
        <f t="shared" si="15"/>
        <v>0.61599999999999999</v>
      </c>
      <c r="F46" s="3">
        <f t="shared" si="15"/>
        <v>1.4079999999999999</v>
      </c>
    </row>
    <row r="47" spans="1:18" x14ac:dyDescent="0.25">
      <c r="A47" s="4" t="s">
        <v>4</v>
      </c>
      <c r="B47" s="3">
        <v>0.81499999999999995</v>
      </c>
      <c r="C47" s="1" t="s">
        <v>6</v>
      </c>
      <c r="D47" s="3">
        <f t="shared" si="15"/>
        <v>7.8784853285157996E-2</v>
      </c>
      <c r="E47" s="3">
        <f t="shared" si="15"/>
        <v>3.9392426642578998E-2</v>
      </c>
      <c r="F47" s="3">
        <f t="shared" si="15"/>
        <v>0.11817727992773699</v>
      </c>
    </row>
    <row r="48" spans="1:18" ht="18" x14ac:dyDescent="0.35">
      <c r="A48" s="4" t="s">
        <v>25</v>
      </c>
      <c r="B48" s="3">
        <v>0</v>
      </c>
      <c r="C48" s="1" t="s">
        <v>6</v>
      </c>
      <c r="D48" s="3">
        <f t="shared" si="15"/>
        <v>0</v>
      </c>
      <c r="E48" s="3">
        <f t="shared" si="15"/>
        <v>0</v>
      </c>
      <c r="F48" s="3">
        <f t="shared" si="15"/>
        <v>0</v>
      </c>
    </row>
    <row r="49" spans="1:6" ht="18" x14ac:dyDescent="0.35">
      <c r="A49" s="4" t="s">
        <v>26</v>
      </c>
      <c r="B49" s="3">
        <v>0</v>
      </c>
      <c r="C49" s="1" t="s">
        <v>6</v>
      </c>
      <c r="D49" s="3">
        <f t="shared" si="15"/>
        <v>0</v>
      </c>
      <c r="E49" s="3">
        <f t="shared" si="15"/>
        <v>0</v>
      </c>
      <c r="F49" s="3">
        <f t="shared" si="15"/>
        <v>0</v>
      </c>
    </row>
    <row r="50" spans="1:6" x14ac:dyDescent="0.25">
      <c r="A50" s="4" t="s">
        <v>11</v>
      </c>
      <c r="B50" s="3" t="s">
        <v>32</v>
      </c>
      <c r="C50" s="3" t="s">
        <v>32</v>
      </c>
      <c r="D50" s="3">
        <f>O17</f>
        <v>8.6485802469135814E-2</v>
      </c>
      <c r="E50" s="3">
        <f>D50</f>
        <v>8.6485802469135814E-2</v>
      </c>
      <c r="F50" s="3">
        <f t="shared" ref="F50:F51" si="16">E50</f>
        <v>8.6485802469135814E-2</v>
      </c>
    </row>
    <row r="51" spans="1:6" x14ac:dyDescent="0.25">
      <c r="A51" s="4" t="s">
        <v>13</v>
      </c>
      <c r="B51" s="1" t="s">
        <v>32</v>
      </c>
      <c r="C51" s="3" t="s">
        <v>32</v>
      </c>
      <c r="D51" s="3">
        <f>O18</f>
        <v>5.3147095134350043E-2</v>
      </c>
      <c r="E51" s="3">
        <f t="shared" ref="E51" si="17">D51</f>
        <v>5.3147095134350043E-2</v>
      </c>
      <c r="F51" s="3">
        <f t="shared" si="16"/>
        <v>5.3147095134350043E-2</v>
      </c>
    </row>
  </sheetData>
  <mergeCells count="9">
    <mergeCell ref="A27:C27"/>
    <mergeCell ref="N37:R37"/>
    <mergeCell ref="A40:C40"/>
    <mergeCell ref="A1:C1"/>
    <mergeCell ref="N1:R1"/>
    <mergeCell ref="N12:R12"/>
    <mergeCell ref="A14:C14"/>
    <mergeCell ref="N16:R16"/>
    <mergeCell ref="N26:R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BC48-4868-409B-A4B0-BA4018665A77}">
  <dimension ref="A1:V51"/>
  <sheetViews>
    <sheetView workbookViewId="0">
      <selection activeCell="P8" sqref="P8:Q8"/>
    </sheetView>
  </sheetViews>
  <sheetFormatPr defaultRowHeight="15" x14ac:dyDescent="0.25"/>
  <cols>
    <col min="1" max="1" width="22.5703125" style="4" bestFit="1" customWidth="1"/>
    <col min="2" max="2" width="21.140625" bestFit="1" customWidth="1"/>
    <col min="3" max="3" width="12.85546875" bestFit="1" customWidth="1"/>
    <col min="4" max="6" width="9.5703125" bestFit="1" customWidth="1"/>
    <col min="14" max="14" width="22.85546875" bestFit="1" customWidth="1"/>
    <col min="15" max="15" width="21.140625" bestFit="1" customWidth="1"/>
    <col min="18" max="18" width="21.140625" bestFit="1" customWidth="1"/>
  </cols>
  <sheetData>
    <row r="1" spans="1:22" x14ac:dyDescent="0.25">
      <c r="A1" s="10" t="s">
        <v>9</v>
      </c>
      <c r="B1" s="10"/>
      <c r="C1" s="10"/>
      <c r="D1" s="1" t="s">
        <v>24</v>
      </c>
      <c r="E1" s="1" t="s">
        <v>19</v>
      </c>
      <c r="F1" s="1" t="s">
        <v>20</v>
      </c>
      <c r="N1" s="10" t="s">
        <v>17</v>
      </c>
      <c r="O1" s="10"/>
      <c r="P1" s="10"/>
      <c r="Q1" s="10"/>
      <c r="R1" s="10"/>
    </row>
    <row r="2" spans="1:22" x14ac:dyDescent="0.25">
      <c r="A2" s="4" t="s">
        <v>0</v>
      </c>
      <c r="B2" s="3">
        <v>1</v>
      </c>
      <c r="C2" s="1" t="s">
        <v>6</v>
      </c>
      <c r="D2" s="3">
        <f>SUM(D3:D12)</f>
        <v>0.36444023233124434</v>
      </c>
      <c r="E2" s="3">
        <f t="shared" ref="E2:F2" si="0">SUM(E3:E12)</f>
        <v>0.30014619538412474</v>
      </c>
      <c r="F2" s="3">
        <f t="shared" si="0"/>
        <v>0.428734269278364</v>
      </c>
      <c r="N2" s="1" t="s">
        <v>18</v>
      </c>
      <c r="O2" s="1" t="s">
        <v>16</v>
      </c>
      <c r="P2" s="1" t="s">
        <v>19</v>
      </c>
      <c r="Q2" s="1" t="s">
        <v>20</v>
      </c>
    </row>
    <row r="3" spans="1:22" ht="17.25" x14ac:dyDescent="0.25">
      <c r="A3" s="4" t="s">
        <v>1</v>
      </c>
      <c r="B3" s="3">
        <v>0.62178</v>
      </c>
      <c r="C3" s="2" t="s">
        <v>7</v>
      </c>
      <c r="D3" s="3">
        <f>$B3*O3</f>
        <v>7.6633199378590908E-2</v>
      </c>
      <c r="E3" s="3">
        <f>$B3*P3</f>
        <v>3.8316599689295454E-2</v>
      </c>
      <c r="F3" s="3">
        <f>$B3*Q3</f>
        <v>0.11494979906788635</v>
      </c>
      <c r="N3" t="s">
        <v>1</v>
      </c>
      <c r="O3" s="3">
        <v>0.12324809318181817</v>
      </c>
      <c r="P3" s="3">
        <f>O3*0.5</f>
        <v>6.1624046590909087E-2</v>
      </c>
      <c r="Q3" s="3">
        <f>O3*1.5</f>
        <v>0.18487213977272726</v>
      </c>
      <c r="R3" t="s">
        <v>22</v>
      </c>
    </row>
    <row r="4" spans="1:22" x14ac:dyDescent="0.25">
      <c r="A4" s="4" t="s">
        <v>2</v>
      </c>
      <c r="B4" s="3">
        <v>13.952</v>
      </c>
      <c r="C4" s="2" t="s">
        <v>10</v>
      </c>
      <c r="D4" s="3">
        <f t="shared" ref="D4:F7" si="1">$B4*O4</f>
        <v>4.6982442515648322E-2</v>
      </c>
      <c r="E4" s="3">
        <f t="shared" si="1"/>
        <v>2.3491221257824161E-2</v>
      </c>
      <c r="F4" s="3">
        <f t="shared" si="1"/>
        <v>7.0473663773472486E-2</v>
      </c>
      <c r="N4" t="s">
        <v>2</v>
      </c>
      <c r="O4" s="3">
        <f>3.36743423994039/1000</f>
        <v>3.3674342399403899E-3</v>
      </c>
      <c r="P4" s="3">
        <f t="shared" ref="P4:P5" si="2">O4*0.5</f>
        <v>1.683717119970195E-3</v>
      </c>
      <c r="Q4" s="3">
        <f t="shared" ref="Q4:Q5" si="3">O4*1.5</f>
        <v>5.0511513599105851E-3</v>
      </c>
      <c r="R4" t="s">
        <v>23</v>
      </c>
      <c r="T4" s="9">
        <f>O4*1000</f>
        <v>3.36743423994039</v>
      </c>
      <c r="U4" s="9">
        <f t="shared" ref="U4:V4" si="4">P4*1000</f>
        <v>1.683717119970195</v>
      </c>
      <c r="V4" s="9">
        <f t="shared" si="4"/>
        <v>5.0511513599105848</v>
      </c>
    </row>
    <row r="5" spans="1:22" x14ac:dyDescent="0.25">
      <c r="A5" s="4" t="s">
        <v>3</v>
      </c>
      <c r="B5" s="3">
        <v>4.9231999999999998E-2</v>
      </c>
      <c r="C5" s="1" t="s">
        <v>8</v>
      </c>
      <c r="D5" s="3">
        <f t="shared" si="1"/>
        <v>4.9724319999999997E-3</v>
      </c>
      <c r="E5" s="3">
        <f t="shared" si="1"/>
        <v>2.4862159999999999E-3</v>
      </c>
      <c r="F5" s="3">
        <f t="shared" si="1"/>
        <v>7.4586479999999991E-3</v>
      </c>
      <c r="N5" t="s">
        <v>3</v>
      </c>
      <c r="O5" s="3">
        <v>0.10099999999999999</v>
      </c>
      <c r="P5" s="3">
        <f t="shared" si="2"/>
        <v>5.0499999999999996E-2</v>
      </c>
      <c r="Q5" s="3">
        <f t="shared" si="3"/>
        <v>0.1515</v>
      </c>
      <c r="R5" t="s">
        <v>27</v>
      </c>
    </row>
    <row r="6" spans="1:22" x14ac:dyDescent="0.25">
      <c r="A6" s="4" t="s">
        <v>28</v>
      </c>
      <c r="B6" s="3">
        <v>0</v>
      </c>
      <c r="C6" s="1" t="s">
        <v>6</v>
      </c>
      <c r="D6" s="3">
        <f t="shared" si="1"/>
        <v>0</v>
      </c>
      <c r="E6" s="3">
        <f t="shared" si="1"/>
        <v>0</v>
      </c>
      <c r="F6" s="3">
        <f t="shared" si="1"/>
        <v>0</v>
      </c>
      <c r="N6" t="s">
        <v>28</v>
      </c>
      <c r="O6" s="3">
        <v>5.28</v>
      </c>
      <c r="P6" s="3">
        <v>3.24</v>
      </c>
      <c r="Q6" s="3">
        <v>7.32</v>
      </c>
      <c r="R6" t="s">
        <v>21</v>
      </c>
    </row>
    <row r="7" spans="1:22" x14ac:dyDescent="0.25">
      <c r="A7" s="4" t="s">
        <v>29</v>
      </c>
      <c r="B7" s="3">
        <v>0</v>
      </c>
      <c r="C7" s="1" t="s">
        <v>6</v>
      </c>
      <c r="D7" s="3">
        <f t="shared" si="1"/>
        <v>0</v>
      </c>
      <c r="E7" s="3">
        <f t="shared" si="1"/>
        <v>0</v>
      </c>
      <c r="F7" s="3">
        <f t="shared" si="1"/>
        <v>0</v>
      </c>
      <c r="N7" t="s">
        <v>29</v>
      </c>
      <c r="O7" s="3">
        <v>4.95</v>
      </c>
      <c r="P7" s="3">
        <v>3.0379999999999998</v>
      </c>
      <c r="Q7" s="3">
        <v>6.8630000000000004</v>
      </c>
      <c r="R7" t="s">
        <v>21</v>
      </c>
    </row>
    <row r="8" spans="1:22" x14ac:dyDescent="0.25">
      <c r="A8" s="4" t="s">
        <v>4</v>
      </c>
      <c r="B8" s="3">
        <v>0</v>
      </c>
      <c r="C8" s="1" t="s">
        <v>6</v>
      </c>
      <c r="D8" s="3">
        <f t="shared" ref="D8:F10" si="5">$B8*O8</f>
        <v>0</v>
      </c>
      <c r="E8" s="3">
        <f t="shared" si="5"/>
        <v>0</v>
      </c>
      <c r="F8" s="3">
        <f t="shared" si="5"/>
        <v>0</v>
      </c>
      <c r="N8" t="s">
        <v>4</v>
      </c>
      <c r="O8" s="3">
        <f>91/1000*596.2/607.5*596.2/550.8*596.2/550.8</f>
        <v>0.1046364897652744</v>
      </c>
      <c r="P8" s="3">
        <f>O8*0.5</f>
        <v>5.2318244882637199E-2</v>
      </c>
      <c r="Q8" s="3">
        <f>O8*1.5</f>
        <v>0.1569547346479116</v>
      </c>
      <c r="R8" t="s">
        <v>21</v>
      </c>
    </row>
    <row r="9" spans="1:22" ht="18" x14ac:dyDescent="0.35">
      <c r="A9" s="4" t="s">
        <v>25</v>
      </c>
      <c r="B9" s="3">
        <v>1.4326000000000001</v>
      </c>
      <c r="C9" s="1" t="s">
        <v>6</v>
      </c>
      <c r="D9" s="3">
        <f t="shared" si="5"/>
        <v>0</v>
      </c>
      <c r="E9" s="3">
        <f t="shared" si="5"/>
        <v>0</v>
      </c>
      <c r="F9" s="3">
        <f t="shared" si="5"/>
        <v>0</v>
      </c>
      <c r="N9" t="s">
        <v>25</v>
      </c>
      <c r="O9" s="3">
        <v>0</v>
      </c>
      <c r="P9" s="3">
        <v>0</v>
      </c>
      <c r="Q9" s="3">
        <v>0</v>
      </c>
      <c r="R9" t="s">
        <v>21</v>
      </c>
    </row>
    <row r="10" spans="1:22" ht="18" x14ac:dyDescent="0.35">
      <c r="A10" s="4" t="s">
        <v>26</v>
      </c>
      <c r="B10" s="3">
        <v>0</v>
      </c>
      <c r="C10" s="1" t="s">
        <v>6</v>
      </c>
      <c r="D10" s="3">
        <f t="shared" si="5"/>
        <v>0</v>
      </c>
      <c r="E10" s="3">
        <f t="shared" si="5"/>
        <v>0</v>
      </c>
      <c r="F10" s="3">
        <f t="shared" si="5"/>
        <v>0</v>
      </c>
      <c r="N10" t="s">
        <v>26</v>
      </c>
      <c r="O10" s="3">
        <v>0</v>
      </c>
      <c r="P10" s="3">
        <v>0</v>
      </c>
      <c r="Q10" s="3">
        <v>0</v>
      </c>
      <c r="R10" t="s">
        <v>21</v>
      </c>
    </row>
    <row r="11" spans="1:22" x14ac:dyDescent="0.25">
      <c r="A11" s="4" t="s">
        <v>11</v>
      </c>
      <c r="B11" s="3" t="s">
        <v>32</v>
      </c>
      <c r="C11" s="3" t="s">
        <v>32</v>
      </c>
      <c r="D11" s="3">
        <f>O13</f>
        <v>0.15594596268239136</v>
      </c>
      <c r="E11" s="3">
        <f>D11</f>
        <v>0.15594596268239136</v>
      </c>
      <c r="F11" s="3">
        <f>E11</f>
        <v>0.15594596268239136</v>
      </c>
      <c r="O11" s="3"/>
      <c r="P11" s="3"/>
      <c r="Q11" s="3"/>
    </row>
    <row r="12" spans="1:22" x14ac:dyDescent="0.25">
      <c r="A12" s="4" t="s">
        <v>13</v>
      </c>
      <c r="B12" s="1" t="s">
        <v>32</v>
      </c>
      <c r="C12" s="3" t="s">
        <v>32</v>
      </c>
      <c r="D12" s="3">
        <f>O14</f>
        <v>7.990619575461376E-2</v>
      </c>
      <c r="E12" s="3">
        <f>D12</f>
        <v>7.990619575461376E-2</v>
      </c>
      <c r="F12" s="3">
        <f>E12</f>
        <v>7.990619575461376E-2</v>
      </c>
      <c r="N12" s="10" t="s">
        <v>30</v>
      </c>
      <c r="O12" s="10"/>
      <c r="P12" s="10"/>
      <c r="Q12" s="10"/>
      <c r="R12" s="10"/>
    </row>
    <row r="13" spans="1:22" ht="17.25" x14ac:dyDescent="0.25">
      <c r="N13" s="1" t="s">
        <v>11</v>
      </c>
      <c r="O13" s="3">
        <f>0.1331*596.2/550.8*596.2/550.8</f>
        <v>0.15594596268239136</v>
      </c>
      <c r="P13" s="3">
        <v>0</v>
      </c>
      <c r="Q13" s="3">
        <v>0</v>
      </c>
      <c r="R13" s="1" t="s">
        <v>12</v>
      </c>
    </row>
    <row r="14" spans="1:22" ht="17.25" x14ac:dyDescent="0.25">
      <c r="A14" s="10" t="s">
        <v>5</v>
      </c>
      <c r="B14" s="10"/>
      <c r="C14" s="10"/>
      <c r="D14" s="1" t="s">
        <v>24</v>
      </c>
      <c r="E14" s="1" t="s">
        <v>19</v>
      </c>
      <c r="F14" s="1" t="s">
        <v>20</v>
      </c>
      <c r="N14" s="1" t="s">
        <v>13</v>
      </c>
      <c r="O14" s="3">
        <f>0.0682*596.2/550.8*596.2/550.8</f>
        <v>7.990619575461376E-2</v>
      </c>
      <c r="P14" s="3">
        <v>0</v>
      </c>
      <c r="Q14" s="3">
        <v>0</v>
      </c>
      <c r="R14" s="1" t="s">
        <v>12</v>
      </c>
    </row>
    <row r="15" spans="1:22" x14ac:dyDescent="0.25">
      <c r="A15" s="4" t="s">
        <v>0</v>
      </c>
      <c r="B15" s="3">
        <v>1</v>
      </c>
      <c r="C15" s="1" t="s">
        <v>6</v>
      </c>
      <c r="D15" s="3">
        <f>SUM(D16:D25)</f>
        <v>0.38345283997124435</v>
      </c>
      <c r="E15" s="3">
        <f t="shared" ref="E15:F15" si="6">SUM(E16:E25)</f>
        <v>0.30965249920412474</v>
      </c>
      <c r="F15" s="3">
        <f t="shared" si="6"/>
        <v>0.45725318073836396</v>
      </c>
      <c r="N15" s="1"/>
      <c r="O15" s="1"/>
      <c r="P15" s="1"/>
      <c r="Q15" s="1"/>
    </row>
    <row r="16" spans="1:22" x14ac:dyDescent="0.25">
      <c r="A16" s="4" t="s">
        <v>1</v>
      </c>
      <c r="B16" s="3">
        <v>0.62178</v>
      </c>
      <c r="C16" s="2" t="s">
        <v>7</v>
      </c>
      <c r="D16" s="3">
        <f t="shared" ref="D16:F23" si="7">$B16*O3</f>
        <v>7.6633199378590908E-2</v>
      </c>
      <c r="E16" s="3">
        <f t="shared" si="7"/>
        <v>3.8316599689295454E-2</v>
      </c>
      <c r="F16" s="3">
        <f t="shared" si="7"/>
        <v>0.11494979906788635</v>
      </c>
      <c r="N16" s="10" t="s">
        <v>31</v>
      </c>
      <c r="O16" s="10"/>
      <c r="P16" s="10"/>
      <c r="Q16" s="10"/>
      <c r="R16" s="10"/>
    </row>
    <row r="17" spans="1:18" ht="17.25" x14ac:dyDescent="0.25">
      <c r="A17" s="4" t="s">
        <v>2</v>
      </c>
      <c r="B17" s="3">
        <v>13.952</v>
      </c>
      <c r="C17" s="2" t="s">
        <v>7</v>
      </c>
      <c r="D17" s="3">
        <f t="shared" si="7"/>
        <v>4.6982442515648322E-2</v>
      </c>
      <c r="E17" s="3">
        <f t="shared" si="7"/>
        <v>2.3491221257824161E-2</v>
      </c>
      <c r="F17" s="3">
        <f t="shared" si="7"/>
        <v>7.0473663773472486E-2</v>
      </c>
      <c r="N17" s="1" t="s">
        <v>11</v>
      </c>
      <c r="O17" s="3">
        <f>0.0799*596.2/550.8*596.2/550.8</f>
        <v>9.3614443413396489E-2</v>
      </c>
      <c r="P17" s="3">
        <v>0</v>
      </c>
      <c r="Q17" s="3">
        <v>0</v>
      </c>
      <c r="R17" s="1" t="s">
        <v>12</v>
      </c>
    </row>
    <row r="18" spans="1:18" ht="17.25" x14ac:dyDescent="0.25">
      <c r="A18" s="4" t="s">
        <v>3</v>
      </c>
      <c r="B18" s="3">
        <v>0.23747563999999999</v>
      </c>
      <c r="C18" s="1" t="s">
        <v>8</v>
      </c>
      <c r="D18" s="3">
        <f t="shared" si="7"/>
        <v>2.3985039639999997E-2</v>
      </c>
      <c r="E18" s="3">
        <f t="shared" si="7"/>
        <v>1.1992519819999999E-2</v>
      </c>
      <c r="F18" s="3">
        <f t="shared" si="7"/>
        <v>3.5977559459999996E-2</v>
      </c>
      <c r="N18" s="1" t="s">
        <v>13</v>
      </c>
      <c r="O18" s="3">
        <f>0.0491*596.2/550.8*596.2/550.8</f>
        <v>5.7527774362925742E-2</v>
      </c>
      <c r="P18" s="3">
        <v>0</v>
      </c>
      <c r="Q18" s="3">
        <v>0</v>
      </c>
      <c r="R18" s="1" t="s">
        <v>12</v>
      </c>
    </row>
    <row r="19" spans="1:18" x14ac:dyDescent="0.25">
      <c r="A19" s="4" t="s">
        <v>28</v>
      </c>
      <c r="B19" s="3">
        <v>0</v>
      </c>
      <c r="C19" s="1" t="s">
        <v>6</v>
      </c>
      <c r="D19" s="3">
        <f t="shared" si="7"/>
        <v>0</v>
      </c>
      <c r="E19" s="3">
        <f t="shared" si="7"/>
        <v>0</v>
      </c>
      <c r="F19" s="3">
        <f t="shared" si="7"/>
        <v>0</v>
      </c>
    </row>
    <row r="20" spans="1:18" x14ac:dyDescent="0.25">
      <c r="A20" s="4" t="s">
        <v>29</v>
      </c>
      <c r="B20" s="3">
        <v>0</v>
      </c>
      <c r="C20" s="1" t="s">
        <v>6</v>
      </c>
      <c r="D20" s="3">
        <f t="shared" si="7"/>
        <v>0</v>
      </c>
      <c r="E20" s="3">
        <f t="shared" si="7"/>
        <v>0</v>
      </c>
      <c r="F20" s="3">
        <f t="shared" si="7"/>
        <v>0</v>
      </c>
    </row>
    <row r="21" spans="1:18" x14ac:dyDescent="0.25">
      <c r="A21" s="4" t="s">
        <v>4</v>
      </c>
      <c r="B21" s="3">
        <v>0</v>
      </c>
      <c r="C21" s="1" t="s">
        <v>6</v>
      </c>
      <c r="D21" s="3">
        <f t="shared" si="7"/>
        <v>0</v>
      </c>
      <c r="E21" s="3">
        <f t="shared" si="7"/>
        <v>0</v>
      </c>
      <c r="F21" s="3">
        <f t="shared" si="7"/>
        <v>0</v>
      </c>
    </row>
    <row r="22" spans="1:18" ht="18" x14ac:dyDescent="0.35">
      <c r="A22" s="4" t="s">
        <v>25</v>
      </c>
      <c r="B22" s="3">
        <v>0.14326</v>
      </c>
      <c r="C22" s="1" t="s">
        <v>6</v>
      </c>
      <c r="D22" s="3">
        <f t="shared" si="7"/>
        <v>0</v>
      </c>
      <c r="E22" s="3">
        <f t="shared" si="7"/>
        <v>0</v>
      </c>
      <c r="F22" s="3">
        <f t="shared" si="7"/>
        <v>0</v>
      </c>
    </row>
    <row r="23" spans="1:18" ht="18" x14ac:dyDescent="0.35">
      <c r="A23" s="4" t="s">
        <v>26</v>
      </c>
      <c r="B23" s="3">
        <v>0</v>
      </c>
      <c r="C23" s="1" t="s">
        <v>6</v>
      </c>
      <c r="D23" s="3">
        <f t="shared" si="7"/>
        <v>0</v>
      </c>
      <c r="E23" s="3">
        <f t="shared" si="7"/>
        <v>0</v>
      </c>
      <c r="F23" s="3">
        <f t="shared" si="7"/>
        <v>0</v>
      </c>
    </row>
    <row r="24" spans="1:18" x14ac:dyDescent="0.25">
      <c r="A24" s="4" t="s">
        <v>11</v>
      </c>
      <c r="B24" s="3" t="s">
        <v>32</v>
      </c>
      <c r="C24" s="3" t="s">
        <v>32</v>
      </c>
      <c r="D24" s="3">
        <f>O13</f>
        <v>0.15594596268239136</v>
      </c>
      <c r="E24" s="3">
        <f>D24</f>
        <v>0.15594596268239136</v>
      </c>
      <c r="F24" s="3">
        <f t="shared" ref="F24:F25" si="8">E24</f>
        <v>0.15594596268239136</v>
      </c>
    </row>
    <row r="25" spans="1:18" x14ac:dyDescent="0.25">
      <c r="A25" s="4" t="s">
        <v>13</v>
      </c>
      <c r="B25" s="1" t="s">
        <v>32</v>
      </c>
      <c r="C25" s="3" t="s">
        <v>32</v>
      </c>
      <c r="D25" s="3">
        <f>O14</f>
        <v>7.990619575461376E-2</v>
      </c>
      <c r="E25" s="3">
        <f t="shared" ref="E25" si="9">D25</f>
        <v>7.990619575461376E-2</v>
      </c>
      <c r="F25" s="3">
        <f t="shared" si="8"/>
        <v>7.990619575461376E-2</v>
      </c>
    </row>
    <row r="26" spans="1:18" x14ac:dyDescent="0.25">
      <c r="N26" s="10"/>
      <c r="O26" s="10"/>
      <c r="P26" s="10"/>
      <c r="Q26" s="10"/>
      <c r="R26" s="10"/>
    </row>
    <row r="27" spans="1:18" x14ac:dyDescent="0.25">
      <c r="A27" s="10" t="s">
        <v>14</v>
      </c>
      <c r="B27" s="10"/>
      <c r="C27" s="10"/>
      <c r="D27" s="1" t="s">
        <v>24</v>
      </c>
      <c r="E27" s="1" t="s">
        <v>19</v>
      </c>
      <c r="F27" s="1" t="s">
        <v>20</v>
      </c>
      <c r="N27" s="1"/>
      <c r="O27" s="1"/>
      <c r="P27" s="1"/>
      <c r="Q27" s="1"/>
    </row>
    <row r="28" spans="1:18" x14ac:dyDescent="0.25">
      <c r="A28" s="4" t="s">
        <v>0</v>
      </c>
      <c r="B28" s="3">
        <v>1</v>
      </c>
      <c r="C28" s="1" t="s">
        <v>6</v>
      </c>
      <c r="D28" s="3">
        <f>SUM(D29:D38)</f>
        <v>1.2218569569350208</v>
      </c>
      <c r="E28" s="3">
        <f t="shared" ref="E28:F28" si="10">SUM(E29:E38)</f>
        <v>0.79209958735567165</v>
      </c>
      <c r="F28" s="3">
        <f t="shared" si="10"/>
        <v>1.6516143265143699</v>
      </c>
      <c r="O28" s="3"/>
      <c r="P28" s="3"/>
      <c r="Q28" s="3"/>
    </row>
    <row r="29" spans="1:18" x14ac:dyDescent="0.25">
      <c r="A29" s="4" t="s">
        <v>1</v>
      </c>
      <c r="B29" s="3">
        <v>0</v>
      </c>
      <c r="C29" s="2" t="s">
        <v>7</v>
      </c>
      <c r="D29" s="3">
        <f t="shared" ref="D29:F36" si="11">$B29*O3</f>
        <v>0</v>
      </c>
      <c r="E29" s="3">
        <f t="shared" si="11"/>
        <v>0</v>
      </c>
      <c r="F29" s="3">
        <f t="shared" si="11"/>
        <v>0</v>
      </c>
      <c r="O29" s="3"/>
      <c r="P29" s="3"/>
      <c r="Q29" s="3"/>
    </row>
    <row r="30" spans="1:18" x14ac:dyDescent="0.25">
      <c r="A30" s="4" t="s">
        <v>2</v>
      </c>
      <c r="B30" s="3">
        <v>0</v>
      </c>
      <c r="C30" s="2" t="s">
        <v>10</v>
      </c>
      <c r="D30" s="3">
        <f t="shared" si="11"/>
        <v>0</v>
      </c>
      <c r="E30" s="3">
        <f t="shared" si="11"/>
        <v>0</v>
      </c>
      <c r="F30" s="3">
        <f t="shared" si="11"/>
        <v>0</v>
      </c>
    </row>
    <row r="31" spans="1:18" x14ac:dyDescent="0.25">
      <c r="A31" s="4" t="s">
        <v>3</v>
      </c>
      <c r="B31" s="3">
        <v>0.55600000000000005</v>
      </c>
      <c r="C31" s="1" t="s">
        <v>8</v>
      </c>
      <c r="D31" s="3">
        <f t="shared" si="11"/>
        <v>5.6155999999999998E-2</v>
      </c>
      <c r="E31" s="3">
        <f t="shared" si="11"/>
        <v>2.8077999999999999E-2</v>
      </c>
      <c r="F31" s="3">
        <f t="shared" si="11"/>
        <v>8.4234000000000003E-2</v>
      </c>
    </row>
    <row r="32" spans="1:18" x14ac:dyDescent="0.25">
      <c r="A32" s="4" t="s">
        <v>28</v>
      </c>
      <c r="B32" s="3">
        <v>0.17599999999999999</v>
      </c>
      <c r="C32" s="1" t="s">
        <v>6</v>
      </c>
      <c r="D32" s="3">
        <f t="shared" si="11"/>
        <v>0.92927999999999999</v>
      </c>
      <c r="E32" s="3">
        <f t="shared" si="11"/>
        <v>0.57023999999999997</v>
      </c>
      <c r="F32" s="3">
        <f t="shared" si="11"/>
        <v>1.2883199999999999</v>
      </c>
    </row>
    <row r="33" spans="1:18" x14ac:dyDescent="0.25">
      <c r="A33" s="4" t="s">
        <v>29</v>
      </c>
      <c r="B33" s="3">
        <v>0</v>
      </c>
      <c r="C33" s="1" t="s">
        <v>6</v>
      </c>
      <c r="D33" s="3">
        <f t="shared" si="11"/>
        <v>0</v>
      </c>
      <c r="E33" s="3">
        <f t="shared" si="11"/>
        <v>0</v>
      </c>
      <c r="F33" s="3">
        <f t="shared" si="11"/>
        <v>0</v>
      </c>
    </row>
    <row r="34" spans="1:18" x14ac:dyDescent="0.25">
      <c r="A34" s="4" t="s">
        <v>4</v>
      </c>
      <c r="B34" s="3">
        <v>0.81499999999999995</v>
      </c>
      <c r="C34" s="1" t="s">
        <v>6</v>
      </c>
      <c r="D34" s="3">
        <f t="shared" si="11"/>
        <v>8.527873915869863E-2</v>
      </c>
      <c r="E34" s="3">
        <f t="shared" si="11"/>
        <v>4.2639369579349315E-2</v>
      </c>
      <c r="F34" s="3">
        <f t="shared" si="11"/>
        <v>0.12791810873804793</v>
      </c>
    </row>
    <row r="35" spans="1:18" ht="18" x14ac:dyDescent="0.35">
      <c r="A35" s="4" t="s">
        <v>25</v>
      </c>
      <c r="B35" s="3">
        <v>0</v>
      </c>
      <c r="C35" s="1" t="s">
        <v>6</v>
      </c>
      <c r="D35" s="3">
        <f t="shared" si="11"/>
        <v>0</v>
      </c>
      <c r="E35" s="3">
        <f t="shared" si="11"/>
        <v>0</v>
      </c>
      <c r="F35" s="3">
        <f t="shared" si="11"/>
        <v>0</v>
      </c>
    </row>
    <row r="36" spans="1:18" ht="18" x14ac:dyDescent="0.35">
      <c r="A36" s="4" t="s">
        <v>26</v>
      </c>
      <c r="B36" s="3">
        <v>0</v>
      </c>
      <c r="C36" s="1" t="s">
        <v>6</v>
      </c>
      <c r="D36" s="3">
        <f t="shared" si="11"/>
        <v>0</v>
      </c>
      <c r="E36" s="3">
        <f t="shared" si="11"/>
        <v>0</v>
      </c>
      <c r="F36" s="3">
        <f t="shared" si="11"/>
        <v>0</v>
      </c>
    </row>
    <row r="37" spans="1:18" x14ac:dyDescent="0.25">
      <c r="A37" s="4" t="s">
        <v>11</v>
      </c>
      <c r="B37" s="3" t="s">
        <v>32</v>
      </c>
      <c r="C37" s="3" t="s">
        <v>32</v>
      </c>
      <c r="D37" s="3">
        <f>O17</f>
        <v>9.3614443413396489E-2</v>
      </c>
      <c r="E37" s="3">
        <f>D37</f>
        <v>9.3614443413396489E-2</v>
      </c>
      <c r="F37" s="3">
        <f t="shared" ref="F37:F38" si="12">E37</f>
        <v>9.3614443413396489E-2</v>
      </c>
      <c r="N37" s="10"/>
      <c r="O37" s="10"/>
      <c r="P37" s="10"/>
      <c r="Q37" s="10"/>
      <c r="R37" s="10"/>
    </row>
    <row r="38" spans="1:18" x14ac:dyDescent="0.25">
      <c r="A38" s="4" t="s">
        <v>13</v>
      </c>
      <c r="B38" s="1" t="s">
        <v>32</v>
      </c>
      <c r="C38" s="3" t="s">
        <v>32</v>
      </c>
      <c r="D38" s="3">
        <f>O18</f>
        <v>5.7527774362925742E-2</v>
      </c>
      <c r="E38" s="3">
        <f t="shared" ref="E38" si="13">D38</f>
        <v>5.7527774362925742E-2</v>
      </c>
      <c r="F38" s="3">
        <f t="shared" si="12"/>
        <v>5.7527774362925742E-2</v>
      </c>
      <c r="N38" s="1"/>
      <c r="O38" s="1"/>
      <c r="P38" s="1"/>
      <c r="Q38" s="1"/>
    </row>
    <row r="39" spans="1:18" x14ac:dyDescent="0.25">
      <c r="O39" s="3"/>
      <c r="P39" s="3"/>
      <c r="Q39" s="3"/>
    </row>
    <row r="40" spans="1:18" x14ac:dyDescent="0.25">
      <c r="A40" s="10" t="s">
        <v>15</v>
      </c>
      <c r="B40" s="10"/>
      <c r="C40" s="10"/>
      <c r="D40" s="1" t="s">
        <v>24</v>
      </c>
      <c r="E40" s="1" t="s">
        <v>19</v>
      </c>
      <c r="F40" s="1" t="s">
        <v>20</v>
      </c>
      <c r="O40" s="3"/>
      <c r="P40" s="3"/>
      <c r="Q40" s="3"/>
    </row>
    <row r="41" spans="1:18" x14ac:dyDescent="0.25">
      <c r="A41" s="4" t="s">
        <v>0</v>
      </c>
      <c r="B41" s="3">
        <v>1</v>
      </c>
      <c r="C41" s="1" t="s">
        <v>6</v>
      </c>
      <c r="D41" s="3">
        <f>SUM(D42:D51)</f>
        <v>1.1637769569350207</v>
      </c>
      <c r="E41" s="3">
        <f t="shared" ref="E41:F41" si="14">SUM(E42:E51)</f>
        <v>0.75654758735567162</v>
      </c>
      <c r="F41" s="3">
        <f t="shared" si="14"/>
        <v>1.5711823265143701</v>
      </c>
    </row>
    <row r="42" spans="1:18" x14ac:dyDescent="0.25">
      <c r="A42" s="4" t="s">
        <v>1</v>
      </c>
      <c r="B42" s="3">
        <v>0</v>
      </c>
      <c r="C42" s="2" t="s">
        <v>7</v>
      </c>
      <c r="D42" s="3">
        <f t="shared" ref="D42:F49" si="15">$B42*O3</f>
        <v>0</v>
      </c>
      <c r="E42" s="3">
        <f t="shared" si="15"/>
        <v>0</v>
      </c>
      <c r="F42" s="3">
        <f t="shared" si="15"/>
        <v>0</v>
      </c>
    </row>
    <row r="43" spans="1:18" x14ac:dyDescent="0.25">
      <c r="A43" s="4" t="s">
        <v>2</v>
      </c>
      <c r="B43" s="3">
        <v>0</v>
      </c>
      <c r="C43" s="2" t="s">
        <v>10</v>
      </c>
      <c r="D43" s="3">
        <f t="shared" si="15"/>
        <v>0</v>
      </c>
      <c r="E43" s="3">
        <f t="shared" si="15"/>
        <v>0</v>
      </c>
      <c r="F43" s="3">
        <f t="shared" si="15"/>
        <v>0</v>
      </c>
    </row>
    <row r="44" spans="1:18" x14ac:dyDescent="0.25">
      <c r="A44" s="4" t="s">
        <v>3</v>
      </c>
      <c r="B44" s="3">
        <v>0.55600000000000005</v>
      </c>
      <c r="C44" s="1" t="s">
        <v>8</v>
      </c>
      <c r="D44" s="3">
        <f t="shared" si="15"/>
        <v>5.6155999999999998E-2</v>
      </c>
      <c r="E44" s="3">
        <f t="shared" si="15"/>
        <v>2.8077999999999999E-2</v>
      </c>
      <c r="F44" s="3">
        <f t="shared" si="15"/>
        <v>8.4234000000000003E-2</v>
      </c>
    </row>
    <row r="45" spans="1:18" x14ac:dyDescent="0.25">
      <c r="A45" s="4" t="s">
        <v>28</v>
      </c>
      <c r="B45" s="3">
        <v>0</v>
      </c>
      <c r="C45" s="1" t="s">
        <v>6</v>
      </c>
      <c r="D45" s="3">
        <f t="shared" si="15"/>
        <v>0</v>
      </c>
      <c r="E45" s="3">
        <f t="shared" si="15"/>
        <v>0</v>
      </c>
      <c r="F45" s="3">
        <f t="shared" si="15"/>
        <v>0</v>
      </c>
    </row>
    <row r="46" spans="1:18" x14ac:dyDescent="0.25">
      <c r="A46" s="4" t="s">
        <v>29</v>
      </c>
      <c r="B46" s="3">
        <v>0.17599999999999999</v>
      </c>
      <c r="C46" s="1" t="s">
        <v>6</v>
      </c>
      <c r="D46" s="3">
        <f t="shared" si="15"/>
        <v>0.87119999999999997</v>
      </c>
      <c r="E46" s="3">
        <f t="shared" si="15"/>
        <v>0.53468799999999994</v>
      </c>
      <c r="F46" s="3">
        <f t="shared" si="15"/>
        <v>1.2078880000000001</v>
      </c>
    </row>
    <row r="47" spans="1:18" x14ac:dyDescent="0.25">
      <c r="A47" s="4" t="s">
        <v>4</v>
      </c>
      <c r="B47" s="3">
        <v>0.81499999999999995</v>
      </c>
      <c r="C47" s="1" t="s">
        <v>6</v>
      </c>
      <c r="D47" s="3">
        <f t="shared" si="15"/>
        <v>8.527873915869863E-2</v>
      </c>
      <c r="E47" s="3">
        <f t="shared" si="15"/>
        <v>4.2639369579349315E-2</v>
      </c>
      <c r="F47" s="3">
        <f t="shared" si="15"/>
        <v>0.12791810873804793</v>
      </c>
    </row>
    <row r="48" spans="1:18" ht="18" x14ac:dyDescent="0.35">
      <c r="A48" s="4" t="s">
        <v>25</v>
      </c>
      <c r="B48" s="3">
        <v>0</v>
      </c>
      <c r="C48" s="1" t="s">
        <v>6</v>
      </c>
      <c r="D48" s="3">
        <f t="shared" si="15"/>
        <v>0</v>
      </c>
      <c r="E48" s="3">
        <f t="shared" si="15"/>
        <v>0</v>
      </c>
      <c r="F48" s="3">
        <f t="shared" si="15"/>
        <v>0</v>
      </c>
    </row>
    <row r="49" spans="1:6" ht="18" x14ac:dyDescent="0.35">
      <c r="A49" s="4" t="s">
        <v>26</v>
      </c>
      <c r="B49" s="3">
        <v>0</v>
      </c>
      <c r="C49" s="1" t="s">
        <v>6</v>
      </c>
      <c r="D49" s="3">
        <f t="shared" si="15"/>
        <v>0</v>
      </c>
      <c r="E49" s="3">
        <f t="shared" si="15"/>
        <v>0</v>
      </c>
      <c r="F49" s="3">
        <f t="shared" si="15"/>
        <v>0</v>
      </c>
    </row>
    <row r="50" spans="1:6" x14ac:dyDescent="0.25">
      <c r="A50" s="4" t="s">
        <v>11</v>
      </c>
      <c r="B50" s="3" t="s">
        <v>32</v>
      </c>
      <c r="C50" s="3" t="s">
        <v>32</v>
      </c>
      <c r="D50" s="3">
        <f>O17</f>
        <v>9.3614443413396489E-2</v>
      </c>
      <c r="E50" s="3">
        <f>D50</f>
        <v>9.3614443413396489E-2</v>
      </c>
      <c r="F50" s="3">
        <f t="shared" ref="F50:F51" si="16">E50</f>
        <v>9.3614443413396489E-2</v>
      </c>
    </row>
    <row r="51" spans="1:6" x14ac:dyDescent="0.25">
      <c r="A51" s="4" t="s">
        <v>13</v>
      </c>
      <c r="B51" s="1" t="s">
        <v>32</v>
      </c>
      <c r="C51" s="3" t="s">
        <v>32</v>
      </c>
      <c r="D51" s="3">
        <f>O18</f>
        <v>5.7527774362925742E-2</v>
      </c>
      <c r="E51" s="3">
        <f t="shared" ref="E51" si="17">D51</f>
        <v>5.7527774362925742E-2</v>
      </c>
      <c r="F51" s="3">
        <f t="shared" si="16"/>
        <v>5.7527774362925742E-2</v>
      </c>
    </row>
  </sheetData>
  <mergeCells count="9">
    <mergeCell ref="A27:C27"/>
    <mergeCell ref="N37:R37"/>
    <mergeCell ref="A40:C40"/>
    <mergeCell ref="A1:C1"/>
    <mergeCell ref="N1:R1"/>
    <mergeCell ref="N12:R12"/>
    <mergeCell ref="A14:C14"/>
    <mergeCell ref="N16:R16"/>
    <mergeCell ref="N26:R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FB47-E18B-454B-BC6D-DB219CFDE4C8}">
  <dimension ref="A1:V51"/>
  <sheetViews>
    <sheetView tabSelected="1" workbookViewId="0">
      <selection activeCell="K23" sqref="K23"/>
    </sheetView>
  </sheetViews>
  <sheetFormatPr defaultRowHeight="15" x14ac:dyDescent="0.25"/>
  <cols>
    <col min="1" max="1" width="22.5703125" style="5" bestFit="1" customWidth="1"/>
    <col min="2" max="2" width="21.140625" bestFit="1" customWidth="1"/>
    <col min="3" max="3" width="12.85546875" bestFit="1" customWidth="1"/>
    <col min="4" max="6" width="9.5703125" bestFit="1" customWidth="1"/>
    <col min="14" max="14" width="22.85546875" bestFit="1" customWidth="1"/>
    <col min="15" max="15" width="21.140625" bestFit="1" customWidth="1"/>
    <col min="18" max="18" width="21.140625" bestFit="1" customWidth="1"/>
  </cols>
  <sheetData>
    <row r="1" spans="1:22" x14ac:dyDescent="0.25">
      <c r="A1" s="10" t="s">
        <v>9</v>
      </c>
      <c r="B1" s="10"/>
      <c r="C1" s="10"/>
      <c r="D1" s="1" t="s">
        <v>24</v>
      </c>
      <c r="E1" s="1" t="s">
        <v>19</v>
      </c>
      <c r="F1" s="1" t="s">
        <v>20</v>
      </c>
      <c r="N1" s="10" t="s">
        <v>17</v>
      </c>
      <c r="O1" s="10"/>
      <c r="P1" s="10"/>
      <c r="Q1" s="10"/>
      <c r="R1" s="10"/>
    </row>
    <row r="2" spans="1:22" x14ac:dyDescent="0.25">
      <c r="A2" s="5" t="s">
        <v>0</v>
      </c>
      <c r="B2" s="3">
        <v>1</v>
      </c>
      <c r="C2" s="1" t="s">
        <v>6</v>
      </c>
      <c r="D2" s="3">
        <f>SUM(D3:D12)</f>
        <v>0.38850930229280639</v>
      </c>
      <c r="E2" s="3">
        <f t="shared" ref="E2:F2" si="0">SUM(E3:E12)</f>
        <v>0.32190085381537781</v>
      </c>
      <c r="F2" s="3">
        <f t="shared" si="0"/>
        <v>0.45511775077023492</v>
      </c>
      <c r="N2" s="1" t="s">
        <v>18</v>
      </c>
      <c r="O2" s="1" t="s">
        <v>16</v>
      </c>
      <c r="P2" s="1" t="s">
        <v>19</v>
      </c>
      <c r="Q2" s="1" t="s">
        <v>20</v>
      </c>
    </row>
    <row r="3" spans="1:22" ht="17.25" x14ac:dyDescent="0.25">
      <c r="A3" s="5" t="s">
        <v>1</v>
      </c>
      <c r="B3" s="3">
        <v>0.62178</v>
      </c>
      <c r="C3" s="2" t="s">
        <v>7</v>
      </c>
      <c r="D3" s="3">
        <f>$B3*O3</f>
        <v>7.9655353720281818E-2</v>
      </c>
      <c r="E3" s="3">
        <f>$B3*P3</f>
        <v>3.9827676860140909E-2</v>
      </c>
      <c r="F3" s="3">
        <f>$B3*Q3</f>
        <v>0.11948303058042274</v>
      </c>
      <c r="N3" t="s">
        <v>1</v>
      </c>
      <c r="O3" s="3">
        <v>0.12810858136363637</v>
      </c>
      <c r="P3" s="3">
        <f>O3*0.5</f>
        <v>6.4054290681818185E-2</v>
      </c>
      <c r="Q3" s="3">
        <f>O3*1.5</f>
        <v>0.19216287204545457</v>
      </c>
      <c r="R3" t="s">
        <v>22</v>
      </c>
    </row>
    <row r="4" spans="1:22" x14ac:dyDescent="0.25">
      <c r="A4" s="5" t="s">
        <v>2</v>
      </c>
      <c r="B4" s="3">
        <v>13.952</v>
      </c>
      <c r="C4" s="2" t="s">
        <v>10</v>
      </c>
      <c r="D4" s="3">
        <f t="shared" ref="D4:F7" si="1">$B4*O4</f>
        <v>4.8835271234575234E-2</v>
      </c>
      <c r="E4" s="3">
        <f t="shared" si="1"/>
        <v>2.4417635617287617E-2</v>
      </c>
      <c r="F4" s="3">
        <f t="shared" si="1"/>
        <v>7.3252906851862851E-2</v>
      </c>
      <c r="N4" t="s">
        <v>2</v>
      </c>
      <c r="O4" s="3">
        <f>3.50023446348733/1000</f>
        <v>3.5002344634873302E-3</v>
      </c>
      <c r="P4" s="3">
        <f t="shared" ref="P4:P5" si="2">O4*0.5</f>
        <v>1.7501172317436651E-3</v>
      </c>
      <c r="Q4" s="3">
        <f t="shared" ref="Q4:Q5" si="3">O4*1.5</f>
        <v>5.2503516952309955E-3</v>
      </c>
      <c r="R4" t="s">
        <v>23</v>
      </c>
      <c r="T4" s="3">
        <f>O4*1000</f>
        <v>3.5002344634873301</v>
      </c>
      <c r="U4" s="3">
        <f t="shared" ref="U4:V4" si="4">P4*1000</f>
        <v>1.7501172317436651</v>
      </c>
      <c r="V4" s="3">
        <f t="shared" si="4"/>
        <v>5.2503516952309957</v>
      </c>
    </row>
    <row r="5" spans="1:22" x14ac:dyDescent="0.25">
      <c r="A5" s="5" t="s">
        <v>3</v>
      </c>
      <c r="B5" s="3">
        <v>4.9231999999999998E-2</v>
      </c>
      <c r="C5" s="1" t="s">
        <v>8</v>
      </c>
      <c r="D5" s="3">
        <f t="shared" si="1"/>
        <v>4.7262720000000001E-3</v>
      </c>
      <c r="E5" s="3">
        <f t="shared" si="1"/>
        <v>2.3631360000000001E-3</v>
      </c>
      <c r="F5" s="3">
        <f t="shared" si="1"/>
        <v>7.0894080000000002E-3</v>
      </c>
      <c r="N5" t="s">
        <v>3</v>
      </c>
      <c r="O5" s="3">
        <v>9.6000000000000002E-2</v>
      </c>
      <c r="P5" s="3">
        <f t="shared" si="2"/>
        <v>4.8000000000000001E-2</v>
      </c>
      <c r="Q5" s="3">
        <f t="shared" si="3"/>
        <v>0.14400000000000002</v>
      </c>
      <c r="R5" t="s">
        <v>27</v>
      </c>
    </row>
    <row r="6" spans="1:22" x14ac:dyDescent="0.25">
      <c r="A6" s="5" t="s">
        <v>28</v>
      </c>
      <c r="B6" s="3">
        <v>0</v>
      </c>
      <c r="C6" s="1" t="s">
        <v>6</v>
      </c>
      <c r="D6" s="3">
        <f t="shared" si="1"/>
        <v>0</v>
      </c>
      <c r="E6" s="3">
        <f t="shared" si="1"/>
        <v>0</v>
      </c>
      <c r="F6" s="3">
        <f t="shared" si="1"/>
        <v>0</v>
      </c>
      <c r="N6" t="s">
        <v>28</v>
      </c>
      <c r="O6" s="3">
        <v>3.927</v>
      </c>
      <c r="P6" s="3">
        <v>2.5329999999999999</v>
      </c>
      <c r="Q6" s="3">
        <v>5.32</v>
      </c>
      <c r="R6" t="s">
        <v>21</v>
      </c>
    </row>
    <row r="7" spans="1:22" x14ac:dyDescent="0.25">
      <c r="A7" s="5" t="s">
        <v>29</v>
      </c>
      <c r="B7" s="3">
        <v>0</v>
      </c>
      <c r="C7" s="1" t="s">
        <v>6</v>
      </c>
      <c r="D7" s="3">
        <f t="shared" si="1"/>
        <v>0</v>
      </c>
      <c r="E7" s="3">
        <f t="shared" si="1"/>
        <v>0</v>
      </c>
      <c r="F7" s="3">
        <f t="shared" si="1"/>
        <v>0</v>
      </c>
      <c r="N7" t="s">
        <v>29</v>
      </c>
      <c r="O7" s="3">
        <v>3.5</v>
      </c>
      <c r="P7" s="3">
        <v>2.4</v>
      </c>
      <c r="Q7" s="3">
        <v>4.5999999999999996</v>
      </c>
      <c r="R7" t="s">
        <v>21</v>
      </c>
    </row>
    <row r="8" spans="1:22" x14ac:dyDescent="0.25">
      <c r="A8" s="5" t="s">
        <v>4</v>
      </c>
      <c r="B8" s="3">
        <v>0</v>
      </c>
      <c r="C8" s="1" t="s">
        <v>6</v>
      </c>
      <c r="D8" s="3">
        <f t="shared" ref="D8:F10" si="5">$B8*O8</f>
        <v>0</v>
      </c>
      <c r="E8" s="3">
        <f t="shared" si="5"/>
        <v>0</v>
      </c>
      <c r="F8" s="3">
        <f t="shared" si="5"/>
        <v>0</v>
      </c>
      <c r="N8" t="s">
        <v>4</v>
      </c>
      <c r="O8" s="3">
        <f>91/1000*596.2/607.5*596.2/550.8*596.2/550.8*596.2/550.8</f>
        <v>0.11326121132544772</v>
      </c>
      <c r="P8" s="3">
        <f>O8*0.5</f>
        <v>5.6630605662723862E-2</v>
      </c>
      <c r="Q8" s="3">
        <f>O8*1.5</f>
        <v>0.16989181698817157</v>
      </c>
      <c r="R8" t="s">
        <v>21</v>
      </c>
    </row>
    <row r="9" spans="1:22" ht="18" x14ac:dyDescent="0.35">
      <c r="A9" s="5" t="s">
        <v>25</v>
      </c>
      <c r="B9" s="3">
        <v>1.4326000000000001</v>
      </c>
      <c r="C9" s="1" t="s">
        <v>6</v>
      </c>
      <c r="D9" s="3">
        <f t="shared" si="5"/>
        <v>0</v>
      </c>
      <c r="E9" s="3">
        <f t="shared" si="5"/>
        <v>0</v>
      </c>
      <c r="F9" s="3">
        <f t="shared" si="5"/>
        <v>0</v>
      </c>
      <c r="N9" t="s">
        <v>25</v>
      </c>
      <c r="O9" s="3">
        <v>0</v>
      </c>
      <c r="P9" s="3">
        <v>0</v>
      </c>
      <c r="Q9" s="3">
        <v>0</v>
      </c>
      <c r="R9" t="s">
        <v>21</v>
      </c>
    </row>
    <row r="10" spans="1:22" ht="18" x14ac:dyDescent="0.35">
      <c r="A10" s="5" t="s">
        <v>26</v>
      </c>
      <c r="B10" s="3">
        <v>0</v>
      </c>
      <c r="C10" s="1" t="s">
        <v>6</v>
      </c>
      <c r="D10" s="3">
        <f t="shared" si="5"/>
        <v>0</v>
      </c>
      <c r="E10" s="3">
        <f t="shared" si="5"/>
        <v>0</v>
      </c>
      <c r="F10" s="3">
        <f t="shared" si="5"/>
        <v>0</v>
      </c>
      <c r="N10" t="s">
        <v>26</v>
      </c>
      <c r="O10" s="3">
        <v>0</v>
      </c>
      <c r="P10" s="3">
        <v>0</v>
      </c>
      <c r="Q10" s="3">
        <v>0</v>
      </c>
      <c r="R10" t="s">
        <v>21</v>
      </c>
    </row>
    <row r="11" spans="1:22" x14ac:dyDescent="0.25">
      <c r="A11" s="5" t="s">
        <v>11</v>
      </c>
      <c r="B11" s="3" t="s">
        <v>32</v>
      </c>
      <c r="C11" s="3" t="s">
        <v>32</v>
      </c>
      <c r="D11" s="3">
        <f>O13</f>
        <v>0.16879989642563861</v>
      </c>
      <c r="E11" s="3">
        <f>D11</f>
        <v>0.16879989642563861</v>
      </c>
      <c r="F11" s="3">
        <f>E11</f>
        <v>0.16879989642563861</v>
      </c>
      <c r="O11" s="3"/>
      <c r="P11" s="3"/>
      <c r="Q11" s="3"/>
    </row>
    <row r="12" spans="1:22" x14ac:dyDescent="0.25">
      <c r="A12" s="5" t="s">
        <v>13</v>
      </c>
      <c r="B12" s="1" t="s">
        <v>32</v>
      </c>
      <c r="C12" s="3" t="s">
        <v>32</v>
      </c>
      <c r="D12" s="3">
        <f>O14</f>
        <v>8.6492508912310695E-2</v>
      </c>
      <c r="E12" s="3">
        <f>D12</f>
        <v>8.6492508912310695E-2</v>
      </c>
      <c r="F12" s="3">
        <f>E12</f>
        <v>8.6492508912310695E-2</v>
      </c>
      <c r="N12" s="10" t="s">
        <v>30</v>
      </c>
      <c r="O12" s="10"/>
      <c r="P12" s="10"/>
      <c r="Q12" s="10"/>
      <c r="R12" s="10"/>
    </row>
    <row r="13" spans="1:22" ht="17.25" x14ac:dyDescent="0.25">
      <c r="N13" s="1" t="s">
        <v>11</v>
      </c>
      <c r="O13" s="3">
        <f>0.1331*596.2/550.8*596.2/550.8*596.2/550.8</f>
        <v>0.16879989642563861</v>
      </c>
      <c r="P13" s="3">
        <v>0</v>
      </c>
      <c r="Q13" s="3">
        <v>0</v>
      </c>
      <c r="R13" s="1" t="s">
        <v>12</v>
      </c>
    </row>
    <row r="14" spans="1:22" ht="17.25" x14ac:dyDescent="0.25">
      <c r="A14" s="10" t="s">
        <v>5</v>
      </c>
      <c r="B14" s="10"/>
      <c r="C14" s="10"/>
      <c r="D14" s="1" t="s">
        <v>24</v>
      </c>
      <c r="E14" s="1" t="s">
        <v>19</v>
      </c>
      <c r="F14" s="1" t="s">
        <v>20</v>
      </c>
      <c r="N14" s="1" t="s">
        <v>13</v>
      </c>
      <c r="O14" s="3">
        <f>0.0682*596.2/550.8*596.2/550.8*596.2/550.8</f>
        <v>8.6492508912310695E-2</v>
      </c>
      <c r="P14" s="3">
        <v>0</v>
      </c>
      <c r="Q14" s="3">
        <v>0</v>
      </c>
      <c r="R14" s="1" t="s">
        <v>12</v>
      </c>
    </row>
    <row r="15" spans="1:22" x14ac:dyDescent="0.25">
      <c r="A15" s="5" t="s">
        <v>0</v>
      </c>
      <c r="B15" s="3">
        <v>1</v>
      </c>
      <c r="C15" s="1" t="s">
        <v>6</v>
      </c>
      <c r="D15" s="3">
        <f>SUM(D16:D25)</f>
        <v>0.40658069173280637</v>
      </c>
      <c r="E15" s="3">
        <f t="shared" ref="E15:F15" si="6">SUM(E16:E25)</f>
        <v>0.33093654853537785</v>
      </c>
      <c r="F15" s="3">
        <f t="shared" si="6"/>
        <v>0.48222483493023488</v>
      </c>
      <c r="N15" s="1"/>
      <c r="O15" s="1"/>
      <c r="P15" s="1"/>
      <c r="Q15" s="1"/>
    </row>
    <row r="16" spans="1:22" x14ac:dyDescent="0.25">
      <c r="A16" s="5" t="s">
        <v>1</v>
      </c>
      <c r="B16" s="3">
        <v>0.62178</v>
      </c>
      <c r="C16" s="2" t="s">
        <v>7</v>
      </c>
      <c r="D16" s="3">
        <f t="shared" ref="D16:F23" si="7">$B16*O3</f>
        <v>7.9655353720281818E-2</v>
      </c>
      <c r="E16" s="3">
        <f t="shared" si="7"/>
        <v>3.9827676860140909E-2</v>
      </c>
      <c r="F16" s="3">
        <f t="shared" si="7"/>
        <v>0.11948303058042274</v>
      </c>
      <c r="N16" s="10" t="s">
        <v>31</v>
      </c>
      <c r="O16" s="10"/>
      <c r="P16" s="10"/>
      <c r="Q16" s="10"/>
      <c r="R16" s="10"/>
    </row>
    <row r="17" spans="1:18" ht="17.25" x14ac:dyDescent="0.25">
      <c r="A17" s="5" t="s">
        <v>2</v>
      </c>
      <c r="B17" s="3">
        <v>13.952</v>
      </c>
      <c r="C17" s="2" t="s">
        <v>7</v>
      </c>
      <c r="D17" s="3">
        <f t="shared" si="7"/>
        <v>4.8835271234575234E-2</v>
      </c>
      <c r="E17" s="3">
        <f t="shared" si="7"/>
        <v>2.4417635617287617E-2</v>
      </c>
      <c r="F17" s="3">
        <f t="shared" si="7"/>
        <v>7.3252906851862851E-2</v>
      </c>
      <c r="N17" s="1" t="s">
        <v>11</v>
      </c>
      <c r="O17" s="3">
        <f>0.0799*596.2/550.8*596.2/550.8*596.2/550.8</f>
        <v>0.10133066659961329</v>
      </c>
      <c r="P17" s="3">
        <v>0</v>
      </c>
      <c r="Q17" s="3">
        <v>0</v>
      </c>
      <c r="R17" s="1" t="s">
        <v>12</v>
      </c>
    </row>
    <row r="18" spans="1:18" ht="17.25" x14ac:dyDescent="0.25">
      <c r="A18" s="5" t="s">
        <v>3</v>
      </c>
      <c r="B18" s="3">
        <v>0.23747563999999999</v>
      </c>
      <c r="C18" s="1" t="s">
        <v>8</v>
      </c>
      <c r="D18" s="3">
        <f t="shared" si="7"/>
        <v>2.2797661439999999E-2</v>
      </c>
      <c r="E18" s="3">
        <f t="shared" si="7"/>
        <v>1.1398830719999999E-2</v>
      </c>
      <c r="F18" s="3">
        <f t="shared" si="7"/>
        <v>3.4196492160000001E-2</v>
      </c>
      <c r="N18" s="1" t="s">
        <v>13</v>
      </c>
      <c r="O18" s="3">
        <f>0.0491*596.2/550.8*596.2/550.8*596.2/550.8</f>
        <v>6.2269533542440698E-2</v>
      </c>
      <c r="P18" s="3">
        <v>0</v>
      </c>
      <c r="Q18" s="3">
        <v>0</v>
      </c>
      <c r="R18" s="1" t="s">
        <v>12</v>
      </c>
    </row>
    <row r="19" spans="1:18" x14ac:dyDescent="0.25">
      <c r="A19" s="5" t="s">
        <v>28</v>
      </c>
      <c r="B19" s="3">
        <v>0</v>
      </c>
      <c r="C19" s="1" t="s">
        <v>6</v>
      </c>
      <c r="D19" s="3">
        <f t="shared" si="7"/>
        <v>0</v>
      </c>
      <c r="E19" s="3">
        <f t="shared" si="7"/>
        <v>0</v>
      </c>
      <c r="F19" s="3">
        <f t="shared" si="7"/>
        <v>0</v>
      </c>
    </row>
    <row r="20" spans="1:18" x14ac:dyDescent="0.25">
      <c r="A20" s="5" t="s">
        <v>29</v>
      </c>
      <c r="B20" s="3">
        <v>0</v>
      </c>
      <c r="C20" s="1" t="s">
        <v>6</v>
      </c>
      <c r="D20" s="3">
        <f t="shared" si="7"/>
        <v>0</v>
      </c>
      <c r="E20" s="3">
        <f t="shared" si="7"/>
        <v>0</v>
      </c>
      <c r="F20" s="3">
        <f t="shared" si="7"/>
        <v>0</v>
      </c>
    </row>
    <row r="21" spans="1:18" x14ac:dyDescent="0.25">
      <c r="A21" s="5" t="s">
        <v>4</v>
      </c>
      <c r="B21" s="3">
        <v>0</v>
      </c>
      <c r="C21" s="1" t="s">
        <v>6</v>
      </c>
      <c r="D21" s="3">
        <f t="shared" si="7"/>
        <v>0</v>
      </c>
      <c r="E21" s="3">
        <f t="shared" si="7"/>
        <v>0</v>
      </c>
      <c r="F21" s="3">
        <f t="shared" si="7"/>
        <v>0</v>
      </c>
    </row>
    <row r="22" spans="1:18" ht="18" x14ac:dyDescent="0.35">
      <c r="A22" s="5" t="s">
        <v>25</v>
      </c>
      <c r="B22" s="3">
        <v>0.14326</v>
      </c>
      <c r="C22" s="1" t="s">
        <v>6</v>
      </c>
      <c r="D22" s="3">
        <f t="shared" si="7"/>
        <v>0</v>
      </c>
      <c r="E22" s="3">
        <f t="shared" si="7"/>
        <v>0</v>
      </c>
      <c r="F22" s="3">
        <f t="shared" si="7"/>
        <v>0</v>
      </c>
    </row>
    <row r="23" spans="1:18" ht="18" x14ac:dyDescent="0.35">
      <c r="A23" s="5" t="s">
        <v>26</v>
      </c>
      <c r="B23" s="3">
        <v>0</v>
      </c>
      <c r="C23" s="1" t="s">
        <v>6</v>
      </c>
      <c r="D23" s="3">
        <f t="shared" si="7"/>
        <v>0</v>
      </c>
      <c r="E23" s="3">
        <f t="shared" si="7"/>
        <v>0</v>
      </c>
      <c r="F23" s="3">
        <f t="shared" si="7"/>
        <v>0</v>
      </c>
    </row>
    <row r="24" spans="1:18" x14ac:dyDescent="0.25">
      <c r="A24" s="5" t="s">
        <v>11</v>
      </c>
      <c r="B24" s="3" t="s">
        <v>32</v>
      </c>
      <c r="C24" s="3" t="s">
        <v>32</v>
      </c>
      <c r="D24" s="3">
        <f>O13</f>
        <v>0.16879989642563861</v>
      </c>
      <c r="E24" s="3">
        <f>D24</f>
        <v>0.16879989642563861</v>
      </c>
      <c r="F24" s="3">
        <f t="shared" ref="F24:F25" si="8">E24</f>
        <v>0.16879989642563861</v>
      </c>
    </row>
    <row r="25" spans="1:18" x14ac:dyDescent="0.25">
      <c r="A25" s="5" t="s">
        <v>13</v>
      </c>
      <c r="B25" s="1" t="s">
        <v>32</v>
      </c>
      <c r="C25" s="3" t="s">
        <v>32</v>
      </c>
      <c r="D25" s="3">
        <f>O14</f>
        <v>8.6492508912310695E-2</v>
      </c>
      <c r="E25" s="3">
        <f t="shared" ref="E25" si="9">D25</f>
        <v>8.6492508912310695E-2</v>
      </c>
      <c r="F25" s="3">
        <f t="shared" si="8"/>
        <v>8.6492508912310695E-2</v>
      </c>
    </row>
    <row r="26" spans="1:18" x14ac:dyDescent="0.25">
      <c r="N26" s="10"/>
      <c r="O26" s="10"/>
      <c r="P26" s="10"/>
      <c r="Q26" s="10"/>
      <c r="R26" s="10"/>
    </row>
    <row r="27" spans="1:18" x14ac:dyDescent="0.25">
      <c r="A27" s="10" t="s">
        <v>14</v>
      </c>
      <c r="B27" s="10"/>
      <c r="C27" s="10"/>
      <c r="D27" s="1" t="s">
        <v>24</v>
      </c>
      <c r="E27" s="1" t="s">
        <v>19</v>
      </c>
      <c r="F27" s="1" t="s">
        <v>20</v>
      </c>
      <c r="N27" s="1"/>
      <c r="O27" s="1"/>
      <c r="P27" s="1"/>
      <c r="Q27" s="1"/>
    </row>
    <row r="28" spans="1:18" x14ac:dyDescent="0.25">
      <c r="A28" s="5" t="s">
        <v>0</v>
      </c>
      <c r="B28" s="3">
        <v>1</v>
      </c>
      <c r="C28" s="1" t="s">
        <v>6</v>
      </c>
      <c r="D28" s="3">
        <f>SUM(D29:D38)</f>
        <v>1.0004360873722939</v>
      </c>
      <c r="E28" s="3">
        <f t="shared" ref="E28:F28" si="10">SUM(E29:E38)</f>
        <v>0.68225014375717397</v>
      </c>
      <c r="F28" s="3">
        <f t="shared" si="10"/>
        <v>1.3184460309874138</v>
      </c>
      <c r="O28" s="3"/>
      <c r="P28" s="3"/>
      <c r="Q28" s="3"/>
    </row>
    <row r="29" spans="1:18" x14ac:dyDescent="0.25">
      <c r="A29" s="5" t="s">
        <v>1</v>
      </c>
      <c r="B29" s="3">
        <v>0</v>
      </c>
      <c r="C29" s="2" t="s">
        <v>7</v>
      </c>
      <c r="D29" s="3">
        <f t="shared" ref="D29:F36" si="11">$B29*O3</f>
        <v>0</v>
      </c>
      <c r="E29" s="3">
        <f t="shared" si="11"/>
        <v>0</v>
      </c>
      <c r="F29" s="3">
        <f t="shared" si="11"/>
        <v>0</v>
      </c>
      <c r="O29" s="3"/>
      <c r="P29" s="3"/>
      <c r="Q29" s="3"/>
    </row>
    <row r="30" spans="1:18" x14ac:dyDescent="0.25">
      <c r="A30" s="5" t="s">
        <v>2</v>
      </c>
      <c r="B30" s="3">
        <v>0</v>
      </c>
      <c r="C30" s="2" t="s">
        <v>10</v>
      </c>
      <c r="D30" s="3">
        <f t="shared" si="11"/>
        <v>0</v>
      </c>
      <c r="E30" s="3">
        <f t="shared" si="11"/>
        <v>0</v>
      </c>
      <c r="F30" s="3">
        <f t="shared" si="11"/>
        <v>0</v>
      </c>
    </row>
    <row r="31" spans="1:18" x14ac:dyDescent="0.25">
      <c r="A31" s="5" t="s">
        <v>3</v>
      </c>
      <c r="B31" s="3">
        <v>0.55600000000000005</v>
      </c>
      <c r="C31" s="1" t="s">
        <v>8</v>
      </c>
      <c r="D31" s="3">
        <f t="shared" si="11"/>
        <v>5.3376000000000007E-2</v>
      </c>
      <c r="E31" s="3">
        <f t="shared" si="11"/>
        <v>2.6688000000000003E-2</v>
      </c>
      <c r="F31" s="3">
        <f t="shared" si="11"/>
        <v>8.006400000000001E-2</v>
      </c>
    </row>
    <row r="32" spans="1:18" x14ac:dyDescent="0.25">
      <c r="A32" s="5" t="s">
        <v>28</v>
      </c>
      <c r="B32" s="3">
        <v>0.17599999999999999</v>
      </c>
      <c r="C32" s="1" t="s">
        <v>6</v>
      </c>
      <c r="D32" s="3">
        <f t="shared" si="11"/>
        <v>0.69115199999999999</v>
      </c>
      <c r="E32" s="3">
        <f t="shared" si="11"/>
        <v>0.44580799999999998</v>
      </c>
      <c r="F32" s="3">
        <f t="shared" si="11"/>
        <v>0.93632000000000004</v>
      </c>
    </row>
    <row r="33" spans="1:18" x14ac:dyDescent="0.25">
      <c r="A33" s="5" t="s">
        <v>29</v>
      </c>
      <c r="B33" s="3">
        <v>0</v>
      </c>
      <c r="C33" s="1" t="s">
        <v>6</v>
      </c>
      <c r="D33" s="3">
        <f t="shared" si="11"/>
        <v>0</v>
      </c>
      <c r="E33" s="3">
        <f t="shared" si="11"/>
        <v>0</v>
      </c>
      <c r="F33" s="3">
        <f t="shared" si="11"/>
        <v>0</v>
      </c>
    </row>
    <row r="34" spans="1:18" x14ac:dyDescent="0.25">
      <c r="A34" s="5" t="s">
        <v>4</v>
      </c>
      <c r="B34" s="3">
        <v>0.81499999999999995</v>
      </c>
      <c r="C34" s="1" t="s">
        <v>6</v>
      </c>
      <c r="D34" s="3">
        <f t="shared" si="11"/>
        <v>9.2307887230239888E-2</v>
      </c>
      <c r="E34" s="3">
        <f t="shared" si="11"/>
        <v>4.6153943615119944E-2</v>
      </c>
      <c r="F34" s="3">
        <f t="shared" si="11"/>
        <v>0.13846183084535982</v>
      </c>
    </row>
    <row r="35" spans="1:18" ht="18" x14ac:dyDescent="0.35">
      <c r="A35" s="5" t="s">
        <v>25</v>
      </c>
      <c r="B35" s="3">
        <v>0</v>
      </c>
      <c r="C35" s="1" t="s">
        <v>6</v>
      </c>
      <c r="D35" s="3">
        <f t="shared" si="11"/>
        <v>0</v>
      </c>
      <c r="E35" s="3">
        <f t="shared" si="11"/>
        <v>0</v>
      </c>
      <c r="F35" s="3">
        <f t="shared" si="11"/>
        <v>0</v>
      </c>
    </row>
    <row r="36" spans="1:18" ht="18" x14ac:dyDescent="0.35">
      <c r="A36" s="5" t="s">
        <v>26</v>
      </c>
      <c r="B36" s="3">
        <v>0</v>
      </c>
      <c r="C36" s="1" t="s">
        <v>6</v>
      </c>
      <c r="D36" s="3">
        <f t="shared" si="11"/>
        <v>0</v>
      </c>
      <c r="E36" s="3">
        <f t="shared" si="11"/>
        <v>0</v>
      </c>
      <c r="F36" s="3">
        <f t="shared" si="11"/>
        <v>0</v>
      </c>
    </row>
    <row r="37" spans="1:18" x14ac:dyDescent="0.25">
      <c r="A37" s="5" t="s">
        <v>11</v>
      </c>
      <c r="B37" s="3" t="s">
        <v>32</v>
      </c>
      <c r="C37" s="3" t="s">
        <v>32</v>
      </c>
      <c r="D37" s="3">
        <f>O17</f>
        <v>0.10133066659961329</v>
      </c>
      <c r="E37" s="3">
        <f>D37</f>
        <v>0.10133066659961329</v>
      </c>
      <c r="F37" s="3">
        <f t="shared" ref="F37:F38" si="12">E37</f>
        <v>0.10133066659961329</v>
      </c>
      <c r="N37" s="10"/>
      <c r="O37" s="10"/>
      <c r="P37" s="10"/>
      <c r="Q37" s="10"/>
      <c r="R37" s="10"/>
    </row>
    <row r="38" spans="1:18" x14ac:dyDescent="0.25">
      <c r="A38" s="5" t="s">
        <v>13</v>
      </c>
      <c r="B38" s="1" t="s">
        <v>32</v>
      </c>
      <c r="C38" s="3" t="s">
        <v>32</v>
      </c>
      <c r="D38" s="3">
        <f>O18</f>
        <v>6.2269533542440698E-2</v>
      </c>
      <c r="E38" s="3">
        <f t="shared" ref="E38" si="13">D38</f>
        <v>6.2269533542440698E-2</v>
      </c>
      <c r="F38" s="3">
        <f t="shared" si="12"/>
        <v>6.2269533542440698E-2</v>
      </c>
      <c r="N38" s="1"/>
      <c r="O38" s="1"/>
      <c r="P38" s="1"/>
      <c r="Q38" s="1"/>
    </row>
    <row r="39" spans="1:18" x14ac:dyDescent="0.25">
      <c r="O39" s="3"/>
      <c r="P39" s="3"/>
      <c r="Q39" s="3"/>
    </row>
    <row r="40" spans="1:18" x14ac:dyDescent="0.25">
      <c r="A40" s="10" t="s">
        <v>15</v>
      </c>
      <c r="B40" s="10"/>
      <c r="C40" s="10"/>
      <c r="D40" s="1" t="s">
        <v>24</v>
      </c>
      <c r="E40" s="1" t="s">
        <v>19</v>
      </c>
      <c r="F40" s="1" t="s">
        <v>20</v>
      </c>
      <c r="O40" s="3"/>
      <c r="P40" s="3"/>
      <c r="Q40" s="3"/>
    </row>
    <row r="41" spans="1:18" x14ac:dyDescent="0.25">
      <c r="A41" s="5" t="s">
        <v>0</v>
      </c>
      <c r="B41" s="3">
        <v>1</v>
      </c>
      <c r="C41" s="1" t="s">
        <v>6</v>
      </c>
      <c r="D41" s="3">
        <f>SUM(D42:D51)</f>
        <v>0.92528408737229384</v>
      </c>
      <c r="E41" s="3">
        <f t="shared" ref="E41:F41" si="14">SUM(E42:E51)</f>
        <v>0.65884214375717387</v>
      </c>
      <c r="F41" s="3">
        <f t="shared" si="14"/>
        <v>1.1917260309874138</v>
      </c>
    </row>
    <row r="42" spans="1:18" x14ac:dyDescent="0.25">
      <c r="A42" s="5" t="s">
        <v>1</v>
      </c>
      <c r="B42" s="3">
        <v>0</v>
      </c>
      <c r="C42" s="2" t="s">
        <v>7</v>
      </c>
      <c r="D42" s="3">
        <f t="shared" ref="D42:F49" si="15">$B42*O3</f>
        <v>0</v>
      </c>
      <c r="E42" s="3">
        <f t="shared" si="15"/>
        <v>0</v>
      </c>
      <c r="F42" s="3">
        <f t="shared" si="15"/>
        <v>0</v>
      </c>
    </row>
    <row r="43" spans="1:18" x14ac:dyDescent="0.25">
      <c r="A43" s="5" t="s">
        <v>2</v>
      </c>
      <c r="B43" s="3">
        <v>0</v>
      </c>
      <c r="C43" s="2" t="s">
        <v>10</v>
      </c>
      <c r="D43" s="3">
        <f t="shared" si="15"/>
        <v>0</v>
      </c>
      <c r="E43" s="3">
        <f t="shared" si="15"/>
        <v>0</v>
      </c>
      <c r="F43" s="3">
        <f t="shared" si="15"/>
        <v>0</v>
      </c>
    </row>
    <row r="44" spans="1:18" x14ac:dyDescent="0.25">
      <c r="A44" s="5" t="s">
        <v>3</v>
      </c>
      <c r="B44" s="3">
        <v>0.55600000000000005</v>
      </c>
      <c r="C44" s="1" t="s">
        <v>8</v>
      </c>
      <c r="D44" s="3">
        <f t="shared" si="15"/>
        <v>5.3376000000000007E-2</v>
      </c>
      <c r="E44" s="3">
        <f t="shared" si="15"/>
        <v>2.6688000000000003E-2</v>
      </c>
      <c r="F44" s="3">
        <f t="shared" si="15"/>
        <v>8.006400000000001E-2</v>
      </c>
    </row>
    <row r="45" spans="1:18" x14ac:dyDescent="0.25">
      <c r="A45" s="5" t="s">
        <v>28</v>
      </c>
      <c r="B45" s="3">
        <v>0</v>
      </c>
      <c r="C45" s="1" t="s">
        <v>6</v>
      </c>
      <c r="D45" s="3">
        <f t="shared" si="15"/>
        <v>0</v>
      </c>
      <c r="E45" s="3">
        <f t="shared" si="15"/>
        <v>0</v>
      </c>
      <c r="F45" s="3">
        <f t="shared" si="15"/>
        <v>0</v>
      </c>
    </row>
    <row r="46" spans="1:18" x14ac:dyDescent="0.25">
      <c r="A46" s="5" t="s">
        <v>29</v>
      </c>
      <c r="B46" s="3">
        <v>0.17599999999999999</v>
      </c>
      <c r="C46" s="1" t="s">
        <v>6</v>
      </c>
      <c r="D46" s="3">
        <f t="shared" si="15"/>
        <v>0.61599999999999999</v>
      </c>
      <c r="E46" s="3">
        <f t="shared" si="15"/>
        <v>0.42239999999999994</v>
      </c>
      <c r="F46" s="3">
        <f t="shared" si="15"/>
        <v>0.80959999999999988</v>
      </c>
    </row>
    <row r="47" spans="1:18" x14ac:dyDescent="0.25">
      <c r="A47" s="5" t="s">
        <v>4</v>
      </c>
      <c r="B47" s="3">
        <v>0.81499999999999995</v>
      </c>
      <c r="C47" s="1" t="s">
        <v>6</v>
      </c>
      <c r="D47" s="3">
        <f t="shared" si="15"/>
        <v>9.2307887230239888E-2</v>
      </c>
      <c r="E47" s="3">
        <f t="shared" si="15"/>
        <v>4.6153943615119944E-2</v>
      </c>
      <c r="F47" s="3">
        <f t="shared" si="15"/>
        <v>0.13846183084535982</v>
      </c>
    </row>
    <row r="48" spans="1:18" ht="18" x14ac:dyDescent="0.35">
      <c r="A48" s="5" t="s">
        <v>25</v>
      </c>
      <c r="B48" s="3">
        <v>0</v>
      </c>
      <c r="C48" s="1" t="s">
        <v>6</v>
      </c>
      <c r="D48" s="3">
        <f t="shared" si="15"/>
        <v>0</v>
      </c>
      <c r="E48" s="3">
        <f t="shared" si="15"/>
        <v>0</v>
      </c>
      <c r="F48" s="3">
        <f t="shared" si="15"/>
        <v>0</v>
      </c>
    </row>
    <row r="49" spans="1:6" ht="18" x14ac:dyDescent="0.35">
      <c r="A49" s="5" t="s">
        <v>26</v>
      </c>
      <c r="B49" s="3">
        <v>0</v>
      </c>
      <c r="C49" s="1" t="s">
        <v>6</v>
      </c>
      <c r="D49" s="3">
        <f t="shared" si="15"/>
        <v>0</v>
      </c>
      <c r="E49" s="3">
        <f t="shared" si="15"/>
        <v>0</v>
      </c>
      <c r="F49" s="3">
        <f t="shared" si="15"/>
        <v>0</v>
      </c>
    </row>
    <row r="50" spans="1:6" x14ac:dyDescent="0.25">
      <c r="A50" s="5" t="s">
        <v>11</v>
      </c>
      <c r="B50" s="3" t="s">
        <v>32</v>
      </c>
      <c r="C50" s="3" t="s">
        <v>32</v>
      </c>
      <c r="D50" s="3">
        <f>O17</f>
        <v>0.10133066659961329</v>
      </c>
      <c r="E50" s="3">
        <f>D50</f>
        <v>0.10133066659961329</v>
      </c>
      <c r="F50" s="3">
        <f t="shared" ref="F50:F51" si="16">E50</f>
        <v>0.10133066659961329</v>
      </c>
    </row>
    <row r="51" spans="1:6" x14ac:dyDescent="0.25">
      <c r="A51" s="5" t="s">
        <v>13</v>
      </c>
      <c r="B51" s="1" t="s">
        <v>32</v>
      </c>
      <c r="C51" s="3" t="s">
        <v>32</v>
      </c>
      <c r="D51" s="3">
        <f>O18</f>
        <v>6.2269533542440698E-2</v>
      </c>
      <c r="E51" s="3">
        <f t="shared" ref="E51" si="17">D51</f>
        <v>6.2269533542440698E-2</v>
      </c>
      <c r="F51" s="3">
        <f t="shared" si="16"/>
        <v>6.2269533542440698E-2</v>
      </c>
    </row>
  </sheetData>
  <mergeCells count="9">
    <mergeCell ref="A27:C27"/>
    <mergeCell ref="N37:R37"/>
    <mergeCell ref="A40:C40"/>
    <mergeCell ref="A1:C1"/>
    <mergeCell ref="N1:R1"/>
    <mergeCell ref="N12:R12"/>
    <mergeCell ref="A14:C14"/>
    <mergeCell ref="N16:R16"/>
    <mergeCell ref="N26:R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2BA73-7F1F-4321-B89C-D7800EFD6BD9}">
  <dimension ref="A2:Y24"/>
  <sheetViews>
    <sheetView zoomScaleNormal="100" workbookViewId="0">
      <selection activeCell="C18" sqref="C18"/>
    </sheetView>
  </sheetViews>
  <sheetFormatPr defaultRowHeight="15" x14ac:dyDescent="0.25"/>
  <cols>
    <col min="1" max="1" width="18.85546875" bestFit="1" customWidth="1"/>
  </cols>
  <sheetData>
    <row r="2" spans="1:25" x14ac:dyDescent="0.25">
      <c r="A2" s="6"/>
      <c r="B2" s="6">
        <v>2030</v>
      </c>
      <c r="C2" s="6">
        <v>2040</v>
      </c>
      <c r="D2" s="6">
        <v>2050</v>
      </c>
    </row>
    <row r="3" spans="1:25" x14ac:dyDescent="0.25">
      <c r="A3" s="6" t="s">
        <v>53</v>
      </c>
      <c r="B3" s="6">
        <v>750</v>
      </c>
      <c r="C3" s="6">
        <v>500</v>
      </c>
      <c r="D3" s="6">
        <v>250</v>
      </c>
    </row>
    <row r="4" spans="1:25" x14ac:dyDescent="0.25">
      <c r="A4" s="6" t="s">
        <v>50</v>
      </c>
      <c r="B4" s="6">
        <v>58</v>
      </c>
      <c r="C4" s="6">
        <v>48</v>
      </c>
      <c r="D4" s="6">
        <v>38</v>
      </c>
    </row>
    <row r="5" spans="1:25" x14ac:dyDescent="0.25">
      <c r="A5" s="6" t="s">
        <v>49</v>
      </c>
      <c r="B5" s="3">
        <f>AVERAGE(B6:B7)</f>
        <v>6.67</v>
      </c>
      <c r="C5" s="3">
        <f t="shared" ref="C5:D5" si="0">AVERAGE(C6:C7)</f>
        <v>5.2799999999999994</v>
      </c>
      <c r="D5" s="3">
        <f t="shared" si="0"/>
        <v>3.9266666666666663</v>
      </c>
    </row>
    <row r="6" spans="1:25" x14ac:dyDescent="0.25">
      <c r="A6" s="6" t="s">
        <v>54</v>
      </c>
      <c r="B6" s="3">
        <f>B4*3.5/50</f>
        <v>4.0599999999999996</v>
      </c>
      <c r="C6" s="3">
        <f>C4*2.7/40</f>
        <v>3.2400000000000007</v>
      </c>
      <c r="D6" s="3">
        <f>2*D4/30</f>
        <v>2.5333333333333332</v>
      </c>
    </row>
    <row r="7" spans="1:25" x14ac:dyDescent="0.25">
      <c r="A7" s="6" t="s">
        <v>55</v>
      </c>
      <c r="B7" s="3">
        <f>B4*8/50</f>
        <v>9.2799999999999994</v>
      </c>
      <c r="C7" s="3">
        <f>C4*6.1/40</f>
        <v>7.3199999999999985</v>
      </c>
      <c r="D7" s="3">
        <f>4.2*D4/30</f>
        <v>5.3199999999999994</v>
      </c>
    </row>
    <row r="8" spans="1:25" x14ac:dyDescent="0.25">
      <c r="A8" s="6" t="s">
        <v>51</v>
      </c>
      <c r="B8" s="6">
        <v>50</v>
      </c>
      <c r="C8" s="6">
        <v>45</v>
      </c>
      <c r="D8" s="6">
        <v>40</v>
      </c>
    </row>
    <row r="9" spans="1:25" x14ac:dyDescent="0.25">
      <c r="A9" s="6" t="s">
        <v>52</v>
      </c>
      <c r="B9" s="3">
        <f>AVERAGE(B10:B11)</f>
        <v>5.75</v>
      </c>
      <c r="C9" s="3">
        <f t="shared" ref="C9" si="1">AVERAGE(C10:C11)</f>
        <v>4.95</v>
      </c>
      <c r="D9" s="3">
        <f t="shared" ref="D9" si="2">AVERAGE(D10:D11)</f>
        <v>3.5</v>
      </c>
    </row>
    <row r="10" spans="1:25" x14ac:dyDescent="0.25">
      <c r="A10" s="6" t="s">
        <v>56</v>
      </c>
      <c r="B10" s="3">
        <v>3.5</v>
      </c>
      <c r="C10" s="3">
        <f>C8*2.7/40</f>
        <v>3.0375000000000005</v>
      </c>
      <c r="D10" s="3">
        <v>2.4</v>
      </c>
    </row>
    <row r="11" spans="1:25" x14ac:dyDescent="0.25">
      <c r="A11" s="6" t="s">
        <v>57</v>
      </c>
      <c r="B11" s="3">
        <v>8</v>
      </c>
      <c r="C11" s="3">
        <f>C8*6.1/40</f>
        <v>6.8624999999999998</v>
      </c>
      <c r="D11" s="3">
        <v>4.5999999999999996</v>
      </c>
    </row>
    <row r="14" spans="1:25" x14ac:dyDescent="0.25">
      <c r="A14" s="6"/>
      <c r="B14" s="6" t="s">
        <v>58</v>
      </c>
      <c r="C14" s="6" t="s">
        <v>19</v>
      </c>
      <c r="D14" s="6" t="s">
        <v>20</v>
      </c>
      <c r="Y14" s="8"/>
    </row>
    <row r="15" spans="1:25" x14ac:dyDescent="0.25">
      <c r="A15" s="6">
        <v>2020</v>
      </c>
      <c r="B15" s="3">
        <v>0.36153846153846153</v>
      </c>
      <c r="C15" s="3">
        <v>0.26923076923076922</v>
      </c>
      <c r="D15" s="3">
        <v>0.62307692307692308</v>
      </c>
      <c r="Y15" s="8"/>
    </row>
    <row r="16" spans="1:25" x14ac:dyDescent="0.25">
      <c r="A16" s="6">
        <v>2030</v>
      </c>
      <c r="B16" s="3">
        <v>0.19230769230769232</v>
      </c>
      <c r="C16" s="3">
        <v>0.12307692307692308</v>
      </c>
      <c r="D16" s="3">
        <v>0.46923076923076923</v>
      </c>
      <c r="Y16" s="8"/>
    </row>
    <row r="17" spans="1:23" x14ac:dyDescent="0.25">
      <c r="A17" s="6">
        <v>2040</v>
      </c>
      <c r="B17" s="3">
        <f>AVERAGE(B16,B18)</f>
        <v>0.15769230769230769</v>
      </c>
      <c r="C17" s="3">
        <f>AVERAGE(C16,C18)</f>
        <v>0.1076923076923077</v>
      </c>
      <c r="D17" s="3">
        <f>AVERAGE(D16,D18)</f>
        <v>0.43076923076923079</v>
      </c>
    </row>
    <row r="18" spans="1:23" x14ac:dyDescent="0.25">
      <c r="A18" s="6">
        <v>2050</v>
      </c>
      <c r="B18" s="3">
        <v>0.12307692307692308</v>
      </c>
      <c r="C18" s="3">
        <v>9.2307692307692313E-2</v>
      </c>
      <c r="D18" s="3">
        <v>0.3923076923076923</v>
      </c>
    </row>
    <row r="19" spans="1:23" x14ac:dyDescent="0.25">
      <c r="B19" s="3"/>
      <c r="C19" s="3"/>
      <c r="D19" s="3"/>
    </row>
    <row r="21" spans="1:23" x14ac:dyDescent="0.25">
      <c r="C21" s="3"/>
      <c r="T21" s="6"/>
      <c r="U21" s="3"/>
      <c r="V21" s="3"/>
      <c r="W21" s="3"/>
    </row>
    <row r="22" spans="1:23" x14ac:dyDescent="0.25">
      <c r="C22" s="3"/>
      <c r="T22" s="6"/>
      <c r="U22" s="3"/>
      <c r="V22" s="3"/>
      <c r="W22" s="3"/>
    </row>
    <row r="23" spans="1:23" x14ac:dyDescent="0.25">
      <c r="C23" s="3"/>
      <c r="T23" s="6"/>
      <c r="U23" s="3"/>
      <c r="V23" s="3"/>
      <c r="W23" s="3"/>
    </row>
    <row r="24" spans="1:23" x14ac:dyDescent="0.25">
      <c r="C24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B0CB-85CA-425C-975B-ECF102D0ECEB}">
  <dimension ref="A1:Q13"/>
  <sheetViews>
    <sheetView workbookViewId="0">
      <selection activeCell="M2" sqref="M2:M11"/>
    </sheetView>
  </sheetViews>
  <sheetFormatPr defaultRowHeight="15" x14ac:dyDescent="0.25"/>
  <cols>
    <col min="1" max="1" width="22.5703125" bestFit="1" customWidth="1"/>
    <col min="2" max="5" width="10.42578125" bestFit="1" customWidth="1"/>
    <col min="6" max="9" width="9.42578125" bestFit="1" customWidth="1"/>
    <col min="10" max="13" width="9.85546875" bestFit="1" customWidth="1"/>
    <col min="14" max="17" width="10.140625" bestFit="1" customWidth="1"/>
  </cols>
  <sheetData>
    <row r="1" spans="1:17" x14ac:dyDescent="0.25">
      <c r="B1" t="s">
        <v>34</v>
      </c>
      <c r="C1" t="s">
        <v>33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</row>
    <row r="2" spans="1:17" x14ac:dyDescent="0.25">
      <c r="A2" s="4" t="s">
        <v>1</v>
      </c>
      <c r="B2" s="3">
        <f>'2020'!D3</f>
        <v>4.4684710623572724E-2</v>
      </c>
      <c r="C2" s="3">
        <f>'2030'!D3</f>
        <v>7.2099967866054548E-2</v>
      </c>
      <c r="D2" s="3">
        <f>'2040'!D3</f>
        <v>7.6633199378590908E-2</v>
      </c>
      <c r="E2" s="3">
        <f>'2050'!D3</f>
        <v>7.9655353720281818E-2</v>
      </c>
      <c r="F2" s="3">
        <f>'2020'!D16</f>
        <v>4.4684710623572724E-2</v>
      </c>
      <c r="G2" s="3">
        <f>'2030'!D16</f>
        <v>7.2099967866054548E-2</v>
      </c>
      <c r="H2" s="3">
        <f>'2040'!D16</f>
        <v>7.6633199378590908E-2</v>
      </c>
      <c r="I2" s="3">
        <f>'2050'!D16</f>
        <v>7.9655353720281818E-2</v>
      </c>
      <c r="J2" s="3">
        <f>'2020'!D29</f>
        <v>0</v>
      </c>
      <c r="K2" s="3">
        <f>'2030'!D29</f>
        <v>0</v>
      </c>
      <c r="L2" s="3">
        <f>'2040'!D29</f>
        <v>0</v>
      </c>
      <c r="M2" s="3">
        <f>'2050'!D29</f>
        <v>0</v>
      </c>
      <c r="N2" s="3">
        <f>'2020'!D42</f>
        <v>0</v>
      </c>
      <c r="O2" s="3">
        <f>'2030'!D42</f>
        <v>0</v>
      </c>
      <c r="P2" s="3">
        <f>'2040'!D42</f>
        <v>0</v>
      </c>
      <c r="Q2" s="3">
        <f>'2050'!D42</f>
        <v>0</v>
      </c>
    </row>
    <row r="3" spans="1:17" x14ac:dyDescent="0.25">
      <c r="A3" s="4" t="s">
        <v>2</v>
      </c>
      <c r="B3" s="3">
        <f>'2020'!D4</f>
        <v>2.7395396058420219E-2</v>
      </c>
      <c r="C3" s="3">
        <f>'2030'!D4</f>
        <v>4.4203199437257819E-2</v>
      </c>
      <c r="D3" s="3">
        <f>'2040'!D4</f>
        <v>4.6982442515648322E-2</v>
      </c>
      <c r="E3" s="3">
        <f>'2050'!D4</f>
        <v>4.8835271234575234E-2</v>
      </c>
      <c r="F3" s="3">
        <f>'2020'!D17</f>
        <v>2.7395396058420219E-2</v>
      </c>
      <c r="G3" s="3">
        <f>'2030'!D17</f>
        <v>4.4203199437257819E-2</v>
      </c>
      <c r="H3" s="3">
        <f>'2040'!D17</f>
        <v>4.6982442515648322E-2</v>
      </c>
      <c r="I3" s="3">
        <f>'2050'!D17</f>
        <v>4.8835271234575234E-2</v>
      </c>
      <c r="J3" s="3">
        <f>'2020'!D30</f>
        <v>0</v>
      </c>
      <c r="K3" s="3">
        <f>'2030'!D30</f>
        <v>0</v>
      </c>
      <c r="L3" s="3">
        <f>'2040'!D30</f>
        <v>0</v>
      </c>
      <c r="M3" s="3">
        <f>'2050'!D30</f>
        <v>0</v>
      </c>
      <c r="N3" s="3">
        <f>'2020'!D43</f>
        <v>0</v>
      </c>
      <c r="O3" s="3">
        <f>'2030'!D43</f>
        <v>0</v>
      </c>
      <c r="P3" s="3">
        <f>'2040'!D43</f>
        <v>0</v>
      </c>
      <c r="Q3" s="3">
        <f>'2050'!D43</f>
        <v>0</v>
      </c>
    </row>
    <row r="4" spans="1:17" x14ac:dyDescent="0.25">
      <c r="A4" s="4" t="s">
        <v>3</v>
      </c>
      <c r="B4" s="3">
        <f>'2020'!D5</f>
        <v>5.1201279999999998E-3</v>
      </c>
      <c r="C4" s="3">
        <f>'2030'!D5</f>
        <v>5.0708960000000001E-3</v>
      </c>
      <c r="D4" s="3">
        <f>'2040'!D5</f>
        <v>4.9724319999999997E-3</v>
      </c>
      <c r="E4" s="3">
        <f>'2050'!D5</f>
        <v>4.7262720000000001E-3</v>
      </c>
      <c r="F4" s="3">
        <f>'2020'!D18</f>
        <v>2.4697466560000002E-2</v>
      </c>
      <c r="G4" s="3">
        <f>'2030'!D18</f>
        <v>2.4459990920000001E-2</v>
      </c>
      <c r="H4" s="3">
        <f>'2040'!D18</f>
        <v>2.3985039639999997E-2</v>
      </c>
      <c r="I4" s="3">
        <f>'2050'!D18</f>
        <v>2.2797661439999999E-2</v>
      </c>
      <c r="J4" s="3">
        <f>'2020'!D31</f>
        <v>5.7824000000000007E-2</v>
      </c>
      <c r="K4" s="3">
        <f>'2030'!D31</f>
        <v>5.7268000000000006E-2</v>
      </c>
      <c r="L4" s="3">
        <f>'2040'!D31</f>
        <v>5.6155999999999998E-2</v>
      </c>
      <c r="M4" s="3">
        <f>'2050'!D31</f>
        <v>5.3376000000000007E-2</v>
      </c>
      <c r="N4" s="3">
        <f>'2020'!D44</f>
        <v>5.7824000000000007E-2</v>
      </c>
      <c r="O4" s="3">
        <f>'2030'!D44</f>
        <v>5.7268000000000006E-2</v>
      </c>
      <c r="P4" s="3">
        <f>'2040'!D44</f>
        <v>5.6155999999999998E-2</v>
      </c>
      <c r="Q4" s="3">
        <f>'2050'!D44</f>
        <v>5.3376000000000007E-2</v>
      </c>
    </row>
    <row r="5" spans="1:17" x14ac:dyDescent="0.25">
      <c r="A5" s="4" t="s">
        <v>28</v>
      </c>
      <c r="B5" s="3">
        <f>'2020'!D6</f>
        <v>0</v>
      </c>
      <c r="C5" s="3">
        <f>'2030'!D6</f>
        <v>0</v>
      </c>
      <c r="D5" s="3">
        <f>'2040'!D6</f>
        <v>0</v>
      </c>
      <c r="E5" s="3">
        <f>'2050'!D6</f>
        <v>0</v>
      </c>
      <c r="F5" s="3">
        <f>'2020'!D19</f>
        <v>0</v>
      </c>
      <c r="G5" s="3">
        <f>'2030'!D19</f>
        <v>0</v>
      </c>
      <c r="H5" s="3">
        <f>'2040'!D19</f>
        <v>0</v>
      </c>
      <c r="I5" s="3">
        <f>'2050'!D19</f>
        <v>0</v>
      </c>
      <c r="J5" s="3">
        <f>'2020'!D32</f>
        <v>1.6227199999999999</v>
      </c>
      <c r="K5" s="3">
        <f>'2030'!D32</f>
        <v>1.1739199999999999</v>
      </c>
      <c r="L5" s="3">
        <f>'2040'!D32</f>
        <v>0.92927999999999999</v>
      </c>
      <c r="M5" s="3">
        <f>'2050'!D32</f>
        <v>0.69115199999999999</v>
      </c>
      <c r="N5" s="3">
        <f>'2020'!D45</f>
        <v>0</v>
      </c>
      <c r="O5" s="3">
        <f>'2030'!D45</f>
        <v>0</v>
      </c>
      <c r="P5" s="3">
        <f>'2040'!D45</f>
        <v>0</v>
      </c>
      <c r="Q5" s="3">
        <f>'2050'!D45</f>
        <v>0</v>
      </c>
    </row>
    <row r="6" spans="1:17" x14ac:dyDescent="0.25">
      <c r="A6" s="4" t="s">
        <v>29</v>
      </c>
      <c r="B6" s="3">
        <f>'2020'!D7</f>
        <v>0</v>
      </c>
      <c r="C6" s="3">
        <f>'2030'!D7</f>
        <v>0</v>
      </c>
      <c r="D6" s="3">
        <f>'2040'!D7</f>
        <v>0</v>
      </c>
      <c r="E6" s="3">
        <f>'2050'!D7</f>
        <v>0</v>
      </c>
      <c r="F6" s="3">
        <f>'2020'!D20</f>
        <v>0</v>
      </c>
      <c r="G6" s="3">
        <f>'2030'!D20</f>
        <v>0</v>
      </c>
      <c r="H6" s="3">
        <f>'2040'!D20</f>
        <v>0</v>
      </c>
      <c r="I6" s="3">
        <f>'2050'!D20</f>
        <v>0</v>
      </c>
      <c r="J6" s="3">
        <f>'2020'!D33</f>
        <v>0</v>
      </c>
      <c r="K6" s="3">
        <f>'2030'!D33</f>
        <v>0</v>
      </c>
      <c r="L6" s="3">
        <f>'2040'!D33</f>
        <v>0</v>
      </c>
      <c r="M6" s="3">
        <f>'2050'!D33</f>
        <v>0</v>
      </c>
      <c r="N6" s="3">
        <f>'2020'!D46</f>
        <v>1.21088</v>
      </c>
      <c r="O6" s="3">
        <f>'2030'!D46</f>
        <v>1.012</v>
      </c>
      <c r="P6" s="3">
        <f>'2040'!D46</f>
        <v>0.87119999999999997</v>
      </c>
      <c r="Q6" s="3">
        <f>'2050'!D46</f>
        <v>0.61599999999999999</v>
      </c>
    </row>
    <row r="7" spans="1:17" x14ac:dyDescent="0.25">
      <c r="A7" s="4" t="s">
        <v>4</v>
      </c>
      <c r="B7" s="3">
        <f>'2020'!D8</f>
        <v>0</v>
      </c>
      <c r="C7" s="3">
        <f>'2030'!D8</f>
        <v>0</v>
      </c>
      <c r="D7" s="3">
        <f>'2040'!D8</f>
        <v>0</v>
      </c>
      <c r="E7" s="3">
        <f>'2050'!D8</f>
        <v>0</v>
      </c>
      <c r="F7" s="3">
        <f>'2020'!D21</f>
        <v>0</v>
      </c>
      <c r="G7" s="3">
        <f>'2030'!D21</f>
        <v>0</v>
      </c>
      <c r="H7" s="3">
        <f>'2040'!D21</f>
        <v>0</v>
      </c>
      <c r="I7" s="3">
        <f>'2050'!D21</f>
        <v>0</v>
      </c>
      <c r="J7" s="3">
        <f>'2020'!D34</f>
        <v>7.2785469958847743E-2</v>
      </c>
      <c r="K7" s="3">
        <f>'2030'!D34</f>
        <v>7.8784853285157996E-2</v>
      </c>
      <c r="L7" s="3">
        <f>'2040'!D34</f>
        <v>8.527873915869863E-2</v>
      </c>
      <c r="M7" s="3">
        <f>'2050'!D34</f>
        <v>9.2307887230239888E-2</v>
      </c>
      <c r="N7" s="3">
        <f>'2020'!D47</f>
        <v>7.2785469958847743E-2</v>
      </c>
      <c r="O7" s="3">
        <f>'2030'!D47</f>
        <v>7.8784853285157996E-2</v>
      </c>
      <c r="P7" s="3">
        <f>'2040'!D47</f>
        <v>8.527873915869863E-2</v>
      </c>
      <c r="Q7" s="3">
        <f>'2050'!D47</f>
        <v>9.2307887230239888E-2</v>
      </c>
    </row>
    <row r="8" spans="1:17" ht="18" x14ac:dyDescent="0.35">
      <c r="A8" s="4" t="s">
        <v>25</v>
      </c>
      <c r="B8" s="3">
        <f>'2020'!D9</f>
        <v>0</v>
      </c>
      <c r="C8" s="3">
        <f>'2030'!D9</f>
        <v>0</v>
      </c>
      <c r="D8" s="3">
        <f>'2040'!D9</f>
        <v>0</v>
      </c>
      <c r="E8" s="3">
        <f>'2050'!D9</f>
        <v>0</v>
      </c>
      <c r="F8" s="3">
        <f>'2020'!D22</f>
        <v>0</v>
      </c>
      <c r="G8" s="3">
        <f>'2030'!D22</f>
        <v>0</v>
      </c>
      <c r="H8" s="3">
        <f>'2040'!D22</f>
        <v>0</v>
      </c>
      <c r="I8" s="3">
        <f>'2050'!D22</f>
        <v>0</v>
      </c>
      <c r="J8" s="3">
        <f>'2020'!D35</f>
        <v>0</v>
      </c>
      <c r="K8" s="3">
        <f>'2030'!D35</f>
        <v>0</v>
      </c>
      <c r="L8" s="3">
        <f>'2040'!D35</f>
        <v>0</v>
      </c>
      <c r="M8" s="3">
        <f>'2050'!D35</f>
        <v>0</v>
      </c>
      <c r="N8" s="3">
        <f>'2020'!D48</f>
        <v>0</v>
      </c>
      <c r="O8" s="3">
        <f>'2030'!D48</f>
        <v>0</v>
      </c>
      <c r="P8" s="3">
        <f>'2040'!D48</f>
        <v>0</v>
      </c>
      <c r="Q8" s="3">
        <f>'2050'!D48</f>
        <v>0</v>
      </c>
    </row>
    <row r="9" spans="1:17" ht="18" x14ac:dyDescent="0.35">
      <c r="A9" s="4" t="s">
        <v>26</v>
      </c>
      <c r="B9" s="3">
        <f>'2020'!D10</f>
        <v>0</v>
      </c>
      <c r="C9" s="3">
        <f>'2030'!D10</f>
        <v>0</v>
      </c>
      <c r="D9" s="3">
        <f>'2040'!D10</f>
        <v>0</v>
      </c>
      <c r="E9" s="3">
        <f>'2050'!D10</f>
        <v>0</v>
      </c>
      <c r="F9" s="3">
        <f>'2020'!D23</f>
        <v>0</v>
      </c>
      <c r="G9" s="3">
        <f>'2030'!D23</f>
        <v>0</v>
      </c>
      <c r="H9" s="3">
        <f>'2040'!D23</f>
        <v>0</v>
      </c>
      <c r="I9" s="3">
        <f>'2050'!D23</f>
        <v>0</v>
      </c>
      <c r="J9" s="3">
        <f>'2020'!D36</f>
        <v>0</v>
      </c>
      <c r="K9" s="3">
        <f>'2030'!D36</f>
        <v>0</v>
      </c>
      <c r="L9" s="3">
        <f>'2040'!D36</f>
        <v>0</v>
      </c>
      <c r="M9" s="3">
        <f>'2050'!D36</f>
        <v>0</v>
      </c>
      <c r="N9" s="3">
        <f>'2020'!D49</f>
        <v>0</v>
      </c>
      <c r="O9" s="3">
        <f>'2030'!D49</f>
        <v>0</v>
      </c>
      <c r="P9" s="3">
        <f>'2040'!D49</f>
        <v>0</v>
      </c>
      <c r="Q9" s="3">
        <f>'2050'!D49</f>
        <v>0</v>
      </c>
    </row>
    <row r="10" spans="1:17" x14ac:dyDescent="0.25">
      <c r="A10" s="4" t="s">
        <v>11</v>
      </c>
      <c r="B10" s="3">
        <f>'2020'!D11</f>
        <v>0.1331</v>
      </c>
      <c r="C10" s="3">
        <f>'2030'!D11</f>
        <v>0.14407084241103849</v>
      </c>
      <c r="D10" s="3">
        <f>'2040'!D11</f>
        <v>0.15594596268239136</v>
      </c>
      <c r="E10" s="3">
        <f>'2050'!D11</f>
        <v>0.16879989642563861</v>
      </c>
      <c r="F10" s="3">
        <f>'2020'!D24</f>
        <v>0.1331</v>
      </c>
      <c r="G10" s="3">
        <f>'2030'!D24</f>
        <v>0.14407084241103849</v>
      </c>
      <c r="H10" s="3">
        <f>'2040'!D24</f>
        <v>0.15594596268239136</v>
      </c>
      <c r="I10" s="3">
        <f>'2050'!D24</f>
        <v>0.16879989642563861</v>
      </c>
      <c r="J10" s="3">
        <f>'2020'!D37</f>
        <v>7.9899999999999999E-2</v>
      </c>
      <c r="K10" s="3">
        <f>'2030'!D37</f>
        <v>8.6485802469135814E-2</v>
      </c>
      <c r="L10" s="3">
        <f>'2040'!D37</f>
        <v>9.3614443413396489E-2</v>
      </c>
      <c r="M10" s="3">
        <f>'2050'!D37</f>
        <v>0.10133066659961329</v>
      </c>
      <c r="N10" s="3">
        <f>'2020'!D50</f>
        <v>7.9899999999999999E-2</v>
      </c>
      <c r="O10" s="3">
        <f>'2030'!D50</f>
        <v>8.6485802469135814E-2</v>
      </c>
      <c r="P10" s="3">
        <f>'2040'!D50</f>
        <v>9.3614443413396489E-2</v>
      </c>
      <c r="Q10" s="3">
        <f>'2050'!D50</f>
        <v>0.10133066659961329</v>
      </c>
    </row>
    <row r="11" spans="1:17" x14ac:dyDescent="0.25">
      <c r="A11" s="4" t="s">
        <v>13</v>
      </c>
      <c r="B11" s="3">
        <f>'2020'!D12</f>
        <v>6.8199999999999997E-2</v>
      </c>
      <c r="C11" s="3">
        <f>'2030'!D12</f>
        <v>7.3821423384168486E-2</v>
      </c>
      <c r="D11" s="3">
        <f>'2040'!D12</f>
        <v>7.990619575461376E-2</v>
      </c>
      <c r="E11" s="3">
        <f>'2050'!D12</f>
        <v>8.6492508912310695E-2</v>
      </c>
      <c r="F11" s="3">
        <f>'2020'!D25</f>
        <v>6.8199999999999997E-2</v>
      </c>
      <c r="G11" s="3">
        <f>'2030'!D25</f>
        <v>7.3821423384168486E-2</v>
      </c>
      <c r="H11" s="3">
        <f>'2040'!D25</f>
        <v>7.990619575461376E-2</v>
      </c>
      <c r="I11" s="3">
        <f>'2050'!D25</f>
        <v>8.6492508912310695E-2</v>
      </c>
      <c r="J11" s="3">
        <f>'2020'!D38</f>
        <v>4.9099999999999998E-2</v>
      </c>
      <c r="K11" s="3">
        <f>'2030'!D38</f>
        <v>5.3147095134350043E-2</v>
      </c>
      <c r="L11" s="3">
        <f>'2040'!D38</f>
        <v>5.7527774362925742E-2</v>
      </c>
      <c r="M11" s="3">
        <f>'2050'!D38</f>
        <v>6.2269533542440698E-2</v>
      </c>
      <c r="N11" s="3">
        <f>'2020'!D51</f>
        <v>4.9099999999999998E-2</v>
      </c>
      <c r="O11" s="3">
        <f>'2030'!D51</f>
        <v>5.3147095134350043E-2</v>
      </c>
      <c r="P11" s="3">
        <f>'2040'!D51</f>
        <v>5.7527774362925742E-2</v>
      </c>
      <c r="Q11" s="3">
        <f>'2050'!D51</f>
        <v>6.2269533542440698E-2</v>
      </c>
    </row>
    <row r="12" spans="1:17" x14ac:dyDescent="0.25">
      <c r="A12" s="4" t="s">
        <v>19</v>
      </c>
      <c r="B12" s="3">
        <f>'2020'!E2</f>
        <v>0.23990011734099648</v>
      </c>
      <c r="C12" s="3">
        <f>'2030'!E2</f>
        <v>0.27857929744686316</v>
      </c>
      <c r="D12" s="3">
        <f>'2040'!E2</f>
        <v>0.30014619538412474</v>
      </c>
      <c r="E12" s="3">
        <f>'2050'!E2</f>
        <v>0.32190085381537781</v>
      </c>
      <c r="F12" s="3">
        <f>'2020'!E15</f>
        <v>0.24968878662099647</v>
      </c>
      <c r="G12" s="3">
        <f>'2030'!E15</f>
        <v>0.28827384490686314</v>
      </c>
      <c r="H12" s="3">
        <f>'2040'!E15</f>
        <v>0.30965249920412474</v>
      </c>
      <c r="I12" s="3">
        <f>'2050'!E15</f>
        <v>0.33093654853537785</v>
      </c>
      <c r="J12" s="3">
        <f>'2020'!E28</f>
        <v>1.6621447349794238</v>
      </c>
      <c r="K12" s="3">
        <f>'2030'!E28</f>
        <v>0.92221932424606479</v>
      </c>
      <c r="L12" s="3">
        <f>'2040'!E28</f>
        <v>0.79209958735567165</v>
      </c>
      <c r="M12" s="3">
        <f>'2050'!E28</f>
        <v>0.68225014375717397</v>
      </c>
      <c r="N12" s="3">
        <f>'2020'!E41</f>
        <v>1.114784734979424</v>
      </c>
      <c r="O12" s="3">
        <f>'2030'!E41</f>
        <v>0.82365932424606492</v>
      </c>
      <c r="P12" s="3">
        <f>'2040'!E41</f>
        <v>0.75654758735567162</v>
      </c>
      <c r="Q12" s="3">
        <f>'2050'!E41</f>
        <v>0.65884214375717387</v>
      </c>
    </row>
    <row r="13" spans="1:17" x14ac:dyDescent="0.25">
      <c r="A13" s="4" t="s">
        <v>20</v>
      </c>
      <c r="B13" s="3">
        <f>'2020'!F2</f>
        <v>0.31710035202298942</v>
      </c>
      <c r="C13" s="3">
        <f>'2030'!F2</f>
        <v>0.39995336075017546</v>
      </c>
      <c r="D13" s="3">
        <f>'2040'!F2</f>
        <v>0.428734269278364</v>
      </c>
      <c r="E13" s="3">
        <f>'2050'!F2</f>
        <v>0.45511775077023492</v>
      </c>
      <c r="F13" s="3">
        <f>'2020'!F15</f>
        <v>0.3464663598629894</v>
      </c>
      <c r="G13" s="3">
        <f>'2030'!F15</f>
        <v>0.42903700313017551</v>
      </c>
      <c r="H13" s="3">
        <f>'2040'!F15</f>
        <v>0.45725318073836396</v>
      </c>
      <c r="I13" s="3">
        <f>'2050'!F15</f>
        <v>0.48222483493023488</v>
      </c>
      <c r="J13" s="3">
        <f>'2020'!F28</f>
        <v>3.1233142049382718</v>
      </c>
      <c r="K13" s="3">
        <f>'2030'!F28</f>
        <v>1.9769921775312225</v>
      </c>
      <c r="L13" s="3">
        <f>'2040'!F28</f>
        <v>1.6516143265143699</v>
      </c>
      <c r="M13" s="3">
        <f>'2050'!F28</f>
        <v>1.3184460309874138</v>
      </c>
      <c r="N13" s="3">
        <f>'2020'!F41</f>
        <v>1.8173942049382716</v>
      </c>
      <c r="O13" s="3">
        <f>'2030'!F41</f>
        <v>1.7517121775312225</v>
      </c>
      <c r="P13" s="3">
        <f>'2040'!F41</f>
        <v>1.5711823265143701</v>
      </c>
      <c r="Q13" s="3">
        <f>'2050'!F41</f>
        <v>1.1917260309874138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</vt:lpstr>
      <vt:lpstr>2030</vt:lpstr>
      <vt:lpstr>2040</vt:lpstr>
      <vt:lpstr>2050</vt:lpstr>
      <vt:lpstr>H2 and CO2 costs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2024-03-03T12:50:15Z</dcterms:created>
  <dcterms:modified xsi:type="dcterms:W3CDTF">2024-03-11T14:20:16Z</dcterms:modified>
</cp:coreProperties>
</file>